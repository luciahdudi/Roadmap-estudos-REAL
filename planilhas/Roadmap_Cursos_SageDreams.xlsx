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Dashboard" sheetId="2" state="visible" r:id="rId4"/>
    <sheet name="Roadmap" sheetId="3" state="visible" r:id="rId5"/>
    <sheet name="Pós-graduação" sheetId="4" state="visible" r:id="rId6"/>
    <sheet name="Concurso" sheetId="5" state="visible" r:id="rId7"/>
    <sheet name="Livros" sheetId="6" state="visible" r:id="rId8"/>
    <sheet name="Cursos IA" sheetId="7" state="visible" r:id="rId9"/>
    <sheet name="Renda Extra" sheetId="8" state="visible" r:id="rId10"/>
    <sheet name="Listas" sheetId="9" state="visible" r:id="rId11"/>
  </sheets>
  <definedNames>
    <definedName function="false" hidden="true" localSheetId="4" name="_xlnm._FilterDatabase" vbProcedure="false">Concurso!$A$7:$V$47</definedName>
    <definedName function="false" hidden="true" localSheetId="6" name="_xlnm._FilterDatabase" vbProcedure="false">'Cursos IA'!$A$7:$T$47</definedName>
    <definedName function="false" hidden="true" localSheetId="5" name="_xlnm._FilterDatabase" vbProcedure="false">Livros!$A$7:$R$47</definedName>
    <definedName function="false" hidden="true" localSheetId="3" name="_xlnm._FilterDatabase" vbProcedure="false">'Pós-graduação'!$A$7:$T$47</definedName>
    <definedName function="false" hidden="true" localSheetId="7" name="_xlnm._FilterDatabase" vbProcedure="false">'Renda Extra'!$A$7:$V$47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7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7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7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7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sharedStrings.xml><?xml version="1.0" encoding="utf-8"?>
<sst xmlns="http://schemas.openxmlformats.org/spreadsheetml/2006/main" count="319" uniqueCount="176">
  <si>
    <t xml:space="preserve">ROADMAP DE CURSOS &amp; APRENDIZADO</t>
  </si>
  <si>
    <t xml:space="preserve">Sage Dreams · Calm &amp; Natural — controle de pós-graduação, concursos, livros, cursos de IA e renda extra</t>
  </si>
  <si>
    <t xml:space="preserve">ABAS DA PLANILHA</t>
  </si>
  <si>
    <t xml:space="preserve">Dashboard</t>
  </si>
  <si>
    <t xml:space="preserve">Visão geral: totais, progresso médio, investimento, alertas de vencimento e gráficos.</t>
  </si>
  <si>
    <t xml:space="preserve">Roadmap</t>
  </si>
  <si>
    <t xml:space="preserve">Linha do tempo de 12 meses (Gantt) com barras por status e marcação do vencimento do acesso.</t>
  </si>
  <si>
    <t xml:space="preserve">Pós-graduação</t>
  </si>
  <si>
    <t xml:space="preserve">MBAs, especializações e extensões: instituição, modalidade, disciplinas, acesso e login.</t>
  </si>
  <si>
    <t xml:space="preserve">Concurso</t>
  </si>
  <si>
    <t xml:space="preserve">Cursos preparatórios: concurso-alvo, banca, data da prova, aulas concluídas e acesso.</t>
  </si>
  <si>
    <t xml:space="preserve">Livros</t>
  </si>
  <si>
    <t xml:space="preserve">Biblioteca: autor, formato, páginas lidas, nota e previsão de término.</t>
  </si>
  <si>
    <t xml:space="preserve">Cursos IA</t>
  </si>
  <si>
    <t xml:space="preserve">Cursos com foco em IA: ferramenta/foco, aulas concluídas, acesso e login.</t>
  </si>
  <si>
    <t xml:space="preserve">Renda Extra</t>
  </si>
  <si>
    <t xml:space="preserve">Cursos de renda extra: modelo de renda, meta e resultado mensal para medir o retorno.</t>
  </si>
  <si>
    <t xml:space="preserve">Listas</t>
  </si>
  <si>
    <t xml:space="preserve">Listas das setas (prioridade, modalidade, formato) e prazo do alerta de vencimento.</t>
  </si>
  <si>
    <t xml:space="preserve">COMO USAR</t>
  </si>
  <si>
    <t xml:space="preserve">Passo 1</t>
  </si>
  <si>
    <t xml:space="preserve">Abra a aba da categoria e substitua a linha 8 (exemplo) pelo seu primeiro curso. Cada aba comporta 40 itens.</t>
  </si>
  <si>
    <t xml:space="preserve">Passo 2</t>
  </si>
  <si>
    <t xml:space="preserve">Preencha instituição, datas (compra, início, término previsto e vencimento do acesso), valor e login/senha.</t>
  </si>
  <si>
    <t xml:space="preserve">Passo 3</t>
  </si>
  <si>
    <t xml:space="preserve">Informe o total de aulas/disciplinas/páginas e atualize quantas você já concluiu: o % de andamento é calculado sozinho.</t>
  </si>
  <si>
    <t xml:space="preserve">Passo 4</t>
  </si>
  <si>
    <t xml:space="preserve">Escolha Status e Prioridade pela seta da célula. Deixe o vencimento em branco para acessos vitalícios.</t>
  </si>
  <si>
    <t xml:space="preserve">Passo 5</t>
  </si>
  <si>
    <t xml:space="preserve">Acompanhe tudo no Dashboard e no Roadmap. Nada a atualizar manualmente por lá.</t>
  </si>
  <si>
    <t xml:space="preserve">Passo 6</t>
  </si>
  <si>
    <t xml:space="preserve">Precisa de mais de 40 itens? Copie uma linha inteira e use “Inserir células copiadas” ENTRE as linhas 8 e 47, para fórmulas e gráficos acompanharem.</t>
  </si>
  <si>
    <t xml:space="preserve">LEGENDA DE CORES</t>
  </si>
  <si>
    <t xml:space="preserve">Célula branca</t>
  </si>
  <si>
    <t xml:space="preserve">Campo para preencher.</t>
  </si>
  <si>
    <t xml:space="preserve">Célula cinza-areia</t>
  </si>
  <si>
    <t xml:space="preserve">Fórmula automática — não edite nem apague (ID, dias p/ vencer, situação do acesso, % andamento).</t>
  </si>
  <si>
    <t xml:space="preserve">Concluído</t>
  </si>
  <si>
    <t xml:space="preserve">Status concluído · barra do Roadmap em verde-claro.</t>
  </si>
  <si>
    <t xml:space="preserve">Em andamento</t>
  </si>
  <si>
    <t xml:space="preserve">Status em andamento · barra do Roadmap em verde-sálvia.</t>
  </si>
  <si>
    <t xml:space="preserve">Vence em breve</t>
  </si>
  <si>
    <t xml:space="preserve">Acesso com vencimento dentro do prazo de alerta (padrão 30 dias, editável em Listas).</t>
  </si>
  <si>
    <t xml:space="preserve">Vencido</t>
  </si>
  <si>
    <t xml:space="preserve">Acesso expirado — priorize ou renove.</t>
  </si>
  <si>
    <t xml:space="preserve">IMPORTANTE</t>
  </si>
  <si>
    <t xml:space="preserve">•  Não edite as células cinza-areia: elas alimentam o Dashboard e o Roadmap.</t>
  </si>
  <si>
    <t xml:space="preserve">•  Segurança: planilha não é cofre. Prefira um gerenciador de senhas e use a coluna Senha só como lembrete; não compartilhe este arquivo.</t>
  </si>
  <si>
    <t xml:space="preserve">•  As linhas de exemplo (linha 8 de cada aba) entram nos totais até serem substituídas ou apagadas.</t>
  </si>
  <si>
    <t xml:space="preserve">•  Premissa: o alerta de vencimento usa 30 dias como padrão — ajuste em Listas &gt; G4.</t>
  </si>
  <si>
    <t xml:space="preserve">DASHBOARD · ROADMAP DE APRENDIZADO</t>
  </si>
  <si>
    <t xml:space="preserve">Visão geral de todas as categorias — atualiza automaticamente</t>
  </si>
  <si>
    <t xml:space="preserve">← Voltar ao Início</t>
  </si>
  <si>
    <t xml:space="preserve">Total de itens</t>
  </si>
  <si>
    <t xml:space="preserve">Concluídos</t>
  </si>
  <si>
    <t xml:space="preserve">Investimento total</t>
  </si>
  <si>
    <t xml:space="preserve">Progresso médio</t>
  </si>
  <si>
    <t xml:space="preserve">Acessos a vencer</t>
  </si>
  <si>
    <t xml:space="preserve">Hoje:</t>
  </si>
  <si>
    <t xml:space="preserve">Resumo por categoria</t>
  </si>
  <si>
    <t xml:space="preserve">Categoria</t>
  </si>
  <si>
    <t xml:space="preserve">Itens</t>
  </si>
  <si>
    <t xml:space="preserve">Não iniciado</t>
  </si>
  <si>
    <t xml:space="preserve">Pausado</t>
  </si>
  <si>
    <t xml:space="preserve">Investimento (R$)</t>
  </si>
  <si>
    <t xml:space="preserve">% médio</t>
  </si>
  <si>
    <t xml:space="preserve">A vencer</t>
  </si>
  <si>
    <t xml:space="preserve">Vencidos</t>
  </si>
  <si>
    <t xml:space="preserve">—</t>
  </si>
  <si>
    <t xml:space="preserve">TOTAL</t>
  </si>
  <si>
    <t xml:space="preserve">Os alertas “A vencer” usam o prazo definido na aba Listas (célula G4). Livros não têm vencimento de acesso.</t>
  </si>
  <si>
    <t xml:space="preserve">ROADMAP · LINHA DO TEMPO</t>
  </si>
  <si>
    <t xml:space="preserve">Barras = início → término previsto (cor pelo status) · ▼ = mês do vencimento do acesso</t>
  </si>
  <si>
    <t xml:space="preserve">Mês inicial:</t>
  </si>
  <si>
    <t xml:space="preserve">← altere para deslocar a janela de 12 meses. Mostra os 12 primeiros itens de cada aba.</t>
  </si>
  <si>
    <t xml:space="preserve">Item</t>
  </si>
  <si>
    <t xml:space="preserve">Status</t>
  </si>
  <si>
    <t xml:space="preserve">Início</t>
  </si>
  <si>
    <t xml:space="preserve">Término</t>
  </si>
  <si>
    <t xml:space="preserve">Vence acesso</t>
  </si>
  <si>
    <t xml:space="preserve">% Andam.</t>
  </si>
  <si>
    <t xml:space="preserve">PÓS-GRADUAÇÃO</t>
  </si>
  <si>
    <t xml:space="preserve">CONCURSO</t>
  </si>
  <si>
    <t xml:space="preserve">LIVROS</t>
  </si>
  <si>
    <t xml:space="preserve">CURSOS IA</t>
  </si>
  <si>
    <t xml:space="preserve">RENDA EXTRA</t>
  </si>
  <si>
    <t xml:space="preserve">MBAs, especializações, mestrado e extensões · acompanhe disciplinas, acesso e investimento</t>
  </si>
  <si>
    <t xml:space="preserve">Investido</t>
  </si>
  <si>
    <t xml:space="preserve">Células cinza = automáticas (não edite) · Linha 8 = exemplo: substitua ou apague · Escolha Status e Prioridade na seta da célula</t>
  </si>
  <si>
    <t xml:space="preserve">ID</t>
  </si>
  <si>
    <t xml:space="preserve">Curso / Pós-graduação</t>
  </si>
  <si>
    <t xml:space="preserve">Instituição</t>
  </si>
  <si>
    <t xml:space="preserve">Modalidade</t>
  </si>
  <si>
    <t xml:space="preserve">Data da compra</t>
  </si>
  <si>
    <t xml:space="preserve">Valor pago (R$)</t>
  </si>
  <si>
    <t xml:space="preserve">Data de início</t>
  </si>
  <si>
    <t xml:space="preserve">Término previsto</t>
  </si>
  <si>
    <t xml:space="preserve">Vencimento do acesso</t>
  </si>
  <si>
    <t xml:space="preserve">Dias p/ vencer</t>
  </si>
  <si>
    <t xml:space="preserve">Situação do acesso</t>
  </si>
  <si>
    <t xml:space="preserve">Disciplinas (total)</t>
  </si>
  <si>
    <t xml:space="preserve">Disciplinas concluídas</t>
  </si>
  <si>
    <t xml:space="preserve">% Andamento</t>
  </si>
  <si>
    <t xml:space="preserve">Prioridade</t>
  </si>
  <si>
    <t xml:space="preserve">Login</t>
  </si>
  <si>
    <t xml:space="preserve">Senha</t>
  </si>
  <si>
    <t xml:space="preserve">Link de acesso</t>
  </si>
  <si>
    <t xml:space="preserve">Observações</t>
  </si>
  <si>
    <t xml:space="preserve">MBA em Inteligência Artificial (exemplo)</t>
  </si>
  <si>
    <t xml:space="preserve">Universidade Exemplo</t>
  </si>
  <si>
    <t xml:space="preserve">EAD</t>
  </si>
  <si>
    <t xml:space="preserve">Alta</t>
  </si>
  <si>
    <t xml:space="preserve">seu.email@exemplo.com</t>
  </si>
  <si>
    <t xml:space="preserve">(guarde no gerenciador de senhas)</t>
  </si>
  <si>
    <t xml:space="preserve">https://portal.exemplo.com</t>
  </si>
  <si>
    <t xml:space="preserve">Linha de exemplo — substitua pelos seus dados.</t>
  </si>
  <si>
    <t xml:space="preserve">CONCURSOS PÚBLICOS</t>
  </si>
  <si>
    <t xml:space="preserve">Cursos preparatórios, bancos de questões e materiais · vincule cada curso ao concurso-alvo</t>
  </si>
  <si>
    <t xml:space="preserve">Curso / Material</t>
  </si>
  <si>
    <t xml:space="preserve">Plataforma / Instituição</t>
  </si>
  <si>
    <t xml:space="preserve">Concurso / Cargo alvo</t>
  </si>
  <si>
    <t xml:space="preserve">Banca</t>
  </si>
  <si>
    <t xml:space="preserve">Data da prova</t>
  </si>
  <si>
    <t xml:space="preserve">Aulas / Tópicos (total)</t>
  </si>
  <si>
    <t xml:space="preserve">Aulas / Tópicos concluídos</t>
  </si>
  <si>
    <t xml:space="preserve">Curso Preparatório Completo (exemplo)</t>
  </si>
  <si>
    <t xml:space="preserve">Plataforma Exemplo</t>
  </si>
  <si>
    <t xml:space="preserve">Analista — Órgão Exemplo</t>
  </si>
  <si>
    <t xml:space="preserve">CEBRASPE</t>
  </si>
  <si>
    <t xml:space="preserve">https://plataforma.exemplo.com</t>
  </si>
  <si>
    <t xml:space="preserve">Biblioteca de leitura · páginas lidas, formato, nota e previsão de término</t>
  </si>
  <si>
    <t xml:space="preserve">Páginas lidas</t>
  </si>
  <si>
    <t xml:space="preserve">Título</t>
  </si>
  <si>
    <t xml:space="preserve">Autor(a)</t>
  </si>
  <si>
    <t xml:space="preserve">Tema / Categoria</t>
  </si>
  <si>
    <t xml:space="preserve">Editora / Loja</t>
  </si>
  <si>
    <t xml:space="preserve">Formato</t>
  </si>
  <si>
    <t xml:space="preserve">Páginas (total)</t>
  </si>
  <si>
    <t xml:space="preserve">Nota (1–5)</t>
  </si>
  <si>
    <t xml:space="preserve">Link / Onde está</t>
  </si>
  <si>
    <t xml:space="preserve">Hábitos Atômicos (exemplo)</t>
  </si>
  <si>
    <t xml:space="preserve">James Clear</t>
  </si>
  <si>
    <t xml:space="preserve">Produtividade</t>
  </si>
  <si>
    <t xml:space="preserve">Livraria Exemplo</t>
  </si>
  <si>
    <t xml:space="preserve">Físico</t>
  </si>
  <si>
    <t xml:space="preserve">Média</t>
  </si>
  <si>
    <t xml:space="preserve">Estante — prateleira 2</t>
  </si>
  <si>
    <t xml:space="preserve">CURSOS · FOCO EM IA</t>
  </si>
  <si>
    <t xml:space="preserve">Inteligência artificial, agentes, automação e ferramentas · do aprendizado à aplicação</t>
  </si>
  <si>
    <t xml:space="preserve">Curso</t>
  </si>
  <si>
    <t xml:space="preserve">Instituição / Plataforma</t>
  </si>
  <si>
    <t xml:space="preserve">Foco / Ferramenta</t>
  </si>
  <si>
    <t xml:space="preserve">Aulas (total)</t>
  </si>
  <si>
    <t xml:space="preserve">Aulas concluídas</t>
  </si>
  <si>
    <t xml:space="preserve">Agentes de IA na Prática (exemplo)</t>
  </si>
  <si>
    <t xml:space="preserve">Agentes · automação</t>
  </si>
  <si>
    <t xml:space="preserve">CURSOS · FOCO EM RENDA EXTRA</t>
  </si>
  <si>
    <t xml:space="preserve">Afiliados, freelas, infoprodutos e negócios digitais · acompanhe aprendizado e retorno financeiro</t>
  </si>
  <si>
    <t xml:space="preserve">Resultado/mês atual</t>
  </si>
  <si>
    <t xml:space="preserve">Modelo de renda</t>
  </si>
  <si>
    <t xml:space="preserve">Meta de ganho/mês (R$)</t>
  </si>
  <si>
    <t xml:space="preserve">Resultado atual/mês (R$)</t>
  </si>
  <si>
    <t xml:space="preserve">Marketing de Afiliados do Zero (exemplo)</t>
  </si>
  <si>
    <t xml:space="preserve">Afiliados</t>
  </si>
  <si>
    <t xml:space="preserve">LISTAS E CONFIGURAÇÕES</t>
  </si>
  <si>
    <t xml:space="preserve">Edite as listas das setas (Prioridade, Modalidade, Formato) e o prazo de alerta. Não renomeie os 4 Status.</t>
  </si>
  <si>
    <t xml:space="preserve">Formato (livros)</t>
  </si>
  <si>
    <t xml:space="preserve">Alerta de vencimento (dias)</t>
  </si>
  <si>
    <t xml:space="preserve">Presencial</t>
  </si>
  <si>
    <t xml:space="preserve">E-book</t>
  </si>
  <si>
    <t xml:space="preserve">Acessos que vencem em até este nº de dias aparecem como “Vence em breve”.</t>
  </si>
  <si>
    <t xml:space="preserve">Baixa</t>
  </si>
  <si>
    <t xml:space="preserve">Híbrido</t>
  </si>
  <si>
    <t xml:space="preserve">Audiobook</t>
  </si>
  <si>
    <t xml:space="preserve">PDF</t>
  </si>
  <si>
    <t xml:space="preserve">Premissa: o prazo de alerta de 30 dias é um valor padrão sugerido (editável na célula G4).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</si>
</sst>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&quot;R$ &quot;#,##0.00"/>
    <numFmt numFmtId="167" formatCode="0%"/>
    <numFmt numFmtId="168" formatCode="dd/mm/yyyy"/>
    <numFmt numFmtId="169" formatCode="General"/>
    <numFmt numFmtId="170" formatCode="#,##0"/>
    <numFmt numFmtId="171" formatCode="mm/yyyy"/>
    <numFmt numFmtId="172" formatCode="mmm/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3E4A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0"/>
      <color rgb="FF3E4A3D"/>
      <name val="Arial"/>
      <family val="0"/>
      <charset val="1"/>
    </font>
    <font>
      <sz val="10"/>
      <color rgb="FF3E4A3D"/>
      <name val="Arial"/>
      <family val="0"/>
      <charset val="1"/>
    </font>
    <font>
      <b val="true"/>
      <sz val="10"/>
      <color rgb="FF6B8E6E"/>
      <name val="Arial"/>
      <family val="0"/>
      <charset val="1"/>
    </font>
    <font>
      <b val="true"/>
      <sz val="10"/>
      <color rgb="FF3E4A3D"/>
      <name val="Arial"/>
      <family val="0"/>
      <charset val="1"/>
    </font>
    <font>
      <b val="true"/>
      <sz val="10"/>
      <color rgb="FF7A6420"/>
      <name val="Arial"/>
      <family val="0"/>
      <charset val="1"/>
    </font>
    <font>
      <b val="true"/>
      <sz val="10"/>
      <color rgb="FF8C4A3C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3E4A3D"/>
      <name val="Arial"/>
      <family val="0"/>
      <charset val="1"/>
    </font>
    <font>
      <b val="true"/>
      <sz val="9"/>
      <color rgb="FF3E4A3D"/>
      <name val="Arial"/>
      <family val="0"/>
      <charset val="1"/>
    </font>
    <font>
      <b val="true"/>
      <sz val="17"/>
      <color rgb="FF6B8E6E"/>
      <name val="Arial"/>
      <family val="0"/>
      <charset val="1"/>
    </font>
    <font>
      <sz val="9"/>
      <color rgb="FF3E4A3D"/>
      <name val="Arial"/>
      <family val="0"/>
      <charset val="1"/>
    </font>
    <font>
      <b val="true"/>
      <sz val="12"/>
      <color rgb="FF6B8E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3E4A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6B8E6E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B8E6E"/>
        <bgColor rgb="FF878787"/>
      </patternFill>
    </fill>
    <fill>
      <patternFill patternType="solid">
        <fgColor rgb="FFDCE5D4"/>
        <bgColor rgb="FFE3DFD2"/>
      </patternFill>
    </fill>
    <fill>
      <patternFill patternType="solid">
        <fgColor rgb="FFA3B18A"/>
        <bgColor rgb="FFB7C9A0"/>
      </patternFill>
    </fill>
    <fill>
      <patternFill patternType="solid">
        <fgColor rgb="FFFFFFFF"/>
        <bgColor rgb="FFEDEAE0"/>
      </patternFill>
    </fill>
    <fill>
      <patternFill patternType="solid">
        <fgColor rgb="FFEDEAE0"/>
        <bgColor rgb="FFDCE5D4"/>
      </patternFill>
    </fill>
    <fill>
      <patternFill patternType="solid">
        <fgColor rgb="FFB7C9A0"/>
        <bgColor rgb="FFC9BFA6"/>
      </patternFill>
    </fill>
    <fill>
      <patternFill patternType="solid">
        <fgColor rgb="FFF2E6BE"/>
        <bgColor rgb="FFE3DFD2"/>
      </patternFill>
    </fill>
    <fill>
      <patternFill patternType="solid">
        <fgColor rgb="FFEBCFC6"/>
        <bgColor rgb="FFE3DF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A0"/>
      </left>
      <right style="thin">
        <color rgb="FFB7C9A0"/>
      </right>
      <top style="thin">
        <color rgb="FFB7C9A0"/>
      </top>
      <bottom style="thin">
        <color rgb="FFB7C9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>
          <bgColor rgb="FFB7C9A0"/>
        </patternFill>
      </fill>
    </dxf>
    <dxf>
      <fill>
        <patternFill>
          <bgColor rgb="FFA3B18A"/>
        </patternFill>
      </fill>
    </dxf>
    <dxf>
      <fill>
        <patternFill>
          <bgColor rgb="FFDCE5D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B8E6E"/>
        </patternFill>
      </fill>
    </dxf>
    <dxf>
      <fill>
        <patternFill patternType="solid">
          <fgColor rgb="FFA3B18A"/>
          <bgColor rgb="FF000000"/>
        </patternFill>
      </fill>
    </dxf>
    <dxf>
      <fill>
        <patternFill patternType="solid">
          <fgColor rgb="FFEDEAE0"/>
          <bgColor rgb="FF000000"/>
        </patternFill>
      </fill>
    </dxf>
    <dxf>
      <fill>
        <patternFill patternType="solid">
          <fgColor rgb="FF3E4A3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8E6E"/>
          <bgColor rgb="FF000000"/>
        </patternFill>
      </fill>
    </dxf>
    <dxf>
      <fill>
        <patternFill patternType="solid">
          <fgColor rgb="FFDCE5D4"/>
          <bgColor rgb="FF000000"/>
        </patternFill>
      </fill>
    </dxf>
    <dxf>
      <fill>
        <patternFill patternType="solid">
          <fgColor rgb="FF8C4A3C"/>
          <bgColor rgb="FF000000"/>
        </patternFill>
      </fill>
    </dxf>
    <dxf>
      <font>
        <name val="Arial"/>
        <charset val="1"/>
        <family val="0"/>
        <b val="1"/>
        <color rgb="FF3E4A3D"/>
      </font>
      <fill>
        <patternFill>
          <bgColor rgb="FFB7C9A0"/>
        </patternFill>
      </fill>
    </dxf>
    <dxf>
      <font>
        <name val="Arial"/>
        <charset val="1"/>
        <family val="0"/>
        <b val="1"/>
        <color rgb="FF6B8E6E"/>
      </font>
      <fill>
        <patternFill>
          <bgColor rgb="FFDCE5D4"/>
        </patternFill>
      </fill>
    </dxf>
    <dxf>
      <font>
        <name val="Arial"/>
        <charset val="1"/>
        <family val="0"/>
        <color rgb="FF7C7766"/>
      </font>
      <fill>
        <patternFill>
          <bgColor rgb="FFE3DFD2"/>
        </patternFill>
      </fill>
    </dxf>
    <dxf>
      <font>
        <name val="Arial"/>
        <charset val="1"/>
        <family val="0"/>
        <b val="1"/>
        <color rgb="FF8C4A3C"/>
      </font>
    </dxf>
    <dxf>
      <font>
        <name val="Arial"/>
        <charset val="1"/>
        <family val="0"/>
        <b val="1"/>
        <color rgb="FF8C4A3C"/>
      </font>
      <fill>
        <patternFill>
          <bgColor rgb="FFEBCFC6"/>
        </patternFill>
      </fill>
    </dxf>
    <dxf>
      <font>
        <name val="Arial"/>
        <charset val="1"/>
        <family val="0"/>
        <b val="1"/>
        <color rgb="FF7A6420"/>
      </font>
      <fill>
        <patternFill>
          <bgColor rgb="FFF2E6BE"/>
        </patternFill>
      </fill>
    </dxf>
    <dxf>
      <font>
        <name val="Arial"/>
        <charset val="1"/>
        <family val="0"/>
        <color rgb="FF6B8E6E"/>
      </font>
      <fill>
        <patternFill>
          <bgColor rgb="FFDCE5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420"/>
      <rgbColor rgb="FF800080"/>
      <rgbColor rgb="FF008080"/>
      <rgbColor rgb="FFC9BFA6"/>
      <rgbColor rgb="FF878787"/>
      <rgbColor rgb="FF9999FF"/>
      <rgbColor rgb="FF8C4A3C"/>
      <rgbColor rgb="FFEDEAE0"/>
      <rgbColor rgb="FFE3DFD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5D4"/>
      <rgbColor rgb="FFF2E6BE"/>
      <rgbColor rgb="FFB7C9A0"/>
      <rgbColor rgb="FFFF99CC"/>
      <rgbColor rgb="FFCC99FF"/>
      <rgbColor rgb="FFEBCFC6"/>
      <rgbColor rgb="FF4F81BD"/>
      <rgbColor rgb="FF33CCCC"/>
      <rgbColor rgb="FF99CC00"/>
      <rgbColor rgb="FFFFCC00"/>
      <rgbColor rgb="FFFF9900"/>
      <rgbColor rgb="FFFF6600"/>
      <rgbColor rgb="FF7C7766"/>
      <rgbColor rgb="FFA3B18A"/>
      <rgbColor rgb="FF003366"/>
      <rgbColor rgb="FF6B8E6E"/>
      <rgbColor rgb="FF003300"/>
      <rgbColor rgb="FF333300"/>
      <rgbColor rgb="FF993300"/>
      <rgbColor rgb="FF993366"/>
      <rgbColor rgb="FF333399"/>
      <rgbColor rgb="FF3E4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Dashboard!D8</c:f>
              <c:strCache>
                <c:ptCount val="1"/>
                <c:pt idx="0">
                  <c:v>Não iniciado</c:v>
                </c:pt>
              </c:strCache>
            </c:strRef>
          </c:tx>
          <c:spPr>
            <a:solidFill>
              <a:srgbClr val="dce5d4"/>
            </a:solidFill>
            <a:ln w="0">
              <a:solidFill>
                <a:srgbClr val="dce5d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Dashboard!$D$9:$D$13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Dashboard!E8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a3b18a"/>
            </a:solidFill>
            <a:ln w="0">
              <a:solidFill>
                <a:srgbClr val="a3b18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Dashboard!$E$9:$E$13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Dashboard!F8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Dashboard!$F$9:$F$13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Dashboard!G8</c:f>
              <c:strCache>
                <c:ptCount val="1"/>
                <c:pt idx="0">
                  <c:v>Pausado</c:v>
                </c:pt>
              </c:strCache>
            </c:strRef>
          </c:tx>
          <c:spPr>
            <a:solidFill>
              <a:srgbClr val="c9bfa6"/>
            </a:solidFill>
            <a:ln w="0">
              <a:solidFill>
                <a:srgbClr val="c9bfa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Dashboard!$G$9:$G$13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7451485"/>
        <c:axId val="42057890"/>
      </c:barChart>
      <c:catAx>
        <c:axId val="7451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57890"/>
        <c:crosses val="autoZero"/>
        <c:auto val="1"/>
        <c:lblAlgn val="ctr"/>
        <c:lblOffset val="100"/>
        <c:noMultiLvlLbl val="0"/>
      </c:catAx>
      <c:valAx>
        <c:axId val="4205789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1485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ce5d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3b18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6b8e6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9bf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Dashboard!$D$8:$G$8</c:f>
              <c:strCache>
                <c:ptCount val="4"/>
                <c:pt idx="0">
                  <c:v>Não iniciado</c:v>
                </c:pt>
                <c:pt idx="1">
                  <c:v>Em andamento</c:v>
                </c:pt>
                <c:pt idx="2">
                  <c:v>Concluído</c:v>
                </c:pt>
                <c:pt idx="3">
                  <c:v>Pausado</c:v>
                </c:pt>
              </c:strCache>
            </c:strRef>
          </c:cat>
          <c:val>
            <c:numRef>
              <c:f>Dashboard!$D$14:$G$14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Progresso médio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Dashboard!I8</c:f>
              <c:strCache>
                <c:ptCount val="1"/>
                <c:pt idx="0">
                  <c:v>% médio</c:v>
                </c:pt>
              </c:strCache>
            </c:strRef>
          </c:tx>
          <c:spPr>
            <a:solidFill>
              <a:srgbClr val="a3b18a"/>
            </a:solidFill>
            <a:ln w="0">
              <a:solidFill>
                <a:srgbClr val="a3b18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Dashboard!$I$9:$I$13</c:f>
              <c:numCache>
                <c:formatCode>0%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0.375</c:v>
                </c:pt>
                <c:pt idx="3">
                  <c:v>0.3</c:v>
                </c:pt>
                <c:pt idx="4">
                  <c:v>0.222222222222222</c:v>
                </c:pt>
              </c:numCache>
            </c:numRef>
          </c:val>
        </c:ser>
        <c:gapWidth val="150"/>
        <c:overlap val="0"/>
        <c:axId val="22670521"/>
        <c:axId val="98374291"/>
      </c:barChart>
      <c:catAx>
        <c:axId val="226705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74291"/>
        <c:crosses val="autoZero"/>
        <c:auto val="1"/>
        <c:lblAlgn val="ctr"/>
        <c:lblOffset val="100"/>
        <c:noMultiLvlLbl val="0"/>
      </c:catAx>
      <c:valAx>
        <c:axId val="98374291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705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Investimento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Dashboard!H8</c:f>
              <c:strCache>
                <c:ptCount val="1"/>
                <c:pt idx="0">
                  <c:v>Investimento (R$)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Dashboard!$B$9:$B$13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Dashboard!$H$9:$H$13</c:f>
              <c:numCache>
                <c:formatCode>"R$ "#,##0.00</c:formatCode>
                <c:ptCount val="5"/>
                <c:pt idx="0">
                  <c:v>12600</c:v>
                </c:pt>
                <c:pt idx="1">
                  <c:v>1490</c:v>
                </c:pt>
                <c:pt idx="2">
                  <c:v>49.9</c:v>
                </c:pt>
                <c:pt idx="3">
                  <c:v>497</c:v>
                </c:pt>
                <c:pt idx="4">
                  <c:v>297</c:v>
                </c:pt>
              </c:numCache>
            </c:numRef>
          </c:val>
        </c:ser>
        <c:gapWidth val="150"/>
        <c:overlap val="0"/>
        <c:axId val="82638794"/>
        <c:axId val="20542541"/>
      </c:barChart>
      <c:catAx>
        <c:axId val="826387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42541"/>
        <c:crosses val="autoZero"/>
        <c:auto val="1"/>
        <c:lblAlgn val="ctr"/>
        <c:lblOffset val="100"/>
        <c:noMultiLvlLbl val="0"/>
      </c:catAx>
      <c:valAx>
        <c:axId val="205425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387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6</xdr:col>
      <xdr:colOff>761400</xdr:colOff>
      <xdr:row>31</xdr:row>
      <xdr:rowOff>11520</xdr:rowOff>
    </xdr:to>
    <xdr:graphicFrame>
      <xdr:nvGraphicFramePr>
        <xdr:cNvPr id="0" name="Chart 1"/>
        <xdr:cNvGraphicFramePr/>
      </xdr:nvGraphicFramePr>
      <xdr:xfrm>
        <a:off x="211320" y="36194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11</xdr:col>
      <xdr:colOff>950400</xdr:colOff>
      <xdr:row>31</xdr:row>
      <xdr:rowOff>11520</xdr:rowOff>
    </xdr:to>
    <xdr:graphicFrame>
      <xdr:nvGraphicFramePr>
        <xdr:cNvPr id="1" name="Chart 2"/>
        <xdr:cNvGraphicFramePr/>
      </xdr:nvGraphicFramePr>
      <xdr:xfrm>
        <a:off x="6591960" y="36194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761400</xdr:colOff>
      <xdr:row>49</xdr:row>
      <xdr:rowOff>11520</xdr:rowOff>
    </xdr:to>
    <xdr:graphicFrame>
      <xdr:nvGraphicFramePr>
        <xdr:cNvPr id="2" name="Chart 3"/>
        <xdr:cNvGraphicFramePr/>
      </xdr:nvGraphicFramePr>
      <xdr:xfrm>
        <a:off x="211320" y="70484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11</xdr:col>
      <xdr:colOff>950400</xdr:colOff>
      <xdr:row>49</xdr:row>
      <xdr:rowOff>11520</xdr:rowOff>
    </xdr:to>
    <xdr:graphicFrame>
      <xdr:nvGraphicFramePr>
        <xdr:cNvPr id="3" name="Chart 4"/>
        <xdr:cNvGraphicFramePr/>
      </xdr:nvGraphicFramePr>
      <xdr:xfrm>
        <a:off x="6591960" y="70484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48" hidden="false" customHeight="true" outlineLevel="0" collapsed="false">
      <c r="A1" s="1" t="s">
        <v>0</v>
      </c>
      <c r="B1" s="1"/>
      <c r="C1" s="1"/>
    </row>
    <row r="2" customFormat="false" ht="25.5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21" hidden="false" customHeight="true" outlineLevel="0" collapsed="false">
      <c r="B5" s="4" t="s">
        <v>3</v>
      </c>
      <c r="C5" s="5" t="s">
        <v>4</v>
      </c>
    </row>
    <row r="6" customFormat="false" ht="21" hidden="false" customHeight="true" outlineLevel="0" collapsed="false">
      <c r="B6" s="6" t="s">
        <v>5</v>
      </c>
      <c r="C6" s="7" t="s">
        <v>6</v>
      </c>
    </row>
    <row r="7" customFormat="false" ht="21" hidden="false" customHeight="true" outlineLevel="0" collapsed="false">
      <c r="B7" s="4" t="s">
        <v>7</v>
      </c>
      <c r="C7" s="5" t="s">
        <v>8</v>
      </c>
    </row>
    <row r="8" customFormat="false" ht="21" hidden="false" customHeight="true" outlineLevel="0" collapsed="false">
      <c r="B8" s="6" t="s">
        <v>9</v>
      </c>
      <c r="C8" s="7" t="s">
        <v>10</v>
      </c>
    </row>
    <row r="9" customFormat="false" ht="21" hidden="false" customHeight="true" outlineLevel="0" collapsed="false">
      <c r="B9" s="4" t="s">
        <v>11</v>
      </c>
      <c r="C9" s="5" t="s">
        <v>12</v>
      </c>
    </row>
    <row r="10" customFormat="false" ht="21" hidden="false" customHeight="true" outlineLevel="0" collapsed="false">
      <c r="B10" s="6" t="s">
        <v>13</v>
      </c>
      <c r="C10" s="7" t="s">
        <v>14</v>
      </c>
    </row>
    <row r="11" customFormat="false" ht="21" hidden="false" customHeight="true" outlineLevel="0" collapsed="false">
      <c r="B11" s="4" t="s">
        <v>15</v>
      </c>
      <c r="C11" s="5" t="s">
        <v>16</v>
      </c>
    </row>
    <row r="12" customFormat="false" ht="21" hidden="false" customHeight="true" outlineLevel="0" collapsed="false">
      <c r="B12" s="6" t="s">
        <v>17</v>
      </c>
      <c r="C12" s="7" t="s">
        <v>18</v>
      </c>
    </row>
    <row r="14" customFormat="false" ht="21.75" hidden="false" customHeight="true" outlineLevel="0" collapsed="false">
      <c r="B14" s="3" t="s">
        <v>19</v>
      </c>
      <c r="C14" s="3"/>
    </row>
    <row r="15" customFormat="false" ht="31.5" hidden="false" customHeight="true" outlineLevel="0" collapsed="false">
      <c r="B15" s="8" t="s">
        <v>20</v>
      </c>
      <c r="C15" s="9" t="s">
        <v>21</v>
      </c>
    </row>
    <row r="16" customFormat="false" ht="31.5" hidden="false" customHeight="true" outlineLevel="0" collapsed="false">
      <c r="B16" s="8" t="s">
        <v>22</v>
      </c>
      <c r="C16" s="9" t="s">
        <v>23</v>
      </c>
    </row>
    <row r="17" customFormat="false" ht="31.5" hidden="false" customHeight="true" outlineLevel="0" collapsed="false">
      <c r="B17" s="8" t="s">
        <v>24</v>
      </c>
      <c r="C17" s="9" t="s">
        <v>25</v>
      </c>
    </row>
    <row r="18" customFormat="false" ht="31.5" hidden="false" customHeight="true" outlineLevel="0" collapsed="false">
      <c r="B18" s="8" t="s">
        <v>26</v>
      </c>
      <c r="C18" s="9" t="s">
        <v>27</v>
      </c>
    </row>
    <row r="19" customFormat="false" ht="21" hidden="false" customHeight="true" outlineLevel="0" collapsed="false">
      <c r="B19" s="8" t="s">
        <v>28</v>
      </c>
      <c r="C19" s="9" t="s">
        <v>29</v>
      </c>
    </row>
    <row r="20" customFormat="false" ht="31.5" hidden="false" customHeight="true" outlineLevel="0" collapsed="false">
      <c r="B20" s="8" t="s">
        <v>30</v>
      </c>
      <c r="C20" s="9" t="s">
        <v>31</v>
      </c>
    </row>
    <row r="22" customFormat="false" ht="21.75" hidden="false" customHeight="true" outlineLevel="0" collapsed="false">
      <c r="B22" s="3" t="s">
        <v>32</v>
      </c>
      <c r="C22" s="3"/>
    </row>
    <row r="23" customFormat="false" ht="21" hidden="false" customHeight="true" outlineLevel="0" collapsed="false">
      <c r="B23" s="10" t="s">
        <v>33</v>
      </c>
      <c r="C23" s="9" t="s">
        <v>34</v>
      </c>
    </row>
    <row r="24" customFormat="false" ht="21" hidden="false" customHeight="true" outlineLevel="0" collapsed="false">
      <c r="B24" s="11" t="s">
        <v>35</v>
      </c>
      <c r="C24" s="9" t="s">
        <v>36</v>
      </c>
    </row>
    <row r="25" customFormat="false" ht="21" hidden="false" customHeight="true" outlineLevel="0" collapsed="false">
      <c r="B25" s="12" t="s">
        <v>37</v>
      </c>
      <c r="C25" s="9" t="s">
        <v>38</v>
      </c>
    </row>
    <row r="26" customFormat="false" ht="21" hidden="false" customHeight="true" outlineLevel="0" collapsed="false">
      <c r="B26" s="13" t="s">
        <v>39</v>
      </c>
      <c r="C26" s="9" t="s">
        <v>40</v>
      </c>
    </row>
    <row r="27" customFormat="false" ht="21" hidden="false" customHeight="true" outlineLevel="0" collapsed="false">
      <c r="B27" s="14" t="s">
        <v>41</v>
      </c>
      <c r="C27" s="9" t="s">
        <v>42</v>
      </c>
    </row>
    <row r="28" customFormat="false" ht="21" hidden="false" customHeight="true" outlineLevel="0" collapsed="false">
      <c r="B28" s="15" t="s">
        <v>43</v>
      </c>
      <c r="C28" s="9" t="s">
        <v>44</v>
      </c>
    </row>
    <row r="30" customFormat="false" ht="21.75" hidden="false" customHeight="true" outlineLevel="0" collapsed="false">
      <c r="B30" s="3" t="s">
        <v>45</v>
      </c>
      <c r="C30" s="3"/>
    </row>
    <row r="31" customFormat="false" ht="21.75" hidden="false" customHeight="true" outlineLevel="0" collapsed="false">
      <c r="B31" s="16" t="s">
        <v>46</v>
      </c>
      <c r="C31" s="16"/>
    </row>
    <row r="32" customFormat="false" ht="21.75" hidden="false" customHeight="true" outlineLevel="0" collapsed="false">
      <c r="B32" s="16" t="s">
        <v>47</v>
      </c>
      <c r="C32" s="16"/>
    </row>
    <row r="33" customFormat="false" ht="21.75" hidden="false" customHeight="true" outlineLevel="0" collapsed="false">
      <c r="B33" s="16" t="s">
        <v>48</v>
      </c>
      <c r="C33" s="16"/>
    </row>
    <row r="34" customFormat="false" ht="21.75" hidden="false" customHeight="true" outlineLevel="0" collapsed="false">
      <c r="B34" s="16" t="s">
        <v>49</v>
      </c>
      <c r="C34" s="16"/>
    </row>
  </sheetData>
  <mergeCells count="10">
    <mergeCell ref="A1:C1"/>
    <mergeCell ref="A2:C2"/>
    <mergeCell ref="B4:C4"/>
    <mergeCell ref="B14:C14"/>
    <mergeCell ref="B22:C22"/>
    <mergeCell ref="B30:C30"/>
    <mergeCell ref="B31:C31"/>
    <mergeCell ref="B32:C32"/>
    <mergeCell ref="B33:C33"/>
    <mergeCell ref="B34:C34"/>
  </mergeCells>
  <hyperlinks>
    <hyperlink ref="B5" location="'Dashboard'!A1" display="Dashboard"/>
    <hyperlink ref="B6" location="'Roadmap'!A1" display="Roadmap"/>
    <hyperlink ref="B7" location="'Pós-graduação'!A1" display="Pós-graduação"/>
    <hyperlink ref="B8" location="'Concurso'!A1" display="Concurso"/>
    <hyperlink ref="B9" location="'Livros'!A1" display="Livros"/>
    <hyperlink ref="B10" location="'Cursos IA'!A1" display="Cursos IA"/>
    <hyperlink ref="B11" location="'Renda Extra'!A1" display="Renda Extra"/>
    <hyperlink ref="B12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3" min="3" style="0" width="14.51"/>
  </cols>
  <sheetData>
    <row r="1" customFormat="false" ht="37.5" hidden="false" customHeight="true" outlineLevel="0" collapsed="false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51</v>
      </c>
      <c r="B2" s="18"/>
      <c r="C2" s="18"/>
      <c r="D2" s="18"/>
      <c r="E2" s="18"/>
      <c r="F2" s="18"/>
      <c r="G2" s="18"/>
      <c r="H2" s="18"/>
      <c r="I2" s="18"/>
      <c r="J2" s="18"/>
      <c r="K2" s="19" t="s">
        <v>52</v>
      </c>
      <c r="L2" s="19"/>
      <c r="M2" s="19"/>
    </row>
    <row r="3" customFormat="false" ht="7.5" hidden="false" customHeight="true" outlineLevel="0" collapsed="false"/>
    <row r="4" customFormat="false" ht="19.5" hidden="false" customHeight="true" outlineLevel="0" collapsed="false">
      <c r="B4" s="20" t="s">
        <v>53</v>
      </c>
      <c r="C4" s="20"/>
      <c r="D4" s="20" t="s">
        <v>39</v>
      </c>
      <c r="E4" s="20"/>
      <c r="F4" s="20" t="s">
        <v>54</v>
      </c>
      <c r="G4" s="20"/>
      <c r="H4" s="20" t="s">
        <v>55</v>
      </c>
      <c r="I4" s="20"/>
      <c r="J4" s="20" t="s">
        <v>56</v>
      </c>
      <c r="K4" s="20"/>
      <c r="L4" s="20" t="s">
        <v>57</v>
      </c>
      <c r="M4" s="20"/>
    </row>
    <row r="5" customFormat="false" ht="33.75" hidden="false" customHeight="true" outlineLevel="0" collapsed="false">
      <c r="B5" s="21" t="n">
        <f aca="false">C14</f>
        <v>5</v>
      </c>
      <c r="C5" s="21"/>
      <c r="D5" s="21" t="n">
        <f aca="false">E14</f>
        <v>5</v>
      </c>
      <c r="E5" s="21"/>
      <c r="F5" s="21" t="n">
        <f aca="false">F14</f>
        <v>0</v>
      </c>
      <c r="G5" s="21"/>
      <c r="H5" s="22" t="n">
        <f aca="false">H14</f>
        <v>14933.9</v>
      </c>
      <c r="I5" s="22"/>
      <c r="J5" s="23" t="n">
        <f aca="false">I14</f>
        <v>0.249444444444444</v>
      </c>
      <c r="K5" s="23"/>
      <c r="L5" s="21" t="n">
        <f aca="false">J14</f>
        <v>0</v>
      </c>
      <c r="M5" s="21"/>
    </row>
    <row r="6" customFormat="false" ht="15" hidden="false" customHeight="false" outlineLevel="0" collapsed="false">
      <c r="B6" s="24" t="s">
        <v>58</v>
      </c>
      <c r="C6" s="25" t="n">
        <f aca="true">TODAY()</f>
        <v>46298</v>
      </c>
    </row>
    <row r="7" customFormat="false" ht="15" hidden="false" customHeight="false" outlineLevel="0" collapsed="false">
      <c r="B7" s="26" t="s">
        <v>59</v>
      </c>
    </row>
    <row r="8" customFormat="false" ht="30" hidden="false" customHeight="true" outlineLevel="0" collapsed="false">
      <c r="B8" s="27" t="s">
        <v>60</v>
      </c>
      <c r="C8" s="27" t="s">
        <v>61</v>
      </c>
      <c r="D8" s="27" t="s">
        <v>62</v>
      </c>
      <c r="E8" s="27" t="s">
        <v>39</v>
      </c>
      <c r="F8" s="27" t="s">
        <v>37</v>
      </c>
      <c r="G8" s="27" t="s">
        <v>63</v>
      </c>
      <c r="H8" s="27" t="s">
        <v>64</v>
      </c>
      <c r="I8" s="27" t="s">
        <v>65</v>
      </c>
      <c r="J8" s="27" t="s">
        <v>66</v>
      </c>
      <c r="K8" s="27" t="s">
        <v>67</v>
      </c>
    </row>
    <row r="9" customFormat="false" ht="15" hidden="false" customHeight="false" outlineLevel="0" collapsed="false">
      <c r="B9" s="4" t="s">
        <v>7</v>
      </c>
      <c r="C9" s="28" t="n">
        <f aca="false">COUNTA('Pós-graduação'!B8:B47)</f>
        <v>1</v>
      </c>
      <c r="D9" s="28" t="n">
        <f aca="false">COUNTIF('Pós-graduação'!O8:O47,D$8)</f>
        <v>0</v>
      </c>
      <c r="E9" s="28" t="n">
        <f aca="false">COUNTIF('Pós-graduação'!O8:O47,E$8)</f>
        <v>1</v>
      </c>
      <c r="F9" s="28" t="n">
        <f aca="false">COUNTIF('Pós-graduação'!O8:O47,F$8)</f>
        <v>0</v>
      </c>
      <c r="G9" s="28" t="n">
        <f aca="false">COUNTIF('Pós-graduação'!O8:O47,G$8)</f>
        <v>0</v>
      </c>
      <c r="H9" s="29" t="n">
        <f aca="false">SUM('Pós-graduação'!F8:F47)</f>
        <v>12600</v>
      </c>
      <c r="I9" s="30" t="n">
        <f aca="false">IFERROR(AVERAGE('Pós-graduação'!N8:N47),0)</f>
        <v>0.1</v>
      </c>
      <c r="J9" s="28" t="n">
        <f aca="false">COUNTIF('Pós-graduação'!K8:K47,"Vence em breve")</f>
        <v>0</v>
      </c>
      <c r="K9" s="28" t="n">
        <f aca="false">COUNTIF('Pós-graduação'!K8:K47,"Vencido")</f>
        <v>0</v>
      </c>
    </row>
    <row r="10" customFormat="false" ht="15" hidden="false" customHeight="false" outlineLevel="0" collapsed="false">
      <c r="B10" s="6" t="s">
        <v>9</v>
      </c>
      <c r="C10" s="31" t="n">
        <f aca="false">COUNTA(Concurso!B8:B47)</f>
        <v>1</v>
      </c>
      <c r="D10" s="31" t="n">
        <f aca="false">COUNTIF(Concurso!Q8:Q47,D$8)</f>
        <v>0</v>
      </c>
      <c r="E10" s="31" t="n">
        <f aca="false">COUNTIF(Concurso!Q8:Q47,E$8)</f>
        <v>1</v>
      </c>
      <c r="F10" s="31" t="n">
        <f aca="false">COUNTIF(Concurso!Q8:Q47,F$8)</f>
        <v>0</v>
      </c>
      <c r="G10" s="31" t="n">
        <f aca="false">COUNTIF(Concurso!Q8:Q47,G$8)</f>
        <v>0</v>
      </c>
      <c r="H10" s="32" t="n">
        <f aca="false">SUM(Concurso!H8:H47)</f>
        <v>1490</v>
      </c>
      <c r="I10" s="33" t="n">
        <f aca="false">IFERROR(AVERAGE(Concurso!P8:P47),0)</f>
        <v>0.25</v>
      </c>
      <c r="J10" s="31" t="n">
        <f aca="false">COUNTIF(Concurso!M8:M47,"Vence em breve")</f>
        <v>0</v>
      </c>
      <c r="K10" s="31" t="n">
        <f aca="false">COUNTIF(Concurso!M8:M47,"Vencido")</f>
        <v>0</v>
      </c>
    </row>
    <row r="11" customFormat="false" ht="15" hidden="false" customHeight="false" outlineLevel="0" collapsed="false">
      <c r="B11" s="4" t="s">
        <v>11</v>
      </c>
      <c r="C11" s="28" t="n">
        <f aca="false">COUNTA(Livros!B8:B47)</f>
        <v>1</v>
      </c>
      <c r="D11" s="28" t="n">
        <f aca="false">COUNTIF(Livros!N8:N47,D$8)</f>
        <v>0</v>
      </c>
      <c r="E11" s="28" t="n">
        <f aca="false">COUNTIF(Livros!N8:N47,E$8)</f>
        <v>1</v>
      </c>
      <c r="F11" s="28" t="n">
        <f aca="false">COUNTIF(Livros!N8:N47,F$8)</f>
        <v>0</v>
      </c>
      <c r="G11" s="28" t="n">
        <f aca="false">COUNTIF(Livros!N8:N47,G$8)</f>
        <v>0</v>
      </c>
      <c r="H11" s="29" t="n">
        <f aca="false">SUM(Livros!H8:H47)</f>
        <v>49.9</v>
      </c>
      <c r="I11" s="30" t="n">
        <f aca="false">IFERROR(AVERAGE(Livros!M8:M47),0)</f>
        <v>0.375</v>
      </c>
      <c r="J11" s="28" t="s">
        <v>68</v>
      </c>
      <c r="K11" s="28" t="s">
        <v>68</v>
      </c>
    </row>
    <row r="12" customFormat="false" ht="15" hidden="false" customHeight="false" outlineLevel="0" collapsed="false">
      <c r="B12" s="6" t="s">
        <v>13</v>
      </c>
      <c r="C12" s="31" t="n">
        <f aca="false">COUNTA('Cursos IA'!B8:B47)</f>
        <v>1</v>
      </c>
      <c r="D12" s="31" t="n">
        <f aca="false">COUNTIF('Cursos IA'!O8:O47,D$8)</f>
        <v>0</v>
      </c>
      <c r="E12" s="31" t="n">
        <f aca="false">COUNTIF('Cursos IA'!O8:O47,E$8)</f>
        <v>1</v>
      </c>
      <c r="F12" s="31" t="n">
        <f aca="false">COUNTIF('Cursos IA'!O8:O47,F$8)</f>
        <v>0</v>
      </c>
      <c r="G12" s="31" t="n">
        <f aca="false">COUNTIF('Cursos IA'!O8:O47,G$8)</f>
        <v>0</v>
      </c>
      <c r="H12" s="32" t="n">
        <f aca="false">SUM('Cursos IA'!F8:F47)</f>
        <v>497</v>
      </c>
      <c r="I12" s="33" t="n">
        <f aca="false">IFERROR(AVERAGE('Cursos IA'!N8:N47),0)</f>
        <v>0.3</v>
      </c>
      <c r="J12" s="31" t="n">
        <f aca="false">COUNTIF('Cursos IA'!K8:K47,"Vence em breve")</f>
        <v>0</v>
      </c>
      <c r="K12" s="31" t="n">
        <f aca="false">COUNTIF('Cursos IA'!K8:K47,"Vencido")</f>
        <v>0</v>
      </c>
    </row>
    <row r="13" customFormat="false" ht="15" hidden="false" customHeight="false" outlineLevel="0" collapsed="false">
      <c r="B13" s="4" t="s">
        <v>15</v>
      </c>
      <c r="C13" s="28" t="n">
        <f aca="false">COUNTA('Renda Extra'!B8:B47)</f>
        <v>1</v>
      </c>
      <c r="D13" s="28" t="n">
        <f aca="false">COUNTIF('Renda Extra'!O8:O47,D$8)</f>
        <v>0</v>
      </c>
      <c r="E13" s="28" t="n">
        <f aca="false">COUNTIF('Renda Extra'!O8:O47,E$8)</f>
        <v>1</v>
      </c>
      <c r="F13" s="28" t="n">
        <f aca="false">COUNTIF('Renda Extra'!O8:O47,F$8)</f>
        <v>0</v>
      </c>
      <c r="G13" s="28" t="n">
        <f aca="false">COUNTIF('Renda Extra'!O8:O47,G$8)</f>
        <v>0</v>
      </c>
      <c r="H13" s="29" t="n">
        <f aca="false">SUM('Renda Extra'!F8:F47)</f>
        <v>297</v>
      </c>
      <c r="I13" s="30" t="n">
        <f aca="false">IFERROR(AVERAGE('Renda Extra'!N8:N47),0)</f>
        <v>0.222222222222222</v>
      </c>
      <c r="J13" s="28" t="n">
        <f aca="false">COUNTIF('Renda Extra'!K8:K47,"Vence em breve")</f>
        <v>0</v>
      </c>
      <c r="K13" s="28" t="n">
        <f aca="false">COUNTIF('Renda Extra'!K8:K47,"Vencido")</f>
        <v>0</v>
      </c>
    </row>
    <row r="14" customFormat="false" ht="15" hidden="false" customHeight="false" outlineLevel="0" collapsed="false">
      <c r="B14" s="34" t="s">
        <v>69</v>
      </c>
      <c r="C14" s="34" t="n">
        <f aca="false">SUM(C9:C13)</f>
        <v>5</v>
      </c>
      <c r="D14" s="34" t="n">
        <f aca="false">SUM(D9:D13)</f>
        <v>0</v>
      </c>
      <c r="E14" s="34" t="n">
        <f aca="false">SUM(E9:E13)</f>
        <v>5</v>
      </c>
      <c r="F14" s="34" t="n">
        <f aca="false">SUM(F9:F13)</f>
        <v>0</v>
      </c>
      <c r="G14" s="34" t="n">
        <f aca="false">SUM(G9:G13)</f>
        <v>0</v>
      </c>
      <c r="H14" s="35" t="n">
        <f aca="false">SUM(H9:H13)</f>
        <v>14933.9</v>
      </c>
      <c r="I14" s="36" t="n">
        <f aca="false">IFERROR(SUMPRODUCT(C9:C13,I9:I13)/C14,0)</f>
        <v>0.249444444444444</v>
      </c>
      <c r="J14" s="34" t="n">
        <f aca="false">SUM(J9:J13)</f>
        <v>0</v>
      </c>
      <c r="K14" s="34" t="n">
        <f aca="false">SUM(K9:K13)</f>
        <v>0</v>
      </c>
    </row>
    <row r="52" customFormat="false" ht="15" hidden="false" customHeight="false" outlineLevel="0" collapsed="false">
      <c r="B52" s="37" t="s">
        <v>70</v>
      </c>
    </row>
  </sheetData>
  <mergeCells count="15">
    <mergeCell ref="A1:M1"/>
    <mergeCell ref="A2:J2"/>
    <mergeCell ref="K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hyperlinks>
    <hyperlink ref="K2" location="'Início'!A1" display="← Voltar ao Início"/>
    <hyperlink ref="B9" location="'Pós-graduação'!A1" display="Pós-graduação"/>
    <hyperlink ref="B10" location="'Concurso'!A1" display="Concurso"/>
    <hyperlink ref="B11" location="'Livros'!A1" display="Livros"/>
    <hyperlink ref="B12" location="'Cursos IA'!A1" display="Cursos IA"/>
    <hyperlink ref="B13" location="'Renda Extra'!A1" display="Renda Extr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S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9" min="8" style="0" width="7.5"/>
  </cols>
  <sheetData>
    <row r="1" customFormat="false" ht="37.5" hidden="false" customHeight="true" outlineLevel="0" collapsed="false">
      <c r="A1" s="17" t="s">
        <v>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 t="s">
        <v>52</v>
      </c>
      <c r="R2" s="19"/>
      <c r="S2" s="19"/>
    </row>
    <row r="3" customFormat="false" ht="7.5" hidden="false" customHeight="true" outlineLevel="0" collapsed="false"/>
    <row r="4" customFormat="false" ht="15" hidden="false" customHeight="false" outlineLevel="0" collapsed="false">
      <c r="A4" s="38" t="s">
        <v>73</v>
      </c>
      <c r="B4" s="39" t="n">
        <v>46296</v>
      </c>
      <c r="C4" s="37" t="s">
        <v>74</v>
      </c>
    </row>
    <row r="6" customFormat="false" ht="25.5" hidden="false" customHeight="true" outlineLevel="0" collapsed="false">
      <c r="A6" s="27" t="s">
        <v>60</v>
      </c>
      <c r="B6" s="27" t="s">
        <v>75</v>
      </c>
      <c r="C6" s="27" t="s">
        <v>76</v>
      </c>
      <c r="D6" s="27" t="s">
        <v>77</v>
      </c>
      <c r="E6" s="27" t="s">
        <v>78</v>
      </c>
      <c r="F6" s="27" t="s">
        <v>79</v>
      </c>
      <c r="G6" s="27" t="s">
        <v>80</v>
      </c>
      <c r="H6" s="40" t="n">
        <f aca="false">$B$4</f>
        <v>46296</v>
      </c>
      <c r="I6" s="40" t="n">
        <f aca="false">EDATE(H6,1)</f>
        <v>46327</v>
      </c>
      <c r="J6" s="40" t="n">
        <f aca="false">EDATE(I6,1)</f>
        <v>46357</v>
      </c>
      <c r="K6" s="40" t="n">
        <f aca="false">EDATE(J6,1)</f>
        <v>46388</v>
      </c>
      <c r="L6" s="40" t="n">
        <f aca="false">EDATE(K6,1)</f>
        <v>46419</v>
      </c>
      <c r="M6" s="40" t="n">
        <f aca="false">EDATE(L6,1)</f>
        <v>46447</v>
      </c>
      <c r="N6" s="40" t="n">
        <f aca="false">EDATE(M6,1)</f>
        <v>46478</v>
      </c>
      <c r="O6" s="40" t="n">
        <f aca="false">EDATE(N6,1)</f>
        <v>46508</v>
      </c>
      <c r="P6" s="40" t="n">
        <f aca="false">EDATE(O6,1)</f>
        <v>46539</v>
      </c>
      <c r="Q6" s="40" t="n">
        <f aca="false">EDATE(P6,1)</f>
        <v>46569</v>
      </c>
      <c r="R6" s="40" t="n">
        <f aca="false">EDATE(Q6,1)</f>
        <v>46600</v>
      </c>
      <c r="S6" s="40" t="n">
        <f aca="false">EDATE(R6,1)</f>
        <v>46631</v>
      </c>
    </row>
    <row r="7" customFormat="false" ht="19.5" hidden="false" customHeight="true" outlineLevel="0" collapsed="false">
      <c r="A7" s="41" t="s">
        <v>81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</row>
    <row r="8" customFormat="false" ht="18.75" hidden="false" customHeight="true" outlineLevel="0" collapsed="false">
      <c r="A8" s="28" t="str">
        <f aca="false">IF($B8="","","Pós-graduação")</f>
        <v>Pós-graduação</v>
      </c>
      <c r="B8" s="42" t="str">
        <f aca="false">IF('Pós-graduação'!B8="","",'Pós-graduação'!B8)</f>
        <v>MBA em Inteligência Artificial (exemplo)</v>
      </c>
      <c r="C8" s="43" t="str">
        <f aca="false">IF($B8="","",IF('Pós-graduação'!O8="","",'Pós-graduação'!O8))</f>
        <v>Em andamento</v>
      </c>
      <c r="D8" s="44" t="n">
        <f aca="false">IF($B8="","",IF('Pós-graduação'!G8="","",'Pós-graduação'!G8))</f>
        <v>46266</v>
      </c>
      <c r="E8" s="44" t="n">
        <f aca="false">IF($B8="","",IF('Pós-graduação'!H8&lt;&gt;"",'Pós-graduação'!H8,IF('Pós-graduação'!I8&lt;&gt;"",'Pós-graduação'!I8,"")))</f>
        <v>46813</v>
      </c>
      <c r="F8" s="44" t="n">
        <f aca="false">IF($B8="","",IF('Pós-graduação'!I8="","",'Pós-graduação'!I8))</f>
        <v>46997</v>
      </c>
      <c r="G8" s="30" t="n">
        <f aca="false">IF($B8="","",'Pós-graduação'!N8)</f>
        <v>0.1</v>
      </c>
      <c r="H8" s="45" t="str">
        <f aca="false">IF(OR($B8="",$F8=""),"",IF(AND($F8&gt;=H$6,$F8&lt;EDATE(H$6,1)),"▼",""))</f>
        <v/>
      </c>
      <c r="I8" s="45" t="str">
        <f aca="false">IF(OR($B8="",$F8=""),"",IF(AND($F8&gt;=I$6,$F8&lt;EDATE(I$6,1)),"▼",""))</f>
        <v/>
      </c>
      <c r="J8" s="45" t="str">
        <f aca="false">IF(OR($B8="",$F8=""),"",IF(AND($F8&gt;=J$6,$F8&lt;EDATE(J$6,1)),"▼",""))</f>
        <v/>
      </c>
      <c r="K8" s="45" t="str">
        <f aca="false">IF(OR($B8="",$F8=""),"",IF(AND($F8&gt;=K$6,$F8&lt;EDATE(K$6,1)),"▼",""))</f>
        <v/>
      </c>
      <c r="L8" s="45" t="str">
        <f aca="false">IF(OR($B8="",$F8=""),"",IF(AND($F8&gt;=L$6,$F8&lt;EDATE(L$6,1)),"▼",""))</f>
        <v/>
      </c>
      <c r="M8" s="45" t="str">
        <f aca="false">IF(OR($B8="",$F8=""),"",IF(AND($F8&gt;=M$6,$F8&lt;EDATE(M$6,1)),"▼",""))</f>
        <v/>
      </c>
      <c r="N8" s="45" t="str">
        <f aca="false">IF(OR($B8="",$F8=""),"",IF(AND($F8&gt;=N$6,$F8&lt;EDATE(N$6,1)),"▼",""))</f>
        <v/>
      </c>
      <c r="O8" s="45" t="str">
        <f aca="false">IF(OR($B8="",$F8=""),"",IF(AND($F8&gt;=O$6,$F8&lt;EDATE(O$6,1)),"▼",""))</f>
        <v/>
      </c>
      <c r="P8" s="45" t="str">
        <f aca="false">IF(OR($B8="",$F8=""),"",IF(AND($F8&gt;=P$6,$F8&lt;EDATE(P$6,1)),"▼",""))</f>
        <v/>
      </c>
      <c r="Q8" s="45" t="str">
        <f aca="false">IF(OR($B8="",$F8=""),"",IF(AND($F8&gt;=Q$6,$F8&lt;EDATE(Q$6,1)),"▼",""))</f>
        <v/>
      </c>
      <c r="R8" s="45" t="str">
        <f aca="false">IF(OR($B8="",$F8=""),"",IF(AND($F8&gt;=R$6,$F8&lt;EDATE(R$6,1)),"▼",""))</f>
        <v/>
      </c>
      <c r="S8" s="45" t="str">
        <f aca="false">IF(OR($B8="",$F8=""),"",IF(AND($F8&gt;=S$6,$F8&lt;EDATE(S$6,1)),"▼",""))</f>
        <v/>
      </c>
    </row>
    <row r="9" customFormat="false" ht="18.75" hidden="false" customHeight="true" outlineLevel="0" collapsed="false">
      <c r="A9" s="28" t="str">
        <f aca="false">IF($B9="","","Pós-graduação")</f>
        <v/>
      </c>
      <c r="B9" s="42" t="str">
        <f aca="false">IF('Pós-graduação'!B9="","",'Pós-graduação'!B9)</f>
        <v/>
      </c>
      <c r="C9" s="43" t="str">
        <f aca="false">IF($B9="","",IF('Pós-graduação'!O9="","",'Pós-graduação'!O9))</f>
        <v/>
      </c>
      <c r="D9" s="44" t="str">
        <f aca="false">IF($B9="","",IF('Pós-graduação'!G9="","",'Pós-graduação'!G9))</f>
        <v/>
      </c>
      <c r="E9" s="44" t="str">
        <f aca="false">IF($B9="","",IF('Pós-graduação'!H9&lt;&gt;"",'Pós-graduação'!H9,IF('Pós-graduação'!I9&lt;&gt;"",'Pós-graduação'!I9,"")))</f>
        <v/>
      </c>
      <c r="F9" s="44" t="str">
        <f aca="false">IF($B9="","",IF('Pós-graduação'!I9="","",'Pós-graduação'!I9))</f>
        <v/>
      </c>
      <c r="G9" s="30" t="str">
        <f aca="false">IF($B9="","",'Pós-graduação'!N9)</f>
        <v/>
      </c>
      <c r="H9" s="45" t="str">
        <f aca="false">IF(OR($B9="",$F9=""),"",IF(AND($F9&gt;=H$6,$F9&lt;EDATE(H$6,1)),"▼",""))</f>
        <v/>
      </c>
      <c r="I9" s="45" t="str">
        <f aca="false">IF(OR($B9="",$F9=""),"",IF(AND($F9&gt;=I$6,$F9&lt;EDATE(I$6,1)),"▼",""))</f>
        <v/>
      </c>
      <c r="J9" s="45" t="str">
        <f aca="false">IF(OR($B9="",$F9=""),"",IF(AND($F9&gt;=J$6,$F9&lt;EDATE(J$6,1)),"▼",""))</f>
        <v/>
      </c>
      <c r="K9" s="45" t="str">
        <f aca="false">IF(OR($B9="",$F9=""),"",IF(AND($F9&gt;=K$6,$F9&lt;EDATE(K$6,1)),"▼",""))</f>
        <v/>
      </c>
      <c r="L9" s="45" t="str">
        <f aca="false">IF(OR($B9="",$F9=""),"",IF(AND($F9&gt;=L$6,$F9&lt;EDATE(L$6,1)),"▼",""))</f>
        <v/>
      </c>
      <c r="M9" s="45" t="str">
        <f aca="false">IF(OR($B9="",$F9=""),"",IF(AND($F9&gt;=M$6,$F9&lt;EDATE(M$6,1)),"▼",""))</f>
        <v/>
      </c>
      <c r="N9" s="45" t="str">
        <f aca="false">IF(OR($B9="",$F9=""),"",IF(AND($F9&gt;=N$6,$F9&lt;EDATE(N$6,1)),"▼",""))</f>
        <v/>
      </c>
      <c r="O9" s="45" t="str">
        <f aca="false">IF(OR($B9="",$F9=""),"",IF(AND($F9&gt;=O$6,$F9&lt;EDATE(O$6,1)),"▼",""))</f>
        <v/>
      </c>
      <c r="P9" s="45" t="str">
        <f aca="false">IF(OR($B9="",$F9=""),"",IF(AND($F9&gt;=P$6,$F9&lt;EDATE(P$6,1)),"▼",""))</f>
        <v/>
      </c>
      <c r="Q9" s="45" t="str">
        <f aca="false">IF(OR($B9="",$F9=""),"",IF(AND($F9&gt;=Q$6,$F9&lt;EDATE(Q$6,1)),"▼",""))</f>
        <v/>
      </c>
      <c r="R9" s="45" t="str">
        <f aca="false">IF(OR($B9="",$F9=""),"",IF(AND($F9&gt;=R$6,$F9&lt;EDATE(R$6,1)),"▼",""))</f>
        <v/>
      </c>
      <c r="S9" s="45" t="str">
        <f aca="false">IF(OR($B9="",$F9=""),"",IF(AND($F9&gt;=S$6,$F9&lt;EDATE(S$6,1)),"▼",""))</f>
        <v/>
      </c>
    </row>
    <row r="10" customFormat="false" ht="18.75" hidden="false" customHeight="true" outlineLevel="0" collapsed="false">
      <c r="A10" s="28" t="str">
        <f aca="false">IF($B10="","","Pós-graduação")</f>
        <v/>
      </c>
      <c r="B10" s="42" t="str">
        <f aca="false">IF('Pós-graduação'!B10="","",'Pós-graduação'!B10)</f>
        <v/>
      </c>
      <c r="C10" s="43" t="str">
        <f aca="false">IF($B10="","",IF('Pós-graduação'!O10="","",'Pós-graduação'!O10))</f>
        <v/>
      </c>
      <c r="D10" s="44" t="str">
        <f aca="false">IF($B10="","",IF('Pós-graduação'!G10="","",'Pós-graduação'!G10))</f>
        <v/>
      </c>
      <c r="E10" s="44" t="str">
        <f aca="false">IF($B10="","",IF('Pós-graduação'!H10&lt;&gt;"",'Pós-graduação'!H10,IF('Pós-graduação'!I10&lt;&gt;"",'Pós-graduação'!I10,"")))</f>
        <v/>
      </c>
      <c r="F10" s="44" t="str">
        <f aca="false">IF($B10="","",IF('Pós-graduação'!I10="","",'Pós-graduação'!I10))</f>
        <v/>
      </c>
      <c r="G10" s="30" t="str">
        <f aca="false">IF($B10="","",'Pós-graduação'!N10)</f>
        <v/>
      </c>
      <c r="H10" s="45" t="str">
        <f aca="false">IF(OR($B10="",$F10=""),"",IF(AND($F10&gt;=H$6,$F10&lt;EDATE(H$6,1)),"▼",""))</f>
        <v/>
      </c>
      <c r="I10" s="45" t="str">
        <f aca="false">IF(OR($B10="",$F10=""),"",IF(AND($F10&gt;=I$6,$F10&lt;EDATE(I$6,1)),"▼",""))</f>
        <v/>
      </c>
      <c r="J10" s="45" t="str">
        <f aca="false">IF(OR($B10="",$F10=""),"",IF(AND($F10&gt;=J$6,$F10&lt;EDATE(J$6,1)),"▼",""))</f>
        <v/>
      </c>
      <c r="K10" s="45" t="str">
        <f aca="false">IF(OR($B10="",$F10=""),"",IF(AND($F10&gt;=K$6,$F10&lt;EDATE(K$6,1)),"▼",""))</f>
        <v/>
      </c>
      <c r="L10" s="45" t="str">
        <f aca="false">IF(OR($B10="",$F10=""),"",IF(AND($F10&gt;=L$6,$F10&lt;EDATE(L$6,1)),"▼",""))</f>
        <v/>
      </c>
      <c r="M10" s="45" t="str">
        <f aca="false">IF(OR($B10="",$F10=""),"",IF(AND($F10&gt;=M$6,$F10&lt;EDATE(M$6,1)),"▼",""))</f>
        <v/>
      </c>
      <c r="N10" s="45" t="str">
        <f aca="false">IF(OR($B10="",$F10=""),"",IF(AND($F10&gt;=N$6,$F10&lt;EDATE(N$6,1)),"▼",""))</f>
        <v/>
      </c>
      <c r="O10" s="45" t="str">
        <f aca="false">IF(OR($B10="",$F10=""),"",IF(AND($F10&gt;=O$6,$F10&lt;EDATE(O$6,1)),"▼",""))</f>
        <v/>
      </c>
      <c r="P10" s="45" t="str">
        <f aca="false">IF(OR($B10="",$F10=""),"",IF(AND($F10&gt;=P$6,$F10&lt;EDATE(P$6,1)),"▼",""))</f>
        <v/>
      </c>
      <c r="Q10" s="45" t="str">
        <f aca="false">IF(OR($B10="",$F10=""),"",IF(AND($F10&gt;=Q$6,$F10&lt;EDATE(Q$6,1)),"▼",""))</f>
        <v/>
      </c>
      <c r="R10" s="45" t="str">
        <f aca="false">IF(OR($B10="",$F10=""),"",IF(AND($F10&gt;=R$6,$F10&lt;EDATE(R$6,1)),"▼",""))</f>
        <v/>
      </c>
      <c r="S10" s="45" t="str">
        <f aca="false">IF(OR($B10="",$F10=""),"",IF(AND($F10&gt;=S$6,$F10&lt;EDATE(S$6,1)),"▼",""))</f>
        <v/>
      </c>
    </row>
    <row r="11" customFormat="false" ht="18.75" hidden="false" customHeight="true" outlineLevel="0" collapsed="false">
      <c r="A11" s="28" t="str">
        <f aca="false">IF($B11="","","Pós-graduação")</f>
        <v/>
      </c>
      <c r="B11" s="42" t="str">
        <f aca="false">IF('Pós-graduação'!B11="","",'Pós-graduação'!B11)</f>
        <v/>
      </c>
      <c r="C11" s="43" t="str">
        <f aca="false">IF($B11="","",IF('Pós-graduação'!O11="","",'Pós-graduação'!O11))</f>
        <v/>
      </c>
      <c r="D11" s="44" t="str">
        <f aca="false">IF($B11="","",IF('Pós-graduação'!G11="","",'Pós-graduação'!G11))</f>
        <v/>
      </c>
      <c r="E11" s="44" t="str">
        <f aca="false">IF($B11="","",IF('Pós-graduação'!H11&lt;&gt;"",'Pós-graduação'!H11,IF('Pós-graduação'!I11&lt;&gt;"",'Pós-graduação'!I11,"")))</f>
        <v/>
      </c>
      <c r="F11" s="44" t="str">
        <f aca="false">IF($B11="","",IF('Pós-graduação'!I11="","",'Pós-graduação'!I11))</f>
        <v/>
      </c>
      <c r="G11" s="30" t="str">
        <f aca="false">IF($B11="","",'Pós-graduação'!N11)</f>
        <v/>
      </c>
      <c r="H11" s="45" t="str">
        <f aca="false">IF(OR($B11="",$F11=""),"",IF(AND($F11&gt;=H$6,$F11&lt;EDATE(H$6,1)),"▼",""))</f>
        <v/>
      </c>
      <c r="I11" s="45" t="str">
        <f aca="false">IF(OR($B11="",$F11=""),"",IF(AND($F11&gt;=I$6,$F11&lt;EDATE(I$6,1)),"▼",""))</f>
        <v/>
      </c>
      <c r="J11" s="45" t="str">
        <f aca="false">IF(OR($B11="",$F11=""),"",IF(AND($F11&gt;=J$6,$F11&lt;EDATE(J$6,1)),"▼",""))</f>
        <v/>
      </c>
      <c r="K11" s="45" t="str">
        <f aca="false">IF(OR($B11="",$F11=""),"",IF(AND($F11&gt;=K$6,$F11&lt;EDATE(K$6,1)),"▼",""))</f>
        <v/>
      </c>
      <c r="L11" s="45" t="str">
        <f aca="false">IF(OR($B11="",$F11=""),"",IF(AND($F11&gt;=L$6,$F11&lt;EDATE(L$6,1)),"▼",""))</f>
        <v/>
      </c>
      <c r="M11" s="45" t="str">
        <f aca="false">IF(OR($B11="",$F11=""),"",IF(AND($F11&gt;=M$6,$F11&lt;EDATE(M$6,1)),"▼",""))</f>
        <v/>
      </c>
      <c r="N11" s="45" t="str">
        <f aca="false">IF(OR($B11="",$F11=""),"",IF(AND($F11&gt;=N$6,$F11&lt;EDATE(N$6,1)),"▼",""))</f>
        <v/>
      </c>
      <c r="O11" s="45" t="str">
        <f aca="false">IF(OR($B11="",$F11=""),"",IF(AND($F11&gt;=O$6,$F11&lt;EDATE(O$6,1)),"▼",""))</f>
        <v/>
      </c>
      <c r="P11" s="45" t="str">
        <f aca="false">IF(OR($B11="",$F11=""),"",IF(AND($F11&gt;=P$6,$F11&lt;EDATE(P$6,1)),"▼",""))</f>
        <v/>
      </c>
      <c r="Q11" s="45" t="str">
        <f aca="false">IF(OR($B11="",$F11=""),"",IF(AND($F11&gt;=Q$6,$F11&lt;EDATE(Q$6,1)),"▼",""))</f>
        <v/>
      </c>
      <c r="R11" s="45" t="str">
        <f aca="false">IF(OR($B11="",$F11=""),"",IF(AND($F11&gt;=R$6,$F11&lt;EDATE(R$6,1)),"▼",""))</f>
        <v/>
      </c>
      <c r="S11" s="45" t="str">
        <f aca="false">IF(OR($B11="",$F11=""),"",IF(AND($F11&gt;=S$6,$F11&lt;EDATE(S$6,1)),"▼",""))</f>
        <v/>
      </c>
    </row>
    <row r="12" customFormat="false" ht="18.75" hidden="false" customHeight="true" outlineLevel="0" collapsed="false">
      <c r="A12" s="28" t="str">
        <f aca="false">IF($B12="","","Pós-graduação")</f>
        <v/>
      </c>
      <c r="B12" s="42" t="str">
        <f aca="false">IF('Pós-graduação'!B12="","",'Pós-graduação'!B12)</f>
        <v/>
      </c>
      <c r="C12" s="43" t="str">
        <f aca="false">IF($B12="","",IF('Pós-graduação'!O12="","",'Pós-graduação'!O12))</f>
        <v/>
      </c>
      <c r="D12" s="44" t="str">
        <f aca="false">IF($B12="","",IF('Pós-graduação'!G12="","",'Pós-graduação'!G12))</f>
        <v/>
      </c>
      <c r="E12" s="44" t="str">
        <f aca="false">IF($B12="","",IF('Pós-graduação'!H12&lt;&gt;"",'Pós-graduação'!H12,IF('Pós-graduação'!I12&lt;&gt;"",'Pós-graduação'!I12,"")))</f>
        <v/>
      </c>
      <c r="F12" s="44" t="str">
        <f aca="false">IF($B12="","",IF('Pós-graduação'!I12="","",'Pós-graduação'!I12))</f>
        <v/>
      </c>
      <c r="G12" s="30" t="str">
        <f aca="false">IF($B12="","",'Pós-graduação'!N12)</f>
        <v/>
      </c>
      <c r="H12" s="45" t="str">
        <f aca="false">IF(OR($B12="",$F12=""),"",IF(AND($F12&gt;=H$6,$F12&lt;EDATE(H$6,1)),"▼",""))</f>
        <v/>
      </c>
      <c r="I12" s="45" t="str">
        <f aca="false">IF(OR($B12="",$F12=""),"",IF(AND($F12&gt;=I$6,$F12&lt;EDATE(I$6,1)),"▼",""))</f>
        <v/>
      </c>
      <c r="J12" s="45" t="str">
        <f aca="false">IF(OR($B12="",$F12=""),"",IF(AND($F12&gt;=J$6,$F12&lt;EDATE(J$6,1)),"▼",""))</f>
        <v/>
      </c>
      <c r="K12" s="45" t="str">
        <f aca="false">IF(OR($B12="",$F12=""),"",IF(AND($F12&gt;=K$6,$F12&lt;EDATE(K$6,1)),"▼",""))</f>
        <v/>
      </c>
      <c r="L12" s="45" t="str">
        <f aca="false">IF(OR($B12="",$F12=""),"",IF(AND($F12&gt;=L$6,$F12&lt;EDATE(L$6,1)),"▼",""))</f>
        <v/>
      </c>
      <c r="M12" s="45" t="str">
        <f aca="false">IF(OR($B12="",$F12=""),"",IF(AND($F12&gt;=M$6,$F12&lt;EDATE(M$6,1)),"▼",""))</f>
        <v/>
      </c>
      <c r="N12" s="45" t="str">
        <f aca="false">IF(OR($B12="",$F12=""),"",IF(AND($F12&gt;=N$6,$F12&lt;EDATE(N$6,1)),"▼",""))</f>
        <v/>
      </c>
      <c r="O12" s="45" t="str">
        <f aca="false">IF(OR($B12="",$F12=""),"",IF(AND($F12&gt;=O$6,$F12&lt;EDATE(O$6,1)),"▼",""))</f>
        <v/>
      </c>
      <c r="P12" s="45" t="str">
        <f aca="false">IF(OR($B12="",$F12=""),"",IF(AND($F12&gt;=P$6,$F12&lt;EDATE(P$6,1)),"▼",""))</f>
        <v/>
      </c>
      <c r="Q12" s="45" t="str">
        <f aca="false">IF(OR($B12="",$F12=""),"",IF(AND($F12&gt;=Q$6,$F12&lt;EDATE(Q$6,1)),"▼",""))</f>
        <v/>
      </c>
      <c r="R12" s="45" t="str">
        <f aca="false">IF(OR($B12="",$F12=""),"",IF(AND($F12&gt;=R$6,$F12&lt;EDATE(R$6,1)),"▼",""))</f>
        <v/>
      </c>
      <c r="S12" s="45" t="str">
        <f aca="false">IF(OR($B12="",$F12=""),"",IF(AND($F12&gt;=S$6,$F12&lt;EDATE(S$6,1)),"▼",""))</f>
        <v/>
      </c>
    </row>
    <row r="13" customFormat="false" ht="18.75" hidden="false" customHeight="true" outlineLevel="0" collapsed="false">
      <c r="A13" s="28" t="str">
        <f aca="false">IF($B13="","","Pós-graduação")</f>
        <v/>
      </c>
      <c r="B13" s="42" t="str">
        <f aca="false">IF('Pós-graduação'!B13="","",'Pós-graduação'!B13)</f>
        <v/>
      </c>
      <c r="C13" s="43" t="str">
        <f aca="false">IF($B13="","",IF('Pós-graduação'!O13="","",'Pós-graduação'!O13))</f>
        <v/>
      </c>
      <c r="D13" s="44" t="str">
        <f aca="false">IF($B13="","",IF('Pós-graduação'!G13="","",'Pós-graduação'!G13))</f>
        <v/>
      </c>
      <c r="E13" s="44" t="str">
        <f aca="false">IF($B13="","",IF('Pós-graduação'!H13&lt;&gt;"",'Pós-graduação'!H13,IF('Pós-graduação'!I13&lt;&gt;"",'Pós-graduação'!I13,"")))</f>
        <v/>
      </c>
      <c r="F13" s="44" t="str">
        <f aca="false">IF($B13="","",IF('Pós-graduação'!I13="","",'Pós-graduação'!I13))</f>
        <v/>
      </c>
      <c r="G13" s="30" t="str">
        <f aca="false">IF($B13="","",'Pós-graduação'!N13)</f>
        <v/>
      </c>
      <c r="H13" s="45" t="str">
        <f aca="false">IF(OR($B13="",$F13=""),"",IF(AND($F13&gt;=H$6,$F13&lt;EDATE(H$6,1)),"▼",""))</f>
        <v/>
      </c>
      <c r="I13" s="45" t="str">
        <f aca="false">IF(OR($B13="",$F13=""),"",IF(AND($F13&gt;=I$6,$F13&lt;EDATE(I$6,1)),"▼",""))</f>
        <v/>
      </c>
      <c r="J13" s="45" t="str">
        <f aca="false">IF(OR($B13="",$F13=""),"",IF(AND($F13&gt;=J$6,$F13&lt;EDATE(J$6,1)),"▼",""))</f>
        <v/>
      </c>
      <c r="K13" s="45" t="str">
        <f aca="false">IF(OR($B13="",$F13=""),"",IF(AND($F13&gt;=K$6,$F13&lt;EDATE(K$6,1)),"▼",""))</f>
        <v/>
      </c>
      <c r="L13" s="45" t="str">
        <f aca="false">IF(OR($B13="",$F13=""),"",IF(AND($F13&gt;=L$6,$F13&lt;EDATE(L$6,1)),"▼",""))</f>
        <v/>
      </c>
      <c r="M13" s="45" t="str">
        <f aca="false">IF(OR($B13="",$F13=""),"",IF(AND($F13&gt;=M$6,$F13&lt;EDATE(M$6,1)),"▼",""))</f>
        <v/>
      </c>
      <c r="N13" s="45" t="str">
        <f aca="false">IF(OR($B13="",$F13=""),"",IF(AND($F13&gt;=N$6,$F13&lt;EDATE(N$6,1)),"▼",""))</f>
        <v/>
      </c>
      <c r="O13" s="45" t="str">
        <f aca="false">IF(OR($B13="",$F13=""),"",IF(AND($F13&gt;=O$6,$F13&lt;EDATE(O$6,1)),"▼",""))</f>
        <v/>
      </c>
      <c r="P13" s="45" t="str">
        <f aca="false">IF(OR($B13="",$F13=""),"",IF(AND($F13&gt;=P$6,$F13&lt;EDATE(P$6,1)),"▼",""))</f>
        <v/>
      </c>
      <c r="Q13" s="45" t="str">
        <f aca="false">IF(OR($B13="",$F13=""),"",IF(AND($F13&gt;=Q$6,$F13&lt;EDATE(Q$6,1)),"▼",""))</f>
        <v/>
      </c>
      <c r="R13" s="45" t="str">
        <f aca="false">IF(OR($B13="",$F13=""),"",IF(AND($F13&gt;=R$6,$F13&lt;EDATE(R$6,1)),"▼",""))</f>
        <v/>
      </c>
      <c r="S13" s="45" t="str">
        <f aca="false">IF(OR($B13="",$F13=""),"",IF(AND($F13&gt;=S$6,$F13&lt;EDATE(S$6,1)),"▼",""))</f>
        <v/>
      </c>
    </row>
    <row r="14" customFormat="false" ht="18.75" hidden="false" customHeight="true" outlineLevel="0" collapsed="false">
      <c r="A14" s="28" t="str">
        <f aca="false">IF($B14="","","Pós-graduação")</f>
        <v/>
      </c>
      <c r="B14" s="42" t="str">
        <f aca="false">IF('Pós-graduação'!B14="","",'Pós-graduação'!B14)</f>
        <v/>
      </c>
      <c r="C14" s="43" t="str">
        <f aca="false">IF($B14="","",IF('Pós-graduação'!O14="","",'Pós-graduação'!O14))</f>
        <v/>
      </c>
      <c r="D14" s="44" t="str">
        <f aca="false">IF($B14="","",IF('Pós-graduação'!G14="","",'Pós-graduação'!G14))</f>
        <v/>
      </c>
      <c r="E14" s="44" t="str">
        <f aca="false">IF($B14="","",IF('Pós-graduação'!H14&lt;&gt;"",'Pós-graduação'!H14,IF('Pós-graduação'!I14&lt;&gt;"",'Pós-graduação'!I14,"")))</f>
        <v/>
      </c>
      <c r="F14" s="44" t="str">
        <f aca="false">IF($B14="","",IF('Pós-graduação'!I14="","",'Pós-graduação'!I14))</f>
        <v/>
      </c>
      <c r="G14" s="30" t="str">
        <f aca="false">IF($B14="","",'Pós-graduação'!N14)</f>
        <v/>
      </c>
      <c r="H14" s="45" t="str">
        <f aca="false">IF(OR($B14="",$F14=""),"",IF(AND($F14&gt;=H$6,$F14&lt;EDATE(H$6,1)),"▼",""))</f>
        <v/>
      </c>
      <c r="I14" s="45" t="str">
        <f aca="false">IF(OR($B14="",$F14=""),"",IF(AND($F14&gt;=I$6,$F14&lt;EDATE(I$6,1)),"▼",""))</f>
        <v/>
      </c>
      <c r="J14" s="45" t="str">
        <f aca="false">IF(OR($B14="",$F14=""),"",IF(AND($F14&gt;=J$6,$F14&lt;EDATE(J$6,1)),"▼",""))</f>
        <v/>
      </c>
      <c r="K14" s="45" t="str">
        <f aca="false">IF(OR($B14="",$F14=""),"",IF(AND($F14&gt;=K$6,$F14&lt;EDATE(K$6,1)),"▼",""))</f>
        <v/>
      </c>
      <c r="L14" s="45" t="str">
        <f aca="false">IF(OR($B14="",$F14=""),"",IF(AND($F14&gt;=L$6,$F14&lt;EDATE(L$6,1)),"▼",""))</f>
        <v/>
      </c>
      <c r="M14" s="45" t="str">
        <f aca="false">IF(OR($B14="",$F14=""),"",IF(AND($F14&gt;=M$6,$F14&lt;EDATE(M$6,1)),"▼",""))</f>
        <v/>
      </c>
      <c r="N14" s="45" t="str">
        <f aca="false">IF(OR($B14="",$F14=""),"",IF(AND($F14&gt;=N$6,$F14&lt;EDATE(N$6,1)),"▼",""))</f>
        <v/>
      </c>
      <c r="O14" s="45" t="str">
        <f aca="false">IF(OR($B14="",$F14=""),"",IF(AND($F14&gt;=O$6,$F14&lt;EDATE(O$6,1)),"▼",""))</f>
        <v/>
      </c>
      <c r="P14" s="45" t="str">
        <f aca="false">IF(OR($B14="",$F14=""),"",IF(AND($F14&gt;=P$6,$F14&lt;EDATE(P$6,1)),"▼",""))</f>
        <v/>
      </c>
      <c r="Q14" s="45" t="str">
        <f aca="false">IF(OR($B14="",$F14=""),"",IF(AND($F14&gt;=Q$6,$F14&lt;EDATE(Q$6,1)),"▼",""))</f>
        <v/>
      </c>
      <c r="R14" s="45" t="str">
        <f aca="false">IF(OR($B14="",$F14=""),"",IF(AND($F14&gt;=R$6,$F14&lt;EDATE(R$6,1)),"▼",""))</f>
        <v/>
      </c>
      <c r="S14" s="45" t="str">
        <f aca="false">IF(OR($B14="",$F14=""),"",IF(AND($F14&gt;=S$6,$F14&lt;EDATE(S$6,1)),"▼",""))</f>
        <v/>
      </c>
    </row>
    <row r="15" customFormat="false" ht="18.75" hidden="false" customHeight="true" outlineLevel="0" collapsed="false">
      <c r="A15" s="28" t="str">
        <f aca="false">IF($B15="","","Pós-graduação")</f>
        <v/>
      </c>
      <c r="B15" s="42" t="str">
        <f aca="false">IF('Pós-graduação'!B15="","",'Pós-graduação'!B15)</f>
        <v/>
      </c>
      <c r="C15" s="43" t="str">
        <f aca="false">IF($B15="","",IF('Pós-graduação'!O15="","",'Pós-graduação'!O15))</f>
        <v/>
      </c>
      <c r="D15" s="44" t="str">
        <f aca="false">IF($B15="","",IF('Pós-graduação'!G15="","",'Pós-graduação'!G15))</f>
        <v/>
      </c>
      <c r="E15" s="44" t="str">
        <f aca="false">IF($B15="","",IF('Pós-graduação'!H15&lt;&gt;"",'Pós-graduação'!H15,IF('Pós-graduação'!I15&lt;&gt;"",'Pós-graduação'!I15,"")))</f>
        <v/>
      </c>
      <c r="F15" s="44" t="str">
        <f aca="false">IF($B15="","",IF('Pós-graduação'!I15="","",'Pós-graduação'!I15))</f>
        <v/>
      </c>
      <c r="G15" s="30" t="str">
        <f aca="false">IF($B15="","",'Pós-graduação'!N15)</f>
        <v/>
      </c>
      <c r="H15" s="45" t="str">
        <f aca="false">IF(OR($B15="",$F15=""),"",IF(AND($F15&gt;=H$6,$F15&lt;EDATE(H$6,1)),"▼",""))</f>
        <v/>
      </c>
      <c r="I15" s="45" t="str">
        <f aca="false">IF(OR($B15="",$F15=""),"",IF(AND($F15&gt;=I$6,$F15&lt;EDATE(I$6,1)),"▼",""))</f>
        <v/>
      </c>
      <c r="J15" s="45" t="str">
        <f aca="false">IF(OR($B15="",$F15=""),"",IF(AND($F15&gt;=J$6,$F15&lt;EDATE(J$6,1)),"▼",""))</f>
        <v/>
      </c>
      <c r="K15" s="45" t="str">
        <f aca="false">IF(OR($B15="",$F15=""),"",IF(AND($F15&gt;=K$6,$F15&lt;EDATE(K$6,1)),"▼",""))</f>
        <v/>
      </c>
      <c r="L15" s="45" t="str">
        <f aca="false">IF(OR($B15="",$F15=""),"",IF(AND($F15&gt;=L$6,$F15&lt;EDATE(L$6,1)),"▼",""))</f>
        <v/>
      </c>
      <c r="M15" s="45" t="str">
        <f aca="false">IF(OR($B15="",$F15=""),"",IF(AND($F15&gt;=M$6,$F15&lt;EDATE(M$6,1)),"▼",""))</f>
        <v/>
      </c>
      <c r="N15" s="45" t="str">
        <f aca="false">IF(OR($B15="",$F15=""),"",IF(AND($F15&gt;=N$6,$F15&lt;EDATE(N$6,1)),"▼",""))</f>
        <v/>
      </c>
      <c r="O15" s="45" t="str">
        <f aca="false">IF(OR($B15="",$F15=""),"",IF(AND($F15&gt;=O$6,$F15&lt;EDATE(O$6,1)),"▼",""))</f>
        <v/>
      </c>
      <c r="P15" s="45" t="str">
        <f aca="false">IF(OR($B15="",$F15=""),"",IF(AND($F15&gt;=P$6,$F15&lt;EDATE(P$6,1)),"▼",""))</f>
        <v/>
      </c>
      <c r="Q15" s="45" t="str">
        <f aca="false">IF(OR($B15="",$F15=""),"",IF(AND($F15&gt;=Q$6,$F15&lt;EDATE(Q$6,1)),"▼",""))</f>
        <v/>
      </c>
      <c r="R15" s="45" t="str">
        <f aca="false">IF(OR($B15="",$F15=""),"",IF(AND($F15&gt;=R$6,$F15&lt;EDATE(R$6,1)),"▼",""))</f>
        <v/>
      </c>
      <c r="S15" s="45" t="str">
        <f aca="false">IF(OR($B15="",$F15=""),"",IF(AND($F15&gt;=S$6,$F15&lt;EDATE(S$6,1)),"▼",""))</f>
        <v/>
      </c>
    </row>
    <row r="16" customFormat="false" ht="18.75" hidden="false" customHeight="true" outlineLevel="0" collapsed="false">
      <c r="A16" s="28" t="str">
        <f aca="false">IF($B16="","","Pós-graduação")</f>
        <v/>
      </c>
      <c r="B16" s="42" t="str">
        <f aca="false">IF('Pós-graduação'!B16="","",'Pós-graduação'!B16)</f>
        <v/>
      </c>
      <c r="C16" s="43" t="str">
        <f aca="false">IF($B16="","",IF('Pós-graduação'!O16="","",'Pós-graduação'!O16))</f>
        <v/>
      </c>
      <c r="D16" s="44" t="str">
        <f aca="false">IF($B16="","",IF('Pós-graduação'!G16="","",'Pós-graduação'!G16))</f>
        <v/>
      </c>
      <c r="E16" s="44" t="str">
        <f aca="false">IF($B16="","",IF('Pós-graduação'!H16&lt;&gt;"",'Pós-graduação'!H16,IF('Pós-graduação'!I16&lt;&gt;"",'Pós-graduação'!I16,"")))</f>
        <v/>
      </c>
      <c r="F16" s="44" t="str">
        <f aca="false">IF($B16="","",IF('Pós-graduação'!I16="","",'Pós-graduação'!I16))</f>
        <v/>
      </c>
      <c r="G16" s="30" t="str">
        <f aca="false">IF($B16="","",'Pós-graduação'!N16)</f>
        <v/>
      </c>
      <c r="H16" s="45" t="str">
        <f aca="false">IF(OR($B16="",$F16=""),"",IF(AND($F16&gt;=H$6,$F16&lt;EDATE(H$6,1)),"▼",""))</f>
        <v/>
      </c>
      <c r="I16" s="45" t="str">
        <f aca="false">IF(OR($B16="",$F16=""),"",IF(AND($F16&gt;=I$6,$F16&lt;EDATE(I$6,1)),"▼",""))</f>
        <v/>
      </c>
      <c r="J16" s="45" t="str">
        <f aca="false">IF(OR($B16="",$F16=""),"",IF(AND($F16&gt;=J$6,$F16&lt;EDATE(J$6,1)),"▼",""))</f>
        <v/>
      </c>
      <c r="K16" s="45" t="str">
        <f aca="false">IF(OR($B16="",$F16=""),"",IF(AND($F16&gt;=K$6,$F16&lt;EDATE(K$6,1)),"▼",""))</f>
        <v/>
      </c>
      <c r="L16" s="45" t="str">
        <f aca="false">IF(OR($B16="",$F16=""),"",IF(AND($F16&gt;=L$6,$F16&lt;EDATE(L$6,1)),"▼",""))</f>
        <v/>
      </c>
      <c r="M16" s="45" t="str">
        <f aca="false">IF(OR($B16="",$F16=""),"",IF(AND($F16&gt;=M$6,$F16&lt;EDATE(M$6,1)),"▼",""))</f>
        <v/>
      </c>
      <c r="N16" s="45" t="str">
        <f aca="false">IF(OR($B16="",$F16=""),"",IF(AND($F16&gt;=N$6,$F16&lt;EDATE(N$6,1)),"▼",""))</f>
        <v/>
      </c>
      <c r="O16" s="45" t="str">
        <f aca="false">IF(OR($B16="",$F16=""),"",IF(AND($F16&gt;=O$6,$F16&lt;EDATE(O$6,1)),"▼",""))</f>
        <v/>
      </c>
      <c r="P16" s="45" t="str">
        <f aca="false">IF(OR($B16="",$F16=""),"",IF(AND($F16&gt;=P$6,$F16&lt;EDATE(P$6,1)),"▼",""))</f>
        <v/>
      </c>
      <c r="Q16" s="45" t="str">
        <f aca="false">IF(OR($B16="",$F16=""),"",IF(AND($F16&gt;=Q$6,$F16&lt;EDATE(Q$6,1)),"▼",""))</f>
        <v/>
      </c>
      <c r="R16" s="45" t="str">
        <f aca="false">IF(OR($B16="",$F16=""),"",IF(AND($F16&gt;=R$6,$F16&lt;EDATE(R$6,1)),"▼",""))</f>
        <v/>
      </c>
      <c r="S16" s="45" t="str">
        <f aca="false">IF(OR($B16="",$F16=""),"",IF(AND($F16&gt;=S$6,$F16&lt;EDATE(S$6,1)),"▼",""))</f>
        <v/>
      </c>
    </row>
    <row r="17" customFormat="false" ht="18.75" hidden="false" customHeight="true" outlineLevel="0" collapsed="false">
      <c r="A17" s="28" t="str">
        <f aca="false">IF($B17="","","Pós-graduação")</f>
        <v/>
      </c>
      <c r="B17" s="42" t="str">
        <f aca="false">IF('Pós-graduação'!B17="","",'Pós-graduação'!B17)</f>
        <v/>
      </c>
      <c r="C17" s="43" t="str">
        <f aca="false">IF($B17="","",IF('Pós-graduação'!O17="","",'Pós-graduação'!O17))</f>
        <v/>
      </c>
      <c r="D17" s="44" t="str">
        <f aca="false">IF($B17="","",IF('Pós-graduação'!G17="","",'Pós-graduação'!G17))</f>
        <v/>
      </c>
      <c r="E17" s="44" t="str">
        <f aca="false">IF($B17="","",IF('Pós-graduação'!H17&lt;&gt;"",'Pós-graduação'!H17,IF('Pós-graduação'!I17&lt;&gt;"",'Pós-graduação'!I17,"")))</f>
        <v/>
      </c>
      <c r="F17" s="44" t="str">
        <f aca="false">IF($B17="","",IF('Pós-graduação'!I17="","",'Pós-graduação'!I17))</f>
        <v/>
      </c>
      <c r="G17" s="30" t="str">
        <f aca="false">IF($B17="","",'Pós-graduação'!N17)</f>
        <v/>
      </c>
      <c r="H17" s="45" t="str">
        <f aca="false">IF(OR($B17="",$F17=""),"",IF(AND($F17&gt;=H$6,$F17&lt;EDATE(H$6,1)),"▼",""))</f>
        <v/>
      </c>
      <c r="I17" s="45" t="str">
        <f aca="false">IF(OR($B17="",$F17=""),"",IF(AND($F17&gt;=I$6,$F17&lt;EDATE(I$6,1)),"▼",""))</f>
        <v/>
      </c>
      <c r="J17" s="45" t="str">
        <f aca="false">IF(OR($B17="",$F17=""),"",IF(AND($F17&gt;=J$6,$F17&lt;EDATE(J$6,1)),"▼",""))</f>
        <v/>
      </c>
      <c r="K17" s="45" t="str">
        <f aca="false">IF(OR($B17="",$F17=""),"",IF(AND($F17&gt;=K$6,$F17&lt;EDATE(K$6,1)),"▼",""))</f>
        <v/>
      </c>
      <c r="L17" s="45" t="str">
        <f aca="false">IF(OR($B17="",$F17=""),"",IF(AND($F17&gt;=L$6,$F17&lt;EDATE(L$6,1)),"▼",""))</f>
        <v/>
      </c>
      <c r="M17" s="45" t="str">
        <f aca="false">IF(OR($B17="",$F17=""),"",IF(AND($F17&gt;=M$6,$F17&lt;EDATE(M$6,1)),"▼",""))</f>
        <v/>
      </c>
      <c r="N17" s="45" t="str">
        <f aca="false">IF(OR($B17="",$F17=""),"",IF(AND($F17&gt;=N$6,$F17&lt;EDATE(N$6,1)),"▼",""))</f>
        <v/>
      </c>
      <c r="O17" s="45" t="str">
        <f aca="false">IF(OR($B17="",$F17=""),"",IF(AND($F17&gt;=O$6,$F17&lt;EDATE(O$6,1)),"▼",""))</f>
        <v/>
      </c>
      <c r="P17" s="45" t="str">
        <f aca="false">IF(OR($B17="",$F17=""),"",IF(AND($F17&gt;=P$6,$F17&lt;EDATE(P$6,1)),"▼",""))</f>
        <v/>
      </c>
      <c r="Q17" s="45" t="str">
        <f aca="false">IF(OR($B17="",$F17=""),"",IF(AND($F17&gt;=Q$6,$F17&lt;EDATE(Q$6,1)),"▼",""))</f>
        <v/>
      </c>
      <c r="R17" s="45" t="str">
        <f aca="false">IF(OR($B17="",$F17=""),"",IF(AND($F17&gt;=R$6,$F17&lt;EDATE(R$6,1)),"▼",""))</f>
        <v/>
      </c>
      <c r="S17" s="45" t="str">
        <f aca="false">IF(OR($B17="",$F17=""),"",IF(AND($F17&gt;=S$6,$F17&lt;EDATE(S$6,1)),"▼",""))</f>
        <v/>
      </c>
    </row>
    <row r="18" customFormat="false" ht="18.75" hidden="false" customHeight="true" outlineLevel="0" collapsed="false">
      <c r="A18" s="28" t="str">
        <f aca="false">IF($B18="","","Pós-graduação")</f>
        <v/>
      </c>
      <c r="B18" s="42" t="str">
        <f aca="false">IF('Pós-graduação'!B18="","",'Pós-graduação'!B18)</f>
        <v/>
      </c>
      <c r="C18" s="43" t="str">
        <f aca="false">IF($B18="","",IF('Pós-graduação'!O18="","",'Pós-graduação'!O18))</f>
        <v/>
      </c>
      <c r="D18" s="44" t="str">
        <f aca="false">IF($B18="","",IF('Pós-graduação'!G18="","",'Pós-graduação'!G18))</f>
        <v/>
      </c>
      <c r="E18" s="44" t="str">
        <f aca="false">IF($B18="","",IF('Pós-graduação'!H18&lt;&gt;"",'Pós-graduação'!H18,IF('Pós-graduação'!I18&lt;&gt;"",'Pós-graduação'!I18,"")))</f>
        <v/>
      </c>
      <c r="F18" s="44" t="str">
        <f aca="false">IF($B18="","",IF('Pós-graduação'!I18="","",'Pós-graduação'!I18))</f>
        <v/>
      </c>
      <c r="G18" s="30" t="str">
        <f aca="false">IF($B18="","",'Pós-graduação'!N18)</f>
        <v/>
      </c>
      <c r="H18" s="45" t="str">
        <f aca="false">IF(OR($B18="",$F18=""),"",IF(AND($F18&gt;=H$6,$F18&lt;EDATE(H$6,1)),"▼",""))</f>
        <v/>
      </c>
      <c r="I18" s="45" t="str">
        <f aca="false">IF(OR($B18="",$F18=""),"",IF(AND($F18&gt;=I$6,$F18&lt;EDATE(I$6,1)),"▼",""))</f>
        <v/>
      </c>
      <c r="J18" s="45" t="str">
        <f aca="false">IF(OR($B18="",$F18=""),"",IF(AND($F18&gt;=J$6,$F18&lt;EDATE(J$6,1)),"▼",""))</f>
        <v/>
      </c>
      <c r="K18" s="45" t="str">
        <f aca="false">IF(OR($B18="",$F18=""),"",IF(AND($F18&gt;=K$6,$F18&lt;EDATE(K$6,1)),"▼",""))</f>
        <v/>
      </c>
      <c r="L18" s="45" t="str">
        <f aca="false">IF(OR($B18="",$F18=""),"",IF(AND($F18&gt;=L$6,$F18&lt;EDATE(L$6,1)),"▼",""))</f>
        <v/>
      </c>
      <c r="M18" s="45" t="str">
        <f aca="false">IF(OR($B18="",$F18=""),"",IF(AND($F18&gt;=M$6,$F18&lt;EDATE(M$6,1)),"▼",""))</f>
        <v/>
      </c>
      <c r="N18" s="45" t="str">
        <f aca="false">IF(OR($B18="",$F18=""),"",IF(AND($F18&gt;=N$6,$F18&lt;EDATE(N$6,1)),"▼",""))</f>
        <v/>
      </c>
      <c r="O18" s="45" t="str">
        <f aca="false">IF(OR($B18="",$F18=""),"",IF(AND($F18&gt;=O$6,$F18&lt;EDATE(O$6,1)),"▼",""))</f>
        <v/>
      </c>
      <c r="P18" s="45" t="str">
        <f aca="false">IF(OR($B18="",$F18=""),"",IF(AND($F18&gt;=P$6,$F18&lt;EDATE(P$6,1)),"▼",""))</f>
        <v/>
      </c>
      <c r="Q18" s="45" t="str">
        <f aca="false">IF(OR($B18="",$F18=""),"",IF(AND($F18&gt;=Q$6,$F18&lt;EDATE(Q$6,1)),"▼",""))</f>
        <v/>
      </c>
      <c r="R18" s="45" t="str">
        <f aca="false">IF(OR($B18="",$F18=""),"",IF(AND($F18&gt;=R$6,$F18&lt;EDATE(R$6,1)),"▼",""))</f>
        <v/>
      </c>
      <c r="S18" s="45" t="str">
        <f aca="false">IF(OR($B18="",$F18=""),"",IF(AND($F18&gt;=S$6,$F18&lt;EDATE(S$6,1)),"▼",""))</f>
        <v/>
      </c>
    </row>
    <row r="19" customFormat="false" ht="18.75" hidden="false" customHeight="true" outlineLevel="0" collapsed="false">
      <c r="A19" s="28" t="str">
        <f aca="false">IF($B19="","","Pós-graduação")</f>
        <v/>
      </c>
      <c r="B19" s="42" t="str">
        <f aca="false">IF('Pós-graduação'!B19="","",'Pós-graduação'!B19)</f>
        <v/>
      </c>
      <c r="C19" s="43" t="str">
        <f aca="false">IF($B19="","",IF('Pós-graduação'!O19="","",'Pós-graduação'!O19))</f>
        <v/>
      </c>
      <c r="D19" s="44" t="str">
        <f aca="false">IF($B19="","",IF('Pós-graduação'!G19="","",'Pós-graduação'!G19))</f>
        <v/>
      </c>
      <c r="E19" s="44" t="str">
        <f aca="false">IF($B19="","",IF('Pós-graduação'!H19&lt;&gt;"",'Pós-graduação'!H19,IF('Pós-graduação'!I19&lt;&gt;"",'Pós-graduação'!I19,"")))</f>
        <v/>
      </c>
      <c r="F19" s="44" t="str">
        <f aca="false">IF($B19="","",IF('Pós-graduação'!I19="","",'Pós-graduação'!I19))</f>
        <v/>
      </c>
      <c r="G19" s="30" t="str">
        <f aca="false">IF($B19="","",'Pós-graduação'!N19)</f>
        <v/>
      </c>
      <c r="H19" s="45" t="str">
        <f aca="false">IF(OR($B19="",$F19=""),"",IF(AND($F19&gt;=H$6,$F19&lt;EDATE(H$6,1)),"▼",""))</f>
        <v/>
      </c>
      <c r="I19" s="45" t="str">
        <f aca="false">IF(OR($B19="",$F19=""),"",IF(AND($F19&gt;=I$6,$F19&lt;EDATE(I$6,1)),"▼",""))</f>
        <v/>
      </c>
      <c r="J19" s="45" t="str">
        <f aca="false">IF(OR($B19="",$F19=""),"",IF(AND($F19&gt;=J$6,$F19&lt;EDATE(J$6,1)),"▼",""))</f>
        <v/>
      </c>
      <c r="K19" s="45" t="str">
        <f aca="false">IF(OR($B19="",$F19=""),"",IF(AND($F19&gt;=K$6,$F19&lt;EDATE(K$6,1)),"▼",""))</f>
        <v/>
      </c>
      <c r="L19" s="45" t="str">
        <f aca="false">IF(OR($B19="",$F19=""),"",IF(AND($F19&gt;=L$6,$F19&lt;EDATE(L$6,1)),"▼",""))</f>
        <v/>
      </c>
      <c r="M19" s="45" t="str">
        <f aca="false">IF(OR($B19="",$F19=""),"",IF(AND($F19&gt;=M$6,$F19&lt;EDATE(M$6,1)),"▼",""))</f>
        <v/>
      </c>
      <c r="N19" s="45" t="str">
        <f aca="false">IF(OR($B19="",$F19=""),"",IF(AND($F19&gt;=N$6,$F19&lt;EDATE(N$6,1)),"▼",""))</f>
        <v/>
      </c>
      <c r="O19" s="45" t="str">
        <f aca="false">IF(OR($B19="",$F19=""),"",IF(AND($F19&gt;=O$6,$F19&lt;EDATE(O$6,1)),"▼",""))</f>
        <v/>
      </c>
      <c r="P19" s="45" t="str">
        <f aca="false">IF(OR($B19="",$F19=""),"",IF(AND($F19&gt;=P$6,$F19&lt;EDATE(P$6,1)),"▼",""))</f>
        <v/>
      </c>
      <c r="Q19" s="45" t="str">
        <f aca="false">IF(OR($B19="",$F19=""),"",IF(AND($F19&gt;=Q$6,$F19&lt;EDATE(Q$6,1)),"▼",""))</f>
        <v/>
      </c>
      <c r="R19" s="45" t="str">
        <f aca="false">IF(OR($B19="",$F19=""),"",IF(AND($F19&gt;=R$6,$F19&lt;EDATE(R$6,1)),"▼",""))</f>
        <v/>
      </c>
      <c r="S19" s="45" t="str">
        <f aca="false">IF(OR($B19="",$F19=""),"",IF(AND($F19&gt;=S$6,$F19&lt;EDATE(S$6,1)),"▼",""))</f>
        <v/>
      </c>
    </row>
    <row r="20" customFormat="false" ht="19.5" hidden="false" customHeight="true" outlineLevel="0" collapsed="false">
      <c r="A20" s="46" t="s">
        <v>82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r="21" customFormat="false" ht="18.75" hidden="false" customHeight="true" outlineLevel="0" collapsed="false">
      <c r="A21" s="28" t="str">
        <f aca="false">IF($B21="","","Concurso")</f>
        <v>Concurso</v>
      </c>
      <c r="B21" s="42" t="str">
        <f aca="false">IF(Concurso!B8="","",Concurso!B8)</f>
        <v>Curso Preparatório Completo (exemplo)</v>
      </c>
      <c r="C21" s="43" t="str">
        <f aca="false">IF($B21="","",IF(Concurso!Q8="","",Concurso!Q8))</f>
        <v>Em andamento</v>
      </c>
      <c r="D21" s="44" t="n">
        <f aca="false">IF($B21="","",IF(Concurso!I8="","",Concurso!I8))</f>
        <v>46280</v>
      </c>
      <c r="E21" s="44" t="n">
        <f aca="false">IF($B21="","",IF(Concurso!J8&lt;&gt;"",Concurso!J8,IF(Concurso!K8&lt;&gt;"",Concurso!K8,"")))</f>
        <v>46446</v>
      </c>
      <c r="F21" s="44" t="n">
        <f aca="false">IF($B21="","",IF(Concurso!K8="","",Concurso!K8))</f>
        <v>46568</v>
      </c>
      <c r="G21" s="30" t="n">
        <f aca="false">IF($B21="","",Concurso!P8)</f>
        <v>0.25</v>
      </c>
      <c r="H21" s="45" t="str">
        <f aca="false">IF(OR($B21="",$F21=""),"",IF(AND($F21&gt;=H$6,$F21&lt;EDATE(H$6,1)),"▼",""))</f>
        <v/>
      </c>
      <c r="I21" s="45" t="str">
        <f aca="false">IF(OR($B21="",$F21=""),"",IF(AND($F21&gt;=I$6,$F21&lt;EDATE(I$6,1)),"▼",""))</f>
        <v/>
      </c>
      <c r="J21" s="45" t="str">
        <f aca="false">IF(OR($B21="",$F21=""),"",IF(AND($F21&gt;=J$6,$F21&lt;EDATE(J$6,1)),"▼",""))</f>
        <v/>
      </c>
      <c r="K21" s="45" t="str">
        <f aca="false">IF(OR($B21="",$F21=""),"",IF(AND($F21&gt;=K$6,$F21&lt;EDATE(K$6,1)),"▼",""))</f>
        <v/>
      </c>
      <c r="L21" s="45" t="str">
        <f aca="false">IF(OR($B21="",$F21=""),"",IF(AND($F21&gt;=L$6,$F21&lt;EDATE(L$6,1)),"▼",""))</f>
        <v/>
      </c>
      <c r="M21" s="45" t="str">
        <f aca="false">IF(OR($B21="",$F21=""),"",IF(AND($F21&gt;=M$6,$F21&lt;EDATE(M$6,1)),"▼",""))</f>
        <v/>
      </c>
      <c r="N21" s="45" t="str">
        <f aca="false">IF(OR($B21="",$F21=""),"",IF(AND($F21&gt;=N$6,$F21&lt;EDATE(N$6,1)),"▼",""))</f>
        <v/>
      </c>
      <c r="O21" s="45" t="str">
        <f aca="false">IF(OR($B21="",$F21=""),"",IF(AND($F21&gt;=O$6,$F21&lt;EDATE(O$6,1)),"▼",""))</f>
        <v/>
      </c>
      <c r="P21" s="45" t="str">
        <f aca="false">IF(OR($B21="",$F21=""),"",IF(AND($F21&gt;=P$6,$F21&lt;EDATE(P$6,1)),"▼",""))</f>
        <v>▼</v>
      </c>
      <c r="Q21" s="45" t="str">
        <f aca="false">IF(OR($B21="",$F21=""),"",IF(AND($F21&gt;=Q$6,$F21&lt;EDATE(Q$6,1)),"▼",""))</f>
        <v/>
      </c>
      <c r="R21" s="45" t="str">
        <f aca="false">IF(OR($B21="",$F21=""),"",IF(AND($F21&gt;=R$6,$F21&lt;EDATE(R$6,1)),"▼",""))</f>
        <v/>
      </c>
      <c r="S21" s="45" t="str">
        <f aca="false">IF(OR($B21="",$F21=""),"",IF(AND($F21&gt;=S$6,$F21&lt;EDATE(S$6,1)),"▼",""))</f>
        <v/>
      </c>
    </row>
    <row r="22" customFormat="false" ht="18.75" hidden="false" customHeight="true" outlineLevel="0" collapsed="false">
      <c r="A22" s="28" t="str">
        <f aca="false">IF($B22="","","Concurso")</f>
        <v/>
      </c>
      <c r="B22" s="42" t="str">
        <f aca="false">IF(Concurso!B9="","",Concurso!B9)</f>
        <v/>
      </c>
      <c r="C22" s="43" t="str">
        <f aca="false">IF($B22="","",IF(Concurso!Q9="","",Concurso!Q9))</f>
        <v/>
      </c>
      <c r="D22" s="44" t="str">
        <f aca="false">IF($B22="","",IF(Concurso!I9="","",Concurso!I9))</f>
        <v/>
      </c>
      <c r="E22" s="44" t="str">
        <f aca="false">IF($B22="","",IF(Concurso!J9&lt;&gt;"",Concurso!J9,IF(Concurso!K9&lt;&gt;"",Concurso!K9,"")))</f>
        <v/>
      </c>
      <c r="F22" s="44" t="str">
        <f aca="false">IF($B22="","",IF(Concurso!K9="","",Concurso!K9))</f>
        <v/>
      </c>
      <c r="G22" s="30" t="str">
        <f aca="false">IF($B22="","",Concurso!P9)</f>
        <v/>
      </c>
      <c r="H22" s="45" t="str">
        <f aca="false">IF(OR($B22="",$F22=""),"",IF(AND($F22&gt;=H$6,$F22&lt;EDATE(H$6,1)),"▼",""))</f>
        <v/>
      </c>
      <c r="I22" s="45" t="str">
        <f aca="false">IF(OR($B22="",$F22=""),"",IF(AND($F22&gt;=I$6,$F22&lt;EDATE(I$6,1)),"▼",""))</f>
        <v/>
      </c>
      <c r="J22" s="45" t="str">
        <f aca="false">IF(OR($B22="",$F22=""),"",IF(AND($F22&gt;=J$6,$F22&lt;EDATE(J$6,1)),"▼",""))</f>
        <v/>
      </c>
      <c r="K22" s="45" t="str">
        <f aca="false">IF(OR($B22="",$F22=""),"",IF(AND($F22&gt;=K$6,$F22&lt;EDATE(K$6,1)),"▼",""))</f>
        <v/>
      </c>
      <c r="L22" s="45" t="str">
        <f aca="false">IF(OR($B22="",$F22=""),"",IF(AND($F22&gt;=L$6,$F22&lt;EDATE(L$6,1)),"▼",""))</f>
        <v/>
      </c>
      <c r="M22" s="45" t="str">
        <f aca="false">IF(OR($B22="",$F22=""),"",IF(AND($F22&gt;=M$6,$F22&lt;EDATE(M$6,1)),"▼",""))</f>
        <v/>
      </c>
      <c r="N22" s="45" t="str">
        <f aca="false">IF(OR($B22="",$F22=""),"",IF(AND($F22&gt;=N$6,$F22&lt;EDATE(N$6,1)),"▼",""))</f>
        <v/>
      </c>
      <c r="O22" s="45" t="str">
        <f aca="false">IF(OR($B22="",$F22=""),"",IF(AND($F22&gt;=O$6,$F22&lt;EDATE(O$6,1)),"▼",""))</f>
        <v/>
      </c>
      <c r="P22" s="45" t="str">
        <f aca="false">IF(OR($B22="",$F22=""),"",IF(AND($F22&gt;=P$6,$F22&lt;EDATE(P$6,1)),"▼",""))</f>
        <v/>
      </c>
      <c r="Q22" s="45" t="str">
        <f aca="false">IF(OR($B22="",$F22=""),"",IF(AND($F22&gt;=Q$6,$F22&lt;EDATE(Q$6,1)),"▼",""))</f>
        <v/>
      </c>
      <c r="R22" s="45" t="str">
        <f aca="false">IF(OR($B22="",$F22=""),"",IF(AND($F22&gt;=R$6,$F22&lt;EDATE(R$6,1)),"▼",""))</f>
        <v/>
      </c>
      <c r="S22" s="45" t="str">
        <f aca="false">IF(OR($B22="",$F22=""),"",IF(AND($F22&gt;=S$6,$F22&lt;EDATE(S$6,1)),"▼",""))</f>
        <v/>
      </c>
    </row>
    <row r="23" customFormat="false" ht="18.75" hidden="false" customHeight="true" outlineLevel="0" collapsed="false">
      <c r="A23" s="28" t="str">
        <f aca="false">IF($B23="","","Concurso")</f>
        <v/>
      </c>
      <c r="B23" s="42" t="str">
        <f aca="false">IF(Concurso!B10="","",Concurso!B10)</f>
        <v/>
      </c>
      <c r="C23" s="43" t="str">
        <f aca="false">IF($B23="","",IF(Concurso!Q10="","",Concurso!Q10))</f>
        <v/>
      </c>
      <c r="D23" s="44" t="str">
        <f aca="false">IF($B23="","",IF(Concurso!I10="","",Concurso!I10))</f>
        <v/>
      </c>
      <c r="E23" s="44" t="str">
        <f aca="false">IF($B23="","",IF(Concurso!J10&lt;&gt;"",Concurso!J10,IF(Concurso!K10&lt;&gt;"",Concurso!K10,"")))</f>
        <v/>
      </c>
      <c r="F23" s="44" t="str">
        <f aca="false">IF($B23="","",IF(Concurso!K10="","",Concurso!K10))</f>
        <v/>
      </c>
      <c r="G23" s="30" t="str">
        <f aca="false">IF($B23="","",Concurso!P10)</f>
        <v/>
      </c>
      <c r="H23" s="45" t="str">
        <f aca="false">IF(OR($B23="",$F23=""),"",IF(AND($F23&gt;=H$6,$F23&lt;EDATE(H$6,1)),"▼",""))</f>
        <v/>
      </c>
      <c r="I23" s="45" t="str">
        <f aca="false">IF(OR($B23="",$F23=""),"",IF(AND($F23&gt;=I$6,$F23&lt;EDATE(I$6,1)),"▼",""))</f>
        <v/>
      </c>
      <c r="J23" s="45" t="str">
        <f aca="false">IF(OR($B23="",$F23=""),"",IF(AND($F23&gt;=J$6,$F23&lt;EDATE(J$6,1)),"▼",""))</f>
        <v/>
      </c>
      <c r="K23" s="45" t="str">
        <f aca="false">IF(OR($B23="",$F23=""),"",IF(AND($F23&gt;=K$6,$F23&lt;EDATE(K$6,1)),"▼",""))</f>
        <v/>
      </c>
      <c r="L23" s="45" t="str">
        <f aca="false">IF(OR($B23="",$F23=""),"",IF(AND($F23&gt;=L$6,$F23&lt;EDATE(L$6,1)),"▼",""))</f>
        <v/>
      </c>
      <c r="M23" s="45" t="str">
        <f aca="false">IF(OR($B23="",$F23=""),"",IF(AND($F23&gt;=M$6,$F23&lt;EDATE(M$6,1)),"▼",""))</f>
        <v/>
      </c>
      <c r="N23" s="45" t="str">
        <f aca="false">IF(OR($B23="",$F23=""),"",IF(AND($F23&gt;=N$6,$F23&lt;EDATE(N$6,1)),"▼",""))</f>
        <v/>
      </c>
      <c r="O23" s="45" t="str">
        <f aca="false">IF(OR($B23="",$F23=""),"",IF(AND($F23&gt;=O$6,$F23&lt;EDATE(O$6,1)),"▼",""))</f>
        <v/>
      </c>
      <c r="P23" s="45" t="str">
        <f aca="false">IF(OR($B23="",$F23=""),"",IF(AND($F23&gt;=P$6,$F23&lt;EDATE(P$6,1)),"▼",""))</f>
        <v/>
      </c>
      <c r="Q23" s="45" t="str">
        <f aca="false">IF(OR($B23="",$F23=""),"",IF(AND($F23&gt;=Q$6,$F23&lt;EDATE(Q$6,1)),"▼",""))</f>
        <v/>
      </c>
      <c r="R23" s="45" t="str">
        <f aca="false">IF(OR($B23="",$F23=""),"",IF(AND($F23&gt;=R$6,$F23&lt;EDATE(R$6,1)),"▼",""))</f>
        <v/>
      </c>
      <c r="S23" s="45" t="str">
        <f aca="false">IF(OR($B23="",$F23=""),"",IF(AND($F23&gt;=S$6,$F23&lt;EDATE(S$6,1)),"▼",""))</f>
        <v/>
      </c>
    </row>
    <row r="24" customFormat="false" ht="18.75" hidden="false" customHeight="true" outlineLevel="0" collapsed="false">
      <c r="A24" s="28" t="str">
        <f aca="false">IF($B24="","","Concurso")</f>
        <v/>
      </c>
      <c r="B24" s="42" t="str">
        <f aca="false">IF(Concurso!B11="","",Concurso!B11)</f>
        <v/>
      </c>
      <c r="C24" s="43" t="str">
        <f aca="false">IF($B24="","",IF(Concurso!Q11="","",Concurso!Q11))</f>
        <v/>
      </c>
      <c r="D24" s="44" t="str">
        <f aca="false">IF($B24="","",IF(Concurso!I11="","",Concurso!I11))</f>
        <v/>
      </c>
      <c r="E24" s="44" t="str">
        <f aca="false">IF($B24="","",IF(Concurso!J11&lt;&gt;"",Concurso!J11,IF(Concurso!K11&lt;&gt;"",Concurso!K11,"")))</f>
        <v/>
      </c>
      <c r="F24" s="44" t="str">
        <f aca="false">IF($B24="","",IF(Concurso!K11="","",Concurso!K11))</f>
        <v/>
      </c>
      <c r="G24" s="30" t="str">
        <f aca="false">IF($B24="","",Concurso!P11)</f>
        <v/>
      </c>
      <c r="H24" s="45" t="str">
        <f aca="false">IF(OR($B24="",$F24=""),"",IF(AND($F24&gt;=H$6,$F24&lt;EDATE(H$6,1)),"▼",""))</f>
        <v/>
      </c>
      <c r="I24" s="45" t="str">
        <f aca="false">IF(OR($B24="",$F24=""),"",IF(AND($F24&gt;=I$6,$F24&lt;EDATE(I$6,1)),"▼",""))</f>
        <v/>
      </c>
      <c r="J24" s="45" t="str">
        <f aca="false">IF(OR($B24="",$F24=""),"",IF(AND($F24&gt;=J$6,$F24&lt;EDATE(J$6,1)),"▼",""))</f>
        <v/>
      </c>
      <c r="K24" s="45" t="str">
        <f aca="false">IF(OR($B24="",$F24=""),"",IF(AND($F24&gt;=K$6,$F24&lt;EDATE(K$6,1)),"▼",""))</f>
        <v/>
      </c>
      <c r="L24" s="45" t="str">
        <f aca="false">IF(OR($B24="",$F24=""),"",IF(AND($F24&gt;=L$6,$F24&lt;EDATE(L$6,1)),"▼",""))</f>
        <v/>
      </c>
      <c r="M24" s="45" t="str">
        <f aca="false">IF(OR($B24="",$F24=""),"",IF(AND($F24&gt;=M$6,$F24&lt;EDATE(M$6,1)),"▼",""))</f>
        <v/>
      </c>
      <c r="N24" s="45" t="str">
        <f aca="false">IF(OR($B24="",$F24=""),"",IF(AND($F24&gt;=N$6,$F24&lt;EDATE(N$6,1)),"▼",""))</f>
        <v/>
      </c>
      <c r="O24" s="45" t="str">
        <f aca="false">IF(OR($B24="",$F24=""),"",IF(AND($F24&gt;=O$6,$F24&lt;EDATE(O$6,1)),"▼",""))</f>
        <v/>
      </c>
      <c r="P24" s="45" t="str">
        <f aca="false">IF(OR($B24="",$F24=""),"",IF(AND($F24&gt;=P$6,$F24&lt;EDATE(P$6,1)),"▼",""))</f>
        <v/>
      </c>
      <c r="Q24" s="45" t="str">
        <f aca="false">IF(OR($B24="",$F24=""),"",IF(AND($F24&gt;=Q$6,$F24&lt;EDATE(Q$6,1)),"▼",""))</f>
        <v/>
      </c>
      <c r="R24" s="45" t="str">
        <f aca="false">IF(OR($B24="",$F24=""),"",IF(AND($F24&gt;=R$6,$F24&lt;EDATE(R$6,1)),"▼",""))</f>
        <v/>
      </c>
      <c r="S24" s="45" t="str">
        <f aca="false">IF(OR($B24="",$F24=""),"",IF(AND($F24&gt;=S$6,$F24&lt;EDATE(S$6,1)),"▼",""))</f>
        <v/>
      </c>
    </row>
    <row r="25" customFormat="false" ht="18.75" hidden="false" customHeight="true" outlineLevel="0" collapsed="false">
      <c r="A25" s="28" t="str">
        <f aca="false">IF($B25="","","Concurso")</f>
        <v/>
      </c>
      <c r="B25" s="42" t="str">
        <f aca="false">IF(Concurso!B12="","",Concurso!B12)</f>
        <v/>
      </c>
      <c r="C25" s="43" t="str">
        <f aca="false">IF($B25="","",IF(Concurso!Q12="","",Concurso!Q12))</f>
        <v/>
      </c>
      <c r="D25" s="44" t="str">
        <f aca="false">IF($B25="","",IF(Concurso!I12="","",Concurso!I12))</f>
        <v/>
      </c>
      <c r="E25" s="44" t="str">
        <f aca="false">IF($B25="","",IF(Concurso!J12&lt;&gt;"",Concurso!J12,IF(Concurso!K12&lt;&gt;"",Concurso!K12,"")))</f>
        <v/>
      </c>
      <c r="F25" s="44" t="str">
        <f aca="false">IF($B25="","",IF(Concurso!K12="","",Concurso!K12))</f>
        <v/>
      </c>
      <c r="G25" s="30" t="str">
        <f aca="false">IF($B25="","",Concurso!P12)</f>
        <v/>
      </c>
      <c r="H25" s="45" t="str">
        <f aca="false">IF(OR($B25="",$F25=""),"",IF(AND($F25&gt;=H$6,$F25&lt;EDATE(H$6,1)),"▼",""))</f>
        <v/>
      </c>
      <c r="I25" s="45" t="str">
        <f aca="false">IF(OR($B25="",$F25=""),"",IF(AND($F25&gt;=I$6,$F25&lt;EDATE(I$6,1)),"▼",""))</f>
        <v/>
      </c>
      <c r="J25" s="45" t="str">
        <f aca="false">IF(OR($B25="",$F25=""),"",IF(AND($F25&gt;=J$6,$F25&lt;EDATE(J$6,1)),"▼",""))</f>
        <v/>
      </c>
      <c r="K25" s="45" t="str">
        <f aca="false">IF(OR($B25="",$F25=""),"",IF(AND($F25&gt;=K$6,$F25&lt;EDATE(K$6,1)),"▼",""))</f>
        <v/>
      </c>
      <c r="L25" s="45" t="str">
        <f aca="false">IF(OR($B25="",$F25=""),"",IF(AND($F25&gt;=L$6,$F25&lt;EDATE(L$6,1)),"▼",""))</f>
        <v/>
      </c>
      <c r="M25" s="45" t="str">
        <f aca="false">IF(OR($B25="",$F25=""),"",IF(AND($F25&gt;=M$6,$F25&lt;EDATE(M$6,1)),"▼",""))</f>
        <v/>
      </c>
      <c r="N25" s="45" t="str">
        <f aca="false">IF(OR($B25="",$F25=""),"",IF(AND($F25&gt;=N$6,$F25&lt;EDATE(N$6,1)),"▼",""))</f>
        <v/>
      </c>
      <c r="O25" s="45" t="str">
        <f aca="false">IF(OR($B25="",$F25=""),"",IF(AND($F25&gt;=O$6,$F25&lt;EDATE(O$6,1)),"▼",""))</f>
        <v/>
      </c>
      <c r="P25" s="45" t="str">
        <f aca="false">IF(OR($B25="",$F25=""),"",IF(AND($F25&gt;=P$6,$F25&lt;EDATE(P$6,1)),"▼",""))</f>
        <v/>
      </c>
      <c r="Q25" s="45" t="str">
        <f aca="false">IF(OR($B25="",$F25=""),"",IF(AND($F25&gt;=Q$6,$F25&lt;EDATE(Q$6,1)),"▼",""))</f>
        <v/>
      </c>
      <c r="R25" s="45" t="str">
        <f aca="false">IF(OR($B25="",$F25=""),"",IF(AND($F25&gt;=R$6,$F25&lt;EDATE(R$6,1)),"▼",""))</f>
        <v/>
      </c>
      <c r="S25" s="45" t="str">
        <f aca="false">IF(OR($B25="",$F25=""),"",IF(AND($F25&gt;=S$6,$F25&lt;EDATE(S$6,1)),"▼",""))</f>
        <v/>
      </c>
    </row>
    <row r="26" customFormat="false" ht="18.75" hidden="false" customHeight="true" outlineLevel="0" collapsed="false">
      <c r="A26" s="28" t="str">
        <f aca="false">IF($B26="","","Concurso")</f>
        <v/>
      </c>
      <c r="B26" s="42" t="str">
        <f aca="false">IF(Concurso!B13="","",Concurso!B13)</f>
        <v/>
      </c>
      <c r="C26" s="43" t="str">
        <f aca="false">IF($B26="","",IF(Concurso!Q13="","",Concurso!Q13))</f>
        <v/>
      </c>
      <c r="D26" s="44" t="str">
        <f aca="false">IF($B26="","",IF(Concurso!I13="","",Concurso!I13))</f>
        <v/>
      </c>
      <c r="E26" s="44" t="str">
        <f aca="false">IF($B26="","",IF(Concurso!J13&lt;&gt;"",Concurso!J13,IF(Concurso!K13&lt;&gt;"",Concurso!K13,"")))</f>
        <v/>
      </c>
      <c r="F26" s="44" t="str">
        <f aca="false">IF($B26="","",IF(Concurso!K13="","",Concurso!K13))</f>
        <v/>
      </c>
      <c r="G26" s="30" t="str">
        <f aca="false">IF($B26="","",Concurso!P13)</f>
        <v/>
      </c>
      <c r="H26" s="45" t="str">
        <f aca="false">IF(OR($B26="",$F26=""),"",IF(AND($F26&gt;=H$6,$F26&lt;EDATE(H$6,1)),"▼",""))</f>
        <v/>
      </c>
      <c r="I26" s="45" t="str">
        <f aca="false">IF(OR($B26="",$F26=""),"",IF(AND($F26&gt;=I$6,$F26&lt;EDATE(I$6,1)),"▼",""))</f>
        <v/>
      </c>
      <c r="J26" s="45" t="str">
        <f aca="false">IF(OR($B26="",$F26=""),"",IF(AND($F26&gt;=J$6,$F26&lt;EDATE(J$6,1)),"▼",""))</f>
        <v/>
      </c>
      <c r="K26" s="45" t="str">
        <f aca="false">IF(OR($B26="",$F26=""),"",IF(AND($F26&gt;=K$6,$F26&lt;EDATE(K$6,1)),"▼",""))</f>
        <v/>
      </c>
      <c r="L26" s="45" t="str">
        <f aca="false">IF(OR($B26="",$F26=""),"",IF(AND($F26&gt;=L$6,$F26&lt;EDATE(L$6,1)),"▼",""))</f>
        <v/>
      </c>
      <c r="M26" s="45" t="str">
        <f aca="false">IF(OR($B26="",$F26=""),"",IF(AND($F26&gt;=M$6,$F26&lt;EDATE(M$6,1)),"▼",""))</f>
        <v/>
      </c>
      <c r="N26" s="45" t="str">
        <f aca="false">IF(OR($B26="",$F26=""),"",IF(AND($F26&gt;=N$6,$F26&lt;EDATE(N$6,1)),"▼",""))</f>
        <v/>
      </c>
      <c r="O26" s="45" t="str">
        <f aca="false">IF(OR($B26="",$F26=""),"",IF(AND($F26&gt;=O$6,$F26&lt;EDATE(O$6,1)),"▼",""))</f>
        <v/>
      </c>
      <c r="P26" s="45" t="str">
        <f aca="false">IF(OR($B26="",$F26=""),"",IF(AND($F26&gt;=P$6,$F26&lt;EDATE(P$6,1)),"▼",""))</f>
        <v/>
      </c>
      <c r="Q26" s="45" t="str">
        <f aca="false">IF(OR($B26="",$F26=""),"",IF(AND($F26&gt;=Q$6,$F26&lt;EDATE(Q$6,1)),"▼",""))</f>
        <v/>
      </c>
      <c r="R26" s="45" t="str">
        <f aca="false">IF(OR($B26="",$F26=""),"",IF(AND($F26&gt;=R$6,$F26&lt;EDATE(R$6,1)),"▼",""))</f>
        <v/>
      </c>
      <c r="S26" s="45" t="str">
        <f aca="false">IF(OR($B26="",$F26=""),"",IF(AND($F26&gt;=S$6,$F26&lt;EDATE(S$6,1)),"▼",""))</f>
        <v/>
      </c>
    </row>
    <row r="27" customFormat="false" ht="18.75" hidden="false" customHeight="true" outlineLevel="0" collapsed="false">
      <c r="A27" s="28" t="str">
        <f aca="false">IF($B27="","","Concurso")</f>
        <v/>
      </c>
      <c r="B27" s="42" t="str">
        <f aca="false">IF(Concurso!B14="","",Concurso!B14)</f>
        <v/>
      </c>
      <c r="C27" s="43" t="str">
        <f aca="false">IF($B27="","",IF(Concurso!Q14="","",Concurso!Q14))</f>
        <v/>
      </c>
      <c r="D27" s="44" t="str">
        <f aca="false">IF($B27="","",IF(Concurso!I14="","",Concurso!I14))</f>
        <v/>
      </c>
      <c r="E27" s="44" t="str">
        <f aca="false">IF($B27="","",IF(Concurso!J14&lt;&gt;"",Concurso!J14,IF(Concurso!K14&lt;&gt;"",Concurso!K14,"")))</f>
        <v/>
      </c>
      <c r="F27" s="44" t="str">
        <f aca="false">IF($B27="","",IF(Concurso!K14="","",Concurso!K14))</f>
        <v/>
      </c>
      <c r="G27" s="30" t="str">
        <f aca="false">IF($B27="","",Concurso!P14)</f>
        <v/>
      </c>
      <c r="H27" s="45" t="str">
        <f aca="false">IF(OR($B27="",$F27=""),"",IF(AND($F27&gt;=H$6,$F27&lt;EDATE(H$6,1)),"▼",""))</f>
        <v/>
      </c>
      <c r="I27" s="45" t="str">
        <f aca="false">IF(OR($B27="",$F27=""),"",IF(AND($F27&gt;=I$6,$F27&lt;EDATE(I$6,1)),"▼",""))</f>
        <v/>
      </c>
      <c r="J27" s="45" t="str">
        <f aca="false">IF(OR($B27="",$F27=""),"",IF(AND($F27&gt;=J$6,$F27&lt;EDATE(J$6,1)),"▼",""))</f>
        <v/>
      </c>
      <c r="K27" s="45" t="str">
        <f aca="false">IF(OR($B27="",$F27=""),"",IF(AND($F27&gt;=K$6,$F27&lt;EDATE(K$6,1)),"▼",""))</f>
        <v/>
      </c>
      <c r="L27" s="45" t="str">
        <f aca="false">IF(OR($B27="",$F27=""),"",IF(AND($F27&gt;=L$6,$F27&lt;EDATE(L$6,1)),"▼",""))</f>
        <v/>
      </c>
      <c r="M27" s="45" t="str">
        <f aca="false">IF(OR($B27="",$F27=""),"",IF(AND($F27&gt;=M$6,$F27&lt;EDATE(M$6,1)),"▼",""))</f>
        <v/>
      </c>
      <c r="N27" s="45" t="str">
        <f aca="false">IF(OR($B27="",$F27=""),"",IF(AND($F27&gt;=N$6,$F27&lt;EDATE(N$6,1)),"▼",""))</f>
        <v/>
      </c>
      <c r="O27" s="45" t="str">
        <f aca="false">IF(OR($B27="",$F27=""),"",IF(AND($F27&gt;=O$6,$F27&lt;EDATE(O$6,1)),"▼",""))</f>
        <v/>
      </c>
      <c r="P27" s="45" t="str">
        <f aca="false">IF(OR($B27="",$F27=""),"",IF(AND($F27&gt;=P$6,$F27&lt;EDATE(P$6,1)),"▼",""))</f>
        <v/>
      </c>
      <c r="Q27" s="45" t="str">
        <f aca="false">IF(OR($B27="",$F27=""),"",IF(AND($F27&gt;=Q$6,$F27&lt;EDATE(Q$6,1)),"▼",""))</f>
        <v/>
      </c>
      <c r="R27" s="45" t="str">
        <f aca="false">IF(OR($B27="",$F27=""),"",IF(AND($F27&gt;=R$6,$F27&lt;EDATE(R$6,1)),"▼",""))</f>
        <v/>
      </c>
      <c r="S27" s="45" t="str">
        <f aca="false">IF(OR($B27="",$F27=""),"",IF(AND($F27&gt;=S$6,$F27&lt;EDATE(S$6,1)),"▼",""))</f>
        <v/>
      </c>
    </row>
    <row r="28" customFormat="false" ht="18.75" hidden="false" customHeight="true" outlineLevel="0" collapsed="false">
      <c r="A28" s="28" t="str">
        <f aca="false">IF($B28="","","Concurso")</f>
        <v/>
      </c>
      <c r="B28" s="42" t="str">
        <f aca="false">IF(Concurso!B15="","",Concurso!B15)</f>
        <v/>
      </c>
      <c r="C28" s="43" t="str">
        <f aca="false">IF($B28="","",IF(Concurso!Q15="","",Concurso!Q15))</f>
        <v/>
      </c>
      <c r="D28" s="44" t="str">
        <f aca="false">IF($B28="","",IF(Concurso!I15="","",Concurso!I15))</f>
        <v/>
      </c>
      <c r="E28" s="44" t="str">
        <f aca="false">IF($B28="","",IF(Concurso!J15&lt;&gt;"",Concurso!J15,IF(Concurso!K15&lt;&gt;"",Concurso!K15,"")))</f>
        <v/>
      </c>
      <c r="F28" s="44" t="str">
        <f aca="false">IF($B28="","",IF(Concurso!K15="","",Concurso!K15))</f>
        <v/>
      </c>
      <c r="G28" s="30" t="str">
        <f aca="false">IF($B28="","",Concurso!P15)</f>
        <v/>
      </c>
      <c r="H28" s="45" t="str">
        <f aca="false">IF(OR($B28="",$F28=""),"",IF(AND($F28&gt;=H$6,$F28&lt;EDATE(H$6,1)),"▼",""))</f>
        <v/>
      </c>
      <c r="I28" s="45" t="str">
        <f aca="false">IF(OR($B28="",$F28=""),"",IF(AND($F28&gt;=I$6,$F28&lt;EDATE(I$6,1)),"▼",""))</f>
        <v/>
      </c>
      <c r="J28" s="45" t="str">
        <f aca="false">IF(OR($B28="",$F28=""),"",IF(AND($F28&gt;=J$6,$F28&lt;EDATE(J$6,1)),"▼",""))</f>
        <v/>
      </c>
      <c r="K28" s="45" t="str">
        <f aca="false">IF(OR($B28="",$F28=""),"",IF(AND($F28&gt;=K$6,$F28&lt;EDATE(K$6,1)),"▼",""))</f>
        <v/>
      </c>
      <c r="L28" s="45" t="str">
        <f aca="false">IF(OR($B28="",$F28=""),"",IF(AND($F28&gt;=L$6,$F28&lt;EDATE(L$6,1)),"▼",""))</f>
        <v/>
      </c>
      <c r="M28" s="45" t="str">
        <f aca="false">IF(OR($B28="",$F28=""),"",IF(AND($F28&gt;=M$6,$F28&lt;EDATE(M$6,1)),"▼",""))</f>
        <v/>
      </c>
      <c r="N28" s="45" t="str">
        <f aca="false">IF(OR($B28="",$F28=""),"",IF(AND($F28&gt;=N$6,$F28&lt;EDATE(N$6,1)),"▼",""))</f>
        <v/>
      </c>
      <c r="O28" s="45" t="str">
        <f aca="false">IF(OR($B28="",$F28=""),"",IF(AND($F28&gt;=O$6,$F28&lt;EDATE(O$6,1)),"▼",""))</f>
        <v/>
      </c>
      <c r="P28" s="45" t="str">
        <f aca="false">IF(OR($B28="",$F28=""),"",IF(AND($F28&gt;=P$6,$F28&lt;EDATE(P$6,1)),"▼",""))</f>
        <v/>
      </c>
      <c r="Q28" s="45" t="str">
        <f aca="false">IF(OR($B28="",$F28=""),"",IF(AND($F28&gt;=Q$6,$F28&lt;EDATE(Q$6,1)),"▼",""))</f>
        <v/>
      </c>
      <c r="R28" s="45" t="str">
        <f aca="false">IF(OR($B28="",$F28=""),"",IF(AND($F28&gt;=R$6,$F28&lt;EDATE(R$6,1)),"▼",""))</f>
        <v/>
      </c>
      <c r="S28" s="45" t="str">
        <f aca="false">IF(OR($B28="",$F28=""),"",IF(AND($F28&gt;=S$6,$F28&lt;EDATE(S$6,1)),"▼",""))</f>
        <v/>
      </c>
    </row>
    <row r="29" customFormat="false" ht="18.75" hidden="false" customHeight="true" outlineLevel="0" collapsed="false">
      <c r="A29" s="28" t="str">
        <f aca="false">IF($B29="","","Concurso")</f>
        <v/>
      </c>
      <c r="B29" s="42" t="str">
        <f aca="false">IF(Concurso!B16="","",Concurso!B16)</f>
        <v/>
      </c>
      <c r="C29" s="43" t="str">
        <f aca="false">IF($B29="","",IF(Concurso!Q16="","",Concurso!Q16))</f>
        <v/>
      </c>
      <c r="D29" s="44" t="str">
        <f aca="false">IF($B29="","",IF(Concurso!I16="","",Concurso!I16))</f>
        <v/>
      </c>
      <c r="E29" s="44" t="str">
        <f aca="false">IF($B29="","",IF(Concurso!J16&lt;&gt;"",Concurso!J16,IF(Concurso!K16&lt;&gt;"",Concurso!K16,"")))</f>
        <v/>
      </c>
      <c r="F29" s="44" t="str">
        <f aca="false">IF($B29="","",IF(Concurso!K16="","",Concurso!K16))</f>
        <v/>
      </c>
      <c r="G29" s="30" t="str">
        <f aca="false">IF($B29="","",Concurso!P16)</f>
        <v/>
      </c>
      <c r="H29" s="45" t="str">
        <f aca="false">IF(OR($B29="",$F29=""),"",IF(AND($F29&gt;=H$6,$F29&lt;EDATE(H$6,1)),"▼",""))</f>
        <v/>
      </c>
      <c r="I29" s="45" t="str">
        <f aca="false">IF(OR($B29="",$F29=""),"",IF(AND($F29&gt;=I$6,$F29&lt;EDATE(I$6,1)),"▼",""))</f>
        <v/>
      </c>
      <c r="J29" s="45" t="str">
        <f aca="false">IF(OR($B29="",$F29=""),"",IF(AND($F29&gt;=J$6,$F29&lt;EDATE(J$6,1)),"▼",""))</f>
        <v/>
      </c>
      <c r="K29" s="45" t="str">
        <f aca="false">IF(OR($B29="",$F29=""),"",IF(AND($F29&gt;=K$6,$F29&lt;EDATE(K$6,1)),"▼",""))</f>
        <v/>
      </c>
      <c r="L29" s="45" t="str">
        <f aca="false">IF(OR($B29="",$F29=""),"",IF(AND($F29&gt;=L$6,$F29&lt;EDATE(L$6,1)),"▼",""))</f>
        <v/>
      </c>
      <c r="M29" s="45" t="str">
        <f aca="false">IF(OR($B29="",$F29=""),"",IF(AND($F29&gt;=M$6,$F29&lt;EDATE(M$6,1)),"▼",""))</f>
        <v/>
      </c>
      <c r="N29" s="45" t="str">
        <f aca="false">IF(OR($B29="",$F29=""),"",IF(AND($F29&gt;=N$6,$F29&lt;EDATE(N$6,1)),"▼",""))</f>
        <v/>
      </c>
      <c r="O29" s="45" t="str">
        <f aca="false">IF(OR($B29="",$F29=""),"",IF(AND($F29&gt;=O$6,$F29&lt;EDATE(O$6,1)),"▼",""))</f>
        <v/>
      </c>
      <c r="P29" s="45" t="str">
        <f aca="false">IF(OR($B29="",$F29=""),"",IF(AND($F29&gt;=P$6,$F29&lt;EDATE(P$6,1)),"▼",""))</f>
        <v/>
      </c>
      <c r="Q29" s="45" t="str">
        <f aca="false">IF(OR($B29="",$F29=""),"",IF(AND($F29&gt;=Q$6,$F29&lt;EDATE(Q$6,1)),"▼",""))</f>
        <v/>
      </c>
      <c r="R29" s="45" t="str">
        <f aca="false">IF(OR($B29="",$F29=""),"",IF(AND($F29&gt;=R$6,$F29&lt;EDATE(R$6,1)),"▼",""))</f>
        <v/>
      </c>
      <c r="S29" s="45" t="str">
        <f aca="false">IF(OR($B29="",$F29=""),"",IF(AND($F29&gt;=S$6,$F29&lt;EDATE(S$6,1)),"▼",""))</f>
        <v/>
      </c>
    </row>
    <row r="30" customFormat="false" ht="18.75" hidden="false" customHeight="true" outlineLevel="0" collapsed="false">
      <c r="A30" s="28" t="str">
        <f aca="false">IF($B30="","","Concurso")</f>
        <v/>
      </c>
      <c r="B30" s="42" t="str">
        <f aca="false">IF(Concurso!B17="","",Concurso!B17)</f>
        <v/>
      </c>
      <c r="C30" s="43" t="str">
        <f aca="false">IF($B30="","",IF(Concurso!Q17="","",Concurso!Q17))</f>
        <v/>
      </c>
      <c r="D30" s="44" t="str">
        <f aca="false">IF($B30="","",IF(Concurso!I17="","",Concurso!I17))</f>
        <v/>
      </c>
      <c r="E30" s="44" t="str">
        <f aca="false">IF($B30="","",IF(Concurso!J17&lt;&gt;"",Concurso!J17,IF(Concurso!K17&lt;&gt;"",Concurso!K17,"")))</f>
        <v/>
      </c>
      <c r="F30" s="44" t="str">
        <f aca="false">IF($B30="","",IF(Concurso!K17="","",Concurso!K17))</f>
        <v/>
      </c>
      <c r="G30" s="30" t="str">
        <f aca="false">IF($B30="","",Concurso!P17)</f>
        <v/>
      </c>
      <c r="H30" s="45" t="str">
        <f aca="false">IF(OR($B30="",$F30=""),"",IF(AND($F30&gt;=H$6,$F30&lt;EDATE(H$6,1)),"▼",""))</f>
        <v/>
      </c>
      <c r="I30" s="45" t="str">
        <f aca="false">IF(OR($B30="",$F30=""),"",IF(AND($F30&gt;=I$6,$F30&lt;EDATE(I$6,1)),"▼",""))</f>
        <v/>
      </c>
      <c r="J30" s="45" t="str">
        <f aca="false">IF(OR($B30="",$F30=""),"",IF(AND($F30&gt;=J$6,$F30&lt;EDATE(J$6,1)),"▼",""))</f>
        <v/>
      </c>
      <c r="K30" s="45" t="str">
        <f aca="false">IF(OR($B30="",$F30=""),"",IF(AND($F30&gt;=K$6,$F30&lt;EDATE(K$6,1)),"▼",""))</f>
        <v/>
      </c>
      <c r="L30" s="45" t="str">
        <f aca="false">IF(OR($B30="",$F30=""),"",IF(AND($F30&gt;=L$6,$F30&lt;EDATE(L$6,1)),"▼",""))</f>
        <v/>
      </c>
      <c r="M30" s="45" t="str">
        <f aca="false">IF(OR($B30="",$F30=""),"",IF(AND($F30&gt;=M$6,$F30&lt;EDATE(M$6,1)),"▼",""))</f>
        <v/>
      </c>
      <c r="N30" s="45" t="str">
        <f aca="false">IF(OR($B30="",$F30=""),"",IF(AND($F30&gt;=N$6,$F30&lt;EDATE(N$6,1)),"▼",""))</f>
        <v/>
      </c>
      <c r="O30" s="45" t="str">
        <f aca="false">IF(OR($B30="",$F30=""),"",IF(AND($F30&gt;=O$6,$F30&lt;EDATE(O$6,1)),"▼",""))</f>
        <v/>
      </c>
      <c r="P30" s="45" t="str">
        <f aca="false">IF(OR($B30="",$F30=""),"",IF(AND($F30&gt;=P$6,$F30&lt;EDATE(P$6,1)),"▼",""))</f>
        <v/>
      </c>
      <c r="Q30" s="45" t="str">
        <f aca="false">IF(OR($B30="",$F30=""),"",IF(AND($F30&gt;=Q$6,$F30&lt;EDATE(Q$6,1)),"▼",""))</f>
        <v/>
      </c>
      <c r="R30" s="45" t="str">
        <f aca="false">IF(OR($B30="",$F30=""),"",IF(AND($F30&gt;=R$6,$F30&lt;EDATE(R$6,1)),"▼",""))</f>
        <v/>
      </c>
      <c r="S30" s="45" t="str">
        <f aca="false">IF(OR($B30="",$F30=""),"",IF(AND($F30&gt;=S$6,$F30&lt;EDATE(S$6,1)),"▼",""))</f>
        <v/>
      </c>
    </row>
    <row r="31" customFormat="false" ht="18.75" hidden="false" customHeight="true" outlineLevel="0" collapsed="false">
      <c r="A31" s="28" t="str">
        <f aca="false">IF($B31="","","Concurso")</f>
        <v/>
      </c>
      <c r="B31" s="42" t="str">
        <f aca="false">IF(Concurso!B18="","",Concurso!B18)</f>
        <v/>
      </c>
      <c r="C31" s="43" t="str">
        <f aca="false">IF($B31="","",IF(Concurso!Q18="","",Concurso!Q18))</f>
        <v/>
      </c>
      <c r="D31" s="44" t="str">
        <f aca="false">IF($B31="","",IF(Concurso!I18="","",Concurso!I18))</f>
        <v/>
      </c>
      <c r="E31" s="44" t="str">
        <f aca="false">IF($B31="","",IF(Concurso!J18&lt;&gt;"",Concurso!J18,IF(Concurso!K18&lt;&gt;"",Concurso!K18,"")))</f>
        <v/>
      </c>
      <c r="F31" s="44" t="str">
        <f aca="false">IF($B31="","",IF(Concurso!K18="","",Concurso!K18))</f>
        <v/>
      </c>
      <c r="G31" s="30" t="str">
        <f aca="false">IF($B31="","",Concurso!P18)</f>
        <v/>
      </c>
      <c r="H31" s="45" t="str">
        <f aca="false">IF(OR($B31="",$F31=""),"",IF(AND($F31&gt;=H$6,$F31&lt;EDATE(H$6,1)),"▼",""))</f>
        <v/>
      </c>
      <c r="I31" s="45" t="str">
        <f aca="false">IF(OR($B31="",$F31=""),"",IF(AND($F31&gt;=I$6,$F31&lt;EDATE(I$6,1)),"▼",""))</f>
        <v/>
      </c>
      <c r="J31" s="45" t="str">
        <f aca="false">IF(OR($B31="",$F31=""),"",IF(AND($F31&gt;=J$6,$F31&lt;EDATE(J$6,1)),"▼",""))</f>
        <v/>
      </c>
      <c r="K31" s="45" t="str">
        <f aca="false">IF(OR($B31="",$F31=""),"",IF(AND($F31&gt;=K$6,$F31&lt;EDATE(K$6,1)),"▼",""))</f>
        <v/>
      </c>
      <c r="L31" s="45" t="str">
        <f aca="false">IF(OR($B31="",$F31=""),"",IF(AND($F31&gt;=L$6,$F31&lt;EDATE(L$6,1)),"▼",""))</f>
        <v/>
      </c>
      <c r="M31" s="45" t="str">
        <f aca="false">IF(OR($B31="",$F31=""),"",IF(AND($F31&gt;=M$6,$F31&lt;EDATE(M$6,1)),"▼",""))</f>
        <v/>
      </c>
      <c r="N31" s="45" t="str">
        <f aca="false">IF(OR($B31="",$F31=""),"",IF(AND($F31&gt;=N$6,$F31&lt;EDATE(N$6,1)),"▼",""))</f>
        <v/>
      </c>
      <c r="O31" s="45" t="str">
        <f aca="false">IF(OR($B31="",$F31=""),"",IF(AND($F31&gt;=O$6,$F31&lt;EDATE(O$6,1)),"▼",""))</f>
        <v/>
      </c>
      <c r="P31" s="45" t="str">
        <f aca="false">IF(OR($B31="",$F31=""),"",IF(AND($F31&gt;=P$6,$F31&lt;EDATE(P$6,1)),"▼",""))</f>
        <v/>
      </c>
      <c r="Q31" s="45" t="str">
        <f aca="false">IF(OR($B31="",$F31=""),"",IF(AND($F31&gt;=Q$6,$F31&lt;EDATE(Q$6,1)),"▼",""))</f>
        <v/>
      </c>
      <c r="R31" s="45" t="str">
        <f aca="false">IF(OR($B31="",$F31=""),"",IF(AND($F31&gt;=R$6,$F31&lt;EDATE(R$6,1)),"▼",""))</f>
        <v/>
      </c>
      <c r="S31" s="45" t="str">
        <f aca="false">IF(OR($B31="",$F31=""),"",IF(AND($F31&gt;=S$6,$F31&lt;EDATE(S$6,1)),"▼",""))</f>
        <v/>
      </c>
    </row>
    <row r="32" customFormat="false" ht="18.75" hidden="false" customHeight="true" outlineLevel="0" collapsed="false">
      <c r="A32" s="28" t="str">
        <f aca="false">IF($B32="","","Concurso")</f>
        <v/>
      </c>
      <c r="B32" s="42" t="str">
        <f aca="false">IF(Concurso!B19="","",Concurso!B19)</f>
        <v/>
      </c>
      <c r="C32" s="43" t="str">
        <f aca="false">IF($B32="","",IF(Concurso!Q19="","",Concurso!Q19))</f>
        <v/>
      </c>
      <c r="D32" s="44" t="str">
        <f aca="false">IF($B32="","",IF(Concurso!I19="","",Concurso!I19))</f>
        <v/>
      </c>
      <c r="E32" s="44" t="str">
        <f aca="false">IF($B32="","",IF(Concurso!J19&lt;&gt;"",Concurso!J19,IF(Concurso!K19&lt;&gt;"",Concurso!K19,"")))</f>
        <v/>
      </c>
      <c r="F32" s="44" t="str">
        <f aca="false">IF($B32="","",IF(Concurso!K19="","",Concurso!K19))</f>
        <v/>
      </c>
      <c r="G32" s="30" t="str">
        <f aca="false">IF($B32="","",Concurso!P19)</f>
        <v/>
      </c>
      <c r="H32" s="45" t="str">
        <f aca="false">IF(OR($B32="",$F32=""),"",IF(AND($F32&gt;=H$6,$F32&lt;EDATE(H$6,1)),"▼",""))</f>
        <v/>
      </c>
      <c r="I32" s="45" t="str">
        <f aca="false">IF(OR($B32="",$F32=""),"",IF(AND($F32&gt;=I$6,$F32&lt;EDATE(I$6,1)),"▼",""))</f>
        <v/>
      </c>
      <c r="J32" s="45" t="str">
        <f aca="false">IF(OR($B32="",$F32=""),"",IF(AND($F32&gt;=J$6,$F32&lt;EDATE(J$6,1)),"▼",""))</f>
        <v/>
      </c>
      <c r="K32" s="45" t="str">
        <f aca="false">IF(OR($B32="",$F32=""),"",IF(AND($F32&gt;=K$6,$F32&lt;EDATE(K$6,1)),"▼",""))</f>
        <v/>
      </c>
      <c r="L32" s="45" t="str">
        <f aca="false">IF(OR($B32="",$F32=""),"",IF(AND($F32&gt;=L$6,$F32&lt;EDATE(L$6,1)),"▼",""))</f>
        <v/>
      </c>
      <c r="M32" s="45" t="str">
        <f aca="false">IF(OR($B32="",$F32=""),"",IF(AND($F32&gt;=M$6,$F32&lt;EDATE(M$6,1)),"▼",""))</f>
        <v/>
      </c>
      <c r="N32" s="45" t="str">
        <f aca="false">IF(OR($B32="",$F32=""),"",IF(AND($F32&gt;=N$6,$F32&lt;EDATE(N$6,1)),"▼",""))</f>
        <v/>
      </c>
      <c r="O32" s="45" t="str">
        <f aca="false">IF(OR($B32="",$F32=""),"",IF(AND($F32&gt;=O$6,$F32&lt;EDATE(O$6,1)),"▼",""))</f>
        <v/>
      </c>
      <c r="P32" s="45" t="str">
        <f aca="false">IF(OR($B32="",$F32=""),"",IF(AND($F32&gt;=P$6,$F32&lt;EDATE(P$6,1)),"▼",""))</f>
        <v/>
      </c>
      <c r="Q32" s="45" t="str">
        <f aca="false">IF(OR($B32="",$F32=""),"",IF(AND($F32&gt;=Q$6,$F32&lt;EDATE(Q$6,1)),"▼",""))</f>
        <v/>
      </c>
      <c r="R32" s="45" t="str">
        <f aca="false">IF(OR($B32="",$F32=""),"",IF(AND($F32&gt;=R$6,$F32&lt;EDATE(R$6,1)),"▼",""))</f>
        <v/>
      </c>
      <c r="S32" s="45" t="str">
        <f aca="false">IF(OR($B32="",$F32=""),"",IF(AND($F32&gt;=S$6,$F32&lt;EDATE(S$6,1)),"▼",""))</f>
        <v/>
      </c>
    </row>
    <row r="33" customFormat="false" ht="19.5" hidden="false" customHeight="true" outlineLevel="0" collapsed="false">
      <c r="A33" s="47" t="s">
        <v>83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</row>
    <row r="34" customFormat="false" ht="18.75" hidden="false" customHeight="true" outlineLevel="0" collapsed="false">
      <c r="A34" s="28" t="str">
        <f aca="false">IF($B34="","","Livros")</f>
        <v>Livros</v>
      </c>
      <c r="B34" s="42" t="str">
        <f aca="false">IF(Livros!B8="","",Livros!B8)</f>
        <v>Hábitos Atômicos (exemplo)</v>
      </c>
      <c r="C34" s="43" t="str">
        <f aca="false">IF($B34="","",IF(Livros!N8="","",Livros!N8))</f>
        <v>Em andamento</v>
      </c>
      <c r="D34" s="44" t="n">
        <f aca="false">IF($B34="","",IF(Livros!I8="","",Livros!I8))</f>
        <v>46290</v>
      </c>
      <c r="E34" s="44" t="n">
        <f aca="false">IF($B34="","",IF(Livros!J8="","",Livros!J8))</f>
        <v>46341</v>
      </c>
      <c r="F34" s="44" t="str">
        <f aca="false">""</f>
        <v/>
      </c>
      <c r="G34" s="30" t="n">
        <f aca="false">IF($B34="","",Livros!M8)</f>
        <v>0.375</v>
      </c>
      <c r="H34" s="45" t="str">
        <f aca="false">IF(OR($B34="",$F34=""),"",IF(AND($F34&gt;=H$6,$F34&lt;EDATE(H$6,1)),"▼",""))</f>
        <v/>
      </c>
      <c r="I34" s="45" t="str">
        <f aca="false">IF(OR($B34="",$F34=""),"",IF(AND($F34&gt;=I$6,$F34&lt;EDATE(I$6,1)),"▼",""))</f>
        <v/>
      </c>
      <c r="J34" s="45" t="str">
        <f aca="false">IF(OR($B34="",$F34=""),"",IF(AND($F34&gt;=J$6,$F34&lt;EDATE(J$6,1)),"▼",""))</f>
        <v/>
      </c>
      <c r="K34" s="45" t="str">
        <f aca="false">IF(OR($B34="",$F34=""),"",IF(AND($F34&gt;=K$6,$F34&lt;EDATE(K$6,1)),"▼",""))</f>
        <v/>
      </c>
      <c r="L34" s="45" t="str">
        <f aca="false">IF(OR($B34="",$F34=""),"",IF(AND($F34&gt;=L$6,$F34&lt;EDATE(L$6,1)),"▼",""))</f>
        <v/>
      </c>
      <c r="M34" s="45" t="str">
        <f aca="false">IF(OR($B34="",$F34=""),"",IF(AND($F34&gt;=M$6,$F34&lt;EDATE(M$6,1)),"▼",""))</f>
        <v/>
      </c>
      <c r="N34" s="45" t="str">
        <f aca="false">IF(OR($B34="",$F34=""),"",IF(AND($F34&gt;=N$6,$F34&lt;EDATE(N$6,1)),"▼",""))</f>
        <v/>
      </c>
      <c r="O34" s="45" t="str">
        <f aca="false">IF(OR($B34="",$F34=""),"",IF(AND($F34&gt;=O$6,$F34&lt;EDATE(O$6,1)),"▼",""))</f>
        <v/>
      </c>
      <c r="P34" s="45" t="str">
        <f aca="false">IF(OR($B34="",$F34=""),"",IF(AND($F34&gt;=P$6,$F34&lt;EDATE(P$6,1)),"▼",""))</f>
        <v/>
      </c>
      <c r="Q34" s="45" t="str">
        <f aca="false">IF(OR($B34="",$F34=""),"",IF(AND($F34&gt;=Q$6,$F34&lt;EDATE(Q$6,1)),"▼",""))</f>
        <v/>
      </c>
      <c r="R34" s="45" t="str">
        <f aca="false">IF(OR($B34="",$F34=""),"",IF(AND($F34&gt;=R$6,$F34&lt;EDATE(R$6,1)),"▼",""))</f>
        <v/>
      </c>
      <c r="S34" s="45" t="str">
        <f aca="false">IF(OR($B34="",$F34=""),"",IF(AND($F34&gt;=S$6,$F34&lt;EDATE(S$6,1)),"▼",""))</f>
        <v/>
      </c>
    </row>
    <row r="35" customFormat="false" ht="18.75" hidden="false" customHeight="true" outlineLevel="0" collapsed="false">
      <c r="A35" s="28" t="str">
        <f aca="false">IF($B35="","","Livros")</f>
        <v/>
      </c>
      <c r="B35" s="42" t="str">
        <f aca="false">IF(Livros!B9="","",Livros!B9)</f>
        <v/>
      </c>
      <c r="C35" s="43" t="str">
        <f aca="false">IF($B35="","",IF(Livros!N9="","",Livros!N9))</f>
        <v/>
      </c>
      <c r="D35" s="44" t="str">
        <f aca="false">IF($B35="","",IF(Livros!I9="","",Livros!I9))</f>
        <v/>
      </c>
      <c r="E35" s="44" t="str">
        <f aca="false">IF($B35="","",IF(Livros!J9="","",Livros!J9))</f>
        <v/>
      </c>
      <c r="F35" s="44" t="str">
        <f aca="false">""</f>
        <v/>
      </c>
      <c r="G35" s="30" t="str">
        <f aca="false">IF($B35="","",Livros!M9)</f>
        <v/>
      </c>
      <c r="H35" s="45" t="str">
        <f aca="false">IF(OR($B35="",$F35=""),"",IF(AND($F35&gt;=H$6,$F35&lt;EDATE(H$6,1)),"▼",""))</f>
        <v/>
      </c>
      <c r="I35" s="45" t="str">
        <f aca="false">IF(OR($B35="",$F35=""),"",IF(AND($F35&gt;=I$6,$F35&lt;EDATE(I$6,1)),"▼",""))</f>
        <v/>
      </c>
      <c r="J35" s="45" t="str">
        <f aca="false">IF(OR($B35="",$F35=""),"",IF(AND($F35&gt;=J$6,$F35&lt;EDATE(J$6,1)),"▼",""))</f>
        <v/>
      </c>
      <c r="K35" s="45" t="str">
        <f aca="false">IF(OR($B35="",$F35=""),"",IF(AND($F35&gt;=K$6,$F35&lt;EDATE(K$6,1)),"▼",""))</f>
        <v/>
      </c>
      <c r="L35" s="45" t="str">
        <f aca="false">IF(OR($B35="",$F35=""),"",IF(AND($F35&gt;=L$6,$F35&lt;EDATE(L$6,1)),"▼",""))</f>
        <v/>
      </c>
      <c r="M35" s="45" t="str">
        <f aca="false">IF(OR($B35="",$F35=""),"",IF(AND($F35&gt;=M$6,$F35&lt;EDATE(M$6,1)),"▼",""))</f>
        <v/>
      </c>
      <c r="N35" s="45" t="str">
        <f aca="false">IF(OR($B35="",$F35=""),"",IF(AND($F35&gt;=N$6,$F35&lt;EDATE(N$6,1)),"▼",""))</f>
        <v/>
      </c>
      <c r="O35" s="45" t="str">
        <f aca="false">IF(OR($B35="",$F35=""),"",IF(AND($F35&gt;=O$6,$F35&lt;EDATE(O$6,1)),"▼",""))</f>
        <v/>
      </c>
      <c r="P35" s="45" t="str">
        <f aca="false">IF(OR($B35="",$F35=""),"",IF(AND($F35&gt;=P$6,$F35&lt;EDATE(P$6,1)),"▼",""))</f>
        <v/>
      </c>
      <c r="Q35" s="45" t="str">
        <f aca="false">IF(OR($B35="",$F35=""),"",IF(AND($F35&gt;=Q$6,$F35&lt;EDATE(Q$6,1)),"▼",""))</f>
        <v/>
      </c>
      <c r="R35" s="45" t="str">
        <f aca="false">IF(OR($B35="",$F35=""),"",IF(AND($F35&gt;=R$6,$F35&lt;EDATE(R$6,1)),"▼",""))</f>
        <v/>
      </c>
      <c r="S35" s="45" t="str">
        <f aca="false">IF(OR($B35="",$F35=""),"",IF(AND($F35&gt;=S$6,$F35&lt;EDATE(S$6,1)),"▼",""))</f>
        <v/>
      </c>
    </row>
    <row r="36" customFormat="false" ht="18.75" hidden="false" customHeight="true" outlineLevel="0" collapsed="false">
      <c r="A36" s="28" t="str">
        <f aca="false">IF($B36="","","Livros")</f>
        <v/>
      </c>
      <c r="B36" s="42" t="str">
        <f aca="false">IF(Livros!B10="","",Livros!B10)</f>
        <v/>
      </c>
      <c r="C36" s="43" t="str">
        <f aca="false">IF($B36="","",IF(Livros!N10="","",Livros!N10))</f>
        <v/>
      </c>
      <c r="D36" s="44" t="str">
        <f aca="false">IF($B36="","",IF(Livros!I10="","",Livros!I10))</f>
        <v/>
      </c>
      <c r="E36" s="44" t="str">
        <f aca="false">IF($B36="","",IF(Livros!J10="","",Livros!J10))</f>
        <v/>
      </c>
      <c r="F36" s="44" t="str">
        <f aca="false">""</f>
        <v/>
      </c>
      <c r="G36" s="30" t="str">
        <f aca="false">IF($B36="","",Livros!M10)</f>
        <v/>
      </c>
      <c r="H36" s="45" t="str">
        <f aca="false">IF(OR($B36="",$F36=""),"",IF(AND($F36&gt;=H$6,$F36&lt;EDATE(H$6,1)),"▼",""))</f>
        <v/>
      </c>
      <c r="I36" s="45" t="str">
        <f aca="false">IF(OR($B36="",$F36=""),"",IF(AND($F36&gt;=I$6,$F36&lt;EDATE(I$6,1)),"▼",""))</f>
        <v/>
      </c>
      <c r="J36" s="45" t="str">
        <f aca="false">IF(OR($B36="",$F36=""),"",IF(AND($F36&gt;=J$6,$F36&lt;EDATE(J$6,1)),"▼",""))</f>
        <v/>
      </c>
      <c r="K36" s="45" t="str">
        <f aca="false">IF(OR($B36="",$F36=""),"",IF(AND($F36&gt;=K$6,$F36&lt;EDATE(K$6,1)),"▼",""))</f>
        <v/>
      </c>
      <c r="L36" s="45" t="str">
        <f aca="false">IF(OR($B36="",$F36=""),"",IF(AND($F36&gt;=L$6,$F36&lt;EDATE(L$6,1)),"▼",""))</f>
        <v/>
      </c>
      <c r="M36" s="45" t="str">
        <f aca="false">IF(OR($B36="",$F36=""),"",IF(AND($F36&gt;=M$6,$F36&lt;EDATE(M$6,1)),"▼",""))</f>
        <v/>
      </c>
      <c r="N36" s="45" t="str">
        <f aca="false">IF(OR($B36="",$F36=""),"",IF(AND($F36&gt;=N$6,$F36&lt;EDATE(N$6,1)),"▼",""))</f>
        <v/>
      </c>
      <c r="O36" s="45" t="str">
        <f aca="false">IF(OR($B36="",$F36=""),"",IF(AND($F36&gt;=O$6,$F36&lt;EDATE(O$6,1)),"▼",""))</f>
        <v/>
      </c>
      <c r="P36" s="45" t="str">
        <f aca="false">IF(OR($B36="",$F36=""),"",IF(AND($F36&gt;=P$6,$F36&lt;EDATE(P$6,1)),"▼",""))</f>
        <v/>
      </c>
      <c r="Q36" s="45" t="str">
        <f aca="false">IF(OR($B36="",$F36=""),"",IF(AND($F36&gt;=Q$6,$F36&lt;EDATE(Q$6,1)),"▼",""))</f>
        <v/>
      </c>
      <c r="R36" s="45" t="str">
        <f aca="false">IF(OR($B36="",$F36=""),"",IF(AND($F36&gt;=R$6,$F36&lt;EDATE(R$6,1)),"▼",""))</f>
        <v/>
      </c>
      <c r="S36" s="45" t="str">
        <f aca="false">IF(OR($B36="",$F36=""),"",IF(AND($F36&gt;=S$6,$F36&lt;EDATE(S$6,1)),"▼",""))</f>
        <v/>
      </c>
    </row>
    <row r="37" customFormat="false" ht="18.75" hidden="false" customHeight="true" outlineLevel="0" collapsed="false">
      <c r="A37" s="28" t="str">
        <f aca="false">IF($B37="","","Livros")</f>
        <v/>
      </c>
      <c r="B37" s="42" t="str">
        <f aca="false">IF(Livros!B11="","",Livros!B11)</f>
        <v/>
      </c>
      <c r="C37" s="43" t="str">
        <f aca="false">IF($B37="","",IF(Livros!N11="","",Livros!N11))</f>
        <v/>
      </c>
      <c r="D37" s="44" t="str">
        <f aca="false">IF($B37="","",IF(Livros!I11="","",Livros!I11))</f>
        <v/>
      </c>
      <c r="E37" s="44" t="str">
        <f aca="false">IF($B37="","",IF(Livros!J11="","",Livros!J11))</f>
        <v/>
      </c>
      <c r="F37" s="44" t="str">
        <f aca="false">""</f>
        <v/>
      </c>
      <c r="G37" s="30" t="str">
        <f aca="false">IF($B37="","",Livros!M11)</f>
        <v/>
      </c>
      <c r="H37" s="45" t="str">
        <f aca="false">IF(OR($B37="",$F37=""),"",IF(AND($F37&gt;=H$6,$F37&lt;EDATE(H$6,1)),"▼",""))</f>
        <v/>
      </c>
      <c r="I37" s="45" t="str">
        <f aca="false">IF(OR($B37="",$F37=""),"",IF(AND($F37&gt;=I$6,$F37&lt;EDATE(I$6,1)),"▼",""))</f>
        <v/>
      </c>
      <c r="J37" s="45" t="str">
        <f aca="false">IF(OR($B37="",$F37=""),"",IF(AND($F37&gt;=J$6,$F37&lt;EDATE(J$6,1)),"▼",""))</f>
        <v/>
      </c>
      <c r="K37" s="45" t="str">
        <f aca="false">IF(OR($B37="",$F37=""),"",IF(AND($F37&gt;=K$6,$F37&lt;EDATE(K$6,1)),"▼",""))</f>
        <v/>
      </c>
      <c r="L37" s="45" t="str">
        <f aca="false">IF(OR($B37="",$F37=""),"",IF(AND($F37&gt;=L$6,$F37&lt;EDATE(L$6,1)),"▼",""))</f>
        <v/>
      </c>
      <c r="M37" s="45" t="str">
        <f aca="false">IF(OR($B37="",$F37=""),"",IF(AND($F37&gt;=M$6,$F37&lt;EDATE(M$6,1)),"▼",""))</f>
        <v/>
      </c>
      <c r="N37" s="45" t="str">
        <f aca="false">IF(OR($B37="",$F37=""),"",IF(AND($F37&gt;=N$6,$F37&lt;EDATE(N$6,1)),"▼",""))</f>
        <v/>
      </c>
      <c r="O37" s="45" t="str">
        <f aca="false">IF(OR($B37="",$F37=""),"",IF(AND($F37&gt;=O$6,$F37&lt;EDATE(O$6,1)),"▼",""))</f>
        <v/>
      </c>
      <c r="P37" s="45" t="str">
        <f aca="false">IF(OR($B37="",$F37=""),"",IF(AND($F37&gt;=P$6,$F37&lt;EDATE(P$6,1)),"▼",""))</f>
        <v/>
      </c>
      <c r="Q37" s="45" t="str">
        <f aca="false">IF(OR($B37="",$F37=""),"",IF(AND($F37&gt;=Q$6,$F37&lt;EDATE(Q$6,1)),"▼",""))</f>
        <v/>
      </c>
      <c r="R37" s="45" t="str">
        <f aca="false">IF(OR($B37="",$F37=""),"",IF(AND($F37&gt;=R$6,$F37&lt;EDATE(R$6,1)),"▼",""))</f>
        <v/>
      </c>
      <c r="S37" s="45" t="str">
        <f aca="false">IF(OR($B37="",$F37=""),"",IF(AND($F37&gt;=S$6,$F37&lt;EDATE(S$6,1)),"▼",""))</f>
        <v/>
      </c>
    </row>
    <row r="38" customFormat="false" ht="18.75" hidden="false" customHeight="true" outlineLevel="0" collapsed="false">
      <c r="A38" s="28" t="str">
        <f aca="false">IF($B38="","","Livros")</f>
        <v/>
      </c>
      <c r="B38" s="42" t="str">
        <f aca="false">IF(Livros!B12="","",Livros!B12)</f>
        <v/>
      </c>
      <c r="C38" s="43" t="str">
        <f aca="false">IF($B38="","",IF(Livros!N12="","",Livros!N12))</f>
        <v/>
      </c>
      <c r="D38" s="44" t="str">
        <f aca="false">IF($B38="","",IF(Livros!I12="","",Livros!I12))</f>
        <v/>
      </c>
      <c r="E38" s="44" t="str">
        <f aca="false">IF($B38="","",IF(Livros!J12="","",Livros!J12))</f>
        <v/>
      </c>
      <c r="F38" s="44" t="str">
        <f aca="false">""</f>
        <v/>
      </c>
      <c r="G38" s="30" t="str">
        <f aca="false">IF($B38="","",Livros!M12)</f>
        <v/>
      </c>
      <c r="H38" s="45" t="str">
        <f aca="false">IF(OR($B38="",$F38=""),"",IF(AND($F38&gt;=H$6,$F38&lt;EDATE(H$6,1)),"▼",""))</f>
        <v/>
      </c>
      <c r="I38" s="45" t="str">
        <f aca="false">IF(OR($B38="",$F38=""),"",IF(AND($F38&gt;=I$6,$F38&lt;EDATE(I$6,1)),"▼",""))</f>
        <v/>
      </c>
      <c r="J38" s="45" t="str">
        <f aca="false">IF(OR($B38="",$F38=""),"",IF(AND($F38&gt;=J$6,$F38&lt;EDATE(J$6,1)),"▼",""))</f>
        <v/>
      </c>
      <c r="K38" s="45" t="str">
        <f aca="false">IF(OR($B38="",$F38=""),"",IF(AND($F38&gt;=K$6,$F38&lt;EDATE(K$6,1)),"▼",""))</f>
        <v/>
      </c>
      <c r="L38" s="45" t="str">
        <f aca="false">IF(OR($B38="",$F38=""),"",IF(AND($F38&gt;=L$6,$F38&lt;EDATE(L$6,1)),"▼",""))</f>
        <v/>
      </c>
      <c r="M38" s="45" t="str">
        <f aca="false">IF(OR($B38="",$F38=""),"",IF(AND($F38&gt;=M$6,$F38&lt;EDATE(M$6,1)),"▼",""))</f>
        <v/>
      </c>
      <c r="N38" s="45" t="str">
        <f aca="false">IF(OR($B38="",$F38=""),"",IF(AND($F38&gt;=N$6,$F38&lt;EDATE(N$6,1)),"▼",""))</f>
        <v/>
      </c>
      <c r="O38" s="45" t="str">
        <f aca="false">IF(OR($B38="",$F38=""),"",IF(AND($F38&gt;=O$6,$F38&lt;EDATE(O$6,1)),"▼",""))</f>
        <v/>
      </c>
      <c r="P38" s="45" t="str">
        <f aca="false">IF(OR($B38="",$F38=""),"",IF(AND($F38&gt;=P$6,$F38&lt;EDATE(P$6,1)),"▼",""))</f>
        <v/>
      </c>
      <c r="Q38" s="45" t="str">
        <f aca="false">IF(OR($B38="",$F38=""),"",IF(AND($F38&gt;=Q$6,$F38&lt;EDATE(Q$6,1)),"▼",""))</f>
        <v/>
      </c>
      <c r="R38" s="45" t="str">
        <f aca="false">IF(OR($B38="",$F38=""),"",IF(AND($F38&gt;=R$6,$F38&lt;EDATE(R$6,1)),"▼",""))</f>
        <v/>
      </c>
      <c r="S38" s="45" t="str">
        <f aca="false">IF(OR($B38="",$F38=""),"",IF(AND($F38&gt;=S$6,$F38&lt;EDATE(S$6,1)),"▼",""))</f>
        <v/>
      </c>
    </row>
    <row r="39" customFormat="false" ht="18.75" hidden="false" customHeight="true" outlineLevel="0" collapsed="false">
      <c r="A39" s="28" t="str">
        <f aca="false">IF($B39="","","Livros")</f>
        <v/>
      </c>
      <c r="B39" s="42" t="str">
        <f aca="false">IF(Livros!B13="","",Livros!B13)</f>
        <v/>
      </c>
      <c r="C39" s="43" t="str">
        <f aca="false">IF($B39="","",IF(Livros!N13="","",Livros!N13))</f>
        <v/>
      </c>
      <c r="D39" s="44" t="str">
        <f aca="false">IF($B39="","",IF(Livros!I13="","",Livros!I13))</f>
        <v/>
      </c>
      <c r="E39" s="44" t="str">
        <f aca="false">IF($B39="","",IF(Livros!J13="","",Livros!J13))</f>
        <v/>
      </c>
      <c r="F39" s="44" t="str">
        <f aca="false">""</f>
        <v/>
      </c>
      <c r="G39" s="30" t="str">
        <f aca="false">IF($B39="","",Livros!M13)</f>
        <v/>
      </c>
      <c r="H39" s="45" t="str">
        <f aca="false">IF(OR($B39="",$F39=""),"",IF(AND($F39&gt;=H$6,$F39&lt;EDATE(H$6,1)),"▼",""))</f>
        <v/>
      </c>
      <c r="I39" s="45" t="str">
        <f aca="false">IF(OR($B39="",$F39=""),"",IF(AND($F39&gt;=I$6,$F39&lt;EDATE(I$6,1)),"▼",""))</f>
        <v/>
      </c>
      <c r="J39" s="45" t="str">
        <f aca="false">IF(OR($B39="",$F39=""),"",IF(AND($F39&gt;=J$6,$F39&lt;EDATE(J$6,1)),"▼",""))</f>
        <v/>
      </c>
      <c r="K39" s="45" t="str">
        <f aca="false">IF(OR($B39="",$F39=""),"",IF(AND($F39&gt;=K$6,$F39&lt;EDATE(K$6,1)),"▼",""))</f>
        <v/>
      </c>
      <c r="L39" s="45" t="str">
        <f aca="false">IF(OR($B39="",$F39=""),"",IF(AND($F39&gt;=L$6,$F39&lt;EDATE(L$6,1)),"▼",""))</f>
        <v/>
      </c>
      <c r="M39" s="45" t="str">
        <f aca="false">IF(OR($B39="",$F39=""),"",IF(AND($F39&gt;=M$6,$F39&lt;EDATE(M$6,1)),"▼",""))</f>
        <v/>
      </c>
      <c r="N39" s="45" t="str">
        <f aca="false">IF(OR($B39="",$F39=""),"",IF(AND($F39&gt;=N$6,$F39&lt;EDATE(N$6,1)),"▼",""))</f>
        <v/>
      </c>
      <c r="O39" s="45" t="str">
        <f aca="false">IF(OR($B39="",$F39=""),"",IF(AND($F39&gt;=O$6,$F39&lt;EDATE(O$6,1)),"▼",""))</f>
        <v/>
      </c>
      <c r="P39" s="45" t="str">
        <f aca="false">IF(OR($B39="",$F39=""),"",IF(AND($F39&gt;=P$6,$F39&lt;EDATE(P$6,1)),"▼",""))</f>
        <v/>
      </c>
      <c r="Q39" s="45" t="str">
        <f aca="false">IF(OR($B39="",$F39=""),"",IF(AND($F39&gt;=Q$6,$F39&lt;EDATE(Q$6,1)),"▼",""))</f>
        <v/>
      </c>
      <c r="R39" s="45" t="str">
        <f aca="false">IF(OR($B39="",$F39=""),"",IF(AND($F39&gt;=R$6,$F39&lt;EDATE(R$6,1)),"▼",""))</f>
        <v/>
      </c>
      <c r="S39" s="45" t="str">
        <f aca="false">IF(OR($B39="",$F39=""),"",IF(AND($F39&gt;=S$6,$F39&lt;EDATE(S$6,1)),"▼",""))</f>
        <v/>
      </c>
    </row>
    <row r="40" customFormat="false" ht="18.75" hidden="false" customHeight="true" outlineLevel="0" collapsed="false">
      <c r="A40" s="28" t="str">
        <f aca="false">IF($B40="","","Livros")</f>
        <v/>
      </c>
      <c r="B40" s="42" t="str">
        <f aca="false">IF(Livros!B14="","",Livros!B14)</f>
        <v/>
      </c>
      <c r="C40" s="43" t="str">
        <f aca="false">IF($B40="","",IF(Livros!N14="","",Livros!N14))</f>
        <v/>
      </c>
      <c r="D40" s="44" t="str">
        <f aca="false">IF($B40="","",IF(Livros!I14="","",Livros!I14))</f>
        <v/>
      </c>
      <c r="E40" s="44" t="str">
        <f aca="false">IF($B40="","",IF(Livros!J14="","",Livros!J14))</f>
        <v/>
      </c>
      <c r="F40" s="44" t="str">
        <f aca="false">""</f>
        <v/>
      </c>
      <c r="G40" s="30" t="str">
        <f aca="false">IF($B40="","",Livros!M14)</f>
        <v/>
      </c>
      <c r="H40" s="45" t="str">
        <f aca="false">IF(OR($B40="",$F40=""),"",IF(AND($F40&gt;=H$6,$F40&lt;EDATE(H$6,1)),"▼",""))</f>
        <v/>
      </c>
      <c r="I40" s="45" t="str">
        <f aca="false">IF(OR($B40="",$F40=""),"",IF(AND($F40&gt;=I$6,$F40&lt;EDATE(I$6,1)),"▼",""))</f>
        <v/>
      </c>
      <c r="J40" s="45" t="str">
        <f aca="false">IF(OR($B40="",$F40=""),"",IF(AND($F40&gt;=J$6,$F40&lt;EDATE(J$6,1)),"▼",""))</f>
        <v/>
      </c>
      <c r="K40" s="45" t="str">
        <f aca="false">IF(OR($B40="",$F40=""),"",IF(AND($F40&gt;=K$6,$F40&lt;EDATE(K$6,1)),"▼",""))</f>
        <v/>
      </c>
      <c r="L40" s="45" t="str">
        <f aca="false">IF(OR($B40="",$F40=""),"",IF(AND($F40&gt;=L$6,$F40&lt;EDATE(L$6,1)),"▼",""))</f>
        <v/>
      </c>
      <c r="M40" s="45" t="str">
        <f aca="false">IF(OR($B40="",$F40=""),"",IF(AND($F40&gt;=M$6,$F40&lt;EDATE(M$6,1)),"▼",""))</f>
        <v/>
      </c>
      <c r="N40" s="45" t="str">
        <f aca="false">IF(OR($B40="",$F40=""),"",IF(AND($F40&gt;=N$6,$F40&lt;EDATE(N$6,1)),"▼",""))</f>
        <v/>
      </c>
      <c r="O40" s="45" t="str">
        <f aca="false">IF(OR($B40="",$F40=""),"",IF(AND($F40&gt;=O$6,$F40&lt;EDATE(O$6,1)),"▼",""))</f>
        <v/>
      </c>
      <c r="P40" s="45" t="str">
        <f aca="false">IF(OR($B40="",$F40=""),"",IF(AND($F40&gt;=P$6,$F40&lt;EDATE(P$6,1)),"▼",""))</f>
        <v/>
      </c>
      <c r="Q40" s="45" t="str">
        <f aca="false">IF(OR($B40="",$F40=""),"",IF(AND($F40&gt;=Q$6,$F40&lt;EDATE(Q$6,1)),"▼",""))</f>
        <v/>
      </c>
      <c r="R40" s="45" t="str">
        <f aca="false">IF(OR($B40="",$F40=""),"",IF(AND($F40&gt;=R$6,$F40&lt;EDATE(R$6,1)),"▼",""))</f>
        <v/>
      </c>
      <c r="S40" s="45" t="str">
        <f aca="false">IF(OR($B40="",$F40=""),"",IF(AND($F40&gt;=S$6,$F40&lt;EDATE(S$6,1)),"▼",""))</f>
        <v/>
      </c>
    </row>
    <row r="41" customFormat="false" ht="18.75" hidden="false" customHeight="true" outlineLevel="0" collapsed="false">
      <c r="A41" s="28" t="str">
        <f aca="false">IF($B41="","","Livros")</f>
        <v/>
      </c>
      <c r="B41" s="42" t="str">
        <f aca="false">IF(Livros!B15="","",Livros!B15)</f>
        <v/>
      </c>
      <c r="C41" s="43" t="str">
        <f aca="false">IF($B41="","",IF(Livros!N15="","",Livros!N15))</f>
        <v/>
      </c>
      <c r="D41" s="44" t="str">
        <f aca="false">IF($B41="","",IF(Livros!I15="","",Livros!I15))</f>
        <v/>
      </c>
      <c r="E41" s="44" t="str">
        <f aca="false">IF($B41="","",IF(Livros!J15="","",Livros!J15))</f>
        <v/>
      </c>
      <c r="F41" s="44" t="str">
        <f aca="false">""</f>
        <v/>
      </c>
      <c r="G41" s="30" t="str">
        <f aca="false">IF($B41="","",Livros!M15)</f>
        <v/>
      </c>
      <c r="H41" s="45" t="str">
        <f aca="false">IF(OR($B41="",$F41=""),"",IF(AND($F41&gt;=H$6,$F41&lt;EDATE(H$6,1)),"▼",""))</f>
        <v/>
      </c>
      <c r="I41" s="45" t="str">
        <f aca="false">IF(OR($B41="",$F41=""),"",IF(AND($F41&gt;=I$6,$F41&lt;EDATE(I$6,1)),"▼",""))</f>
        <v/>
      </c>
      <c r="J41" s="45" t="str">
        <f aca="false">IF(OR($B41="",$F41=""),"",IF(AND($F41&gt;=J$6,$F41&lt;EDATE(J$6,1)),"▼",""))</f>
        <v/>
      </c>
      <c r="K41" s="45" t="str">
        <f aca="false">IF(OR($B41="",$F41=""),"",IF(AND($F41&gt;=K$6,$F41&lt;EDATE(K$6,1)),"▼",""))</f>
        <v/>
      </c>
      <c r="L41" s="45" t="str">
        <f aca="false">IF(OR($B41="",$F41=""),"",IF(AND($F41&gt;=L$6,$F41&lt;EDATE(L$6,1)),"▼",""))</f>
        <v/>
      </c>
      <c r="M41" s="45" t="str">
        <f aca="false">IF(OR($B41="",$F41=""),"",IF(AND($F41&gt;=M$6,$F41&lt;EDATE(M$6,1)),"▼",""))</f>
        <v/>
      </c>
      <c r="N41" s="45" t="str">
        <f aca="false">IF(OR($B41="",$F41=""),"",IF(AND($F41&gt;=N$6,$F41&lt;EDATE(N$6,1)),"▼",""))</f>
        <v/>
      </c>
      <c r="O41" s="45" t="str">
        <f aca="false">IF(OR($B41="",$F41=""),"",IF(AND($F41&gt;=O$6,$F41&lt;EDATE(O$6,1)),"▼",""))</f>
        <v/>
      </c>
      <c r="P41" s="45" t="str">
        <f aca="false">IF(OR($B41="",$F41=""),"",IF(AND($F41&gt;=P$6,$F41&lt;EDATE(P$6,1)),"▼",""))</f>
        <v/>
      </c>
      <c r="Q41" s="45" t="str">
        <f aca="false">IF(OR($B41="",$F41=""),"",IF(AND($F41&gt;=Q$6,$F41&lt;EDATE(Q$6,1)),"▼",""))</f>
        <v/>
      </c>
      <c r="R41" s="45" t="str">
        <f aca="false">IF(OR($B41="",$F41=""),"",IF(AND($F41&gt;=R$6,$F41&lt;EDATE(R$6,1)),"▼",""))</f>
        <v/>
      </c>
      <c r="S41" s="45" t="str">
        <f aca="false">IF(OR($B41="",$F41=""),"",IF(AND($F41&gt;=S$6,$F41&lt;EDATE(S$6,1)),"▼",""))</f>
        <v/>
      </c>
    </row>
    <row r="42" customFormat="false" ht="18.75" hidden="false" customHeight="true" outlineLevel="0" collapsed="false">
      <c r="A42" s="28" t="str">
        <f aca="false">IF($B42="","","Livros")</f>
        <v/>
      </c>
      <c r="B42" s="42" t="str">
        <f aca="false">IF(Livros!B16="","",Livros!B16)</f>
        <v/>
      </c>
      <c r="C42" s="43" t="str">
        <f aca="false">IF($B42="","",IF(Livros!N16="","",Livros!N16))</f>
        <v/>
      </c>
      <c r="D42" s="44" t="str">
        <f aca="false">IF($B42="","",IF(Livros!I16="","",Livros!I16))</f>
        <v/>
      </c>
      <c r="E42" s="44" t="str">
        <f aca="false">IF($B42="","",IF(Livros!J16="","",Livros!J16))</f>
        <v/>
      </c>
      <c r="F42" s="44" t="str">
        <f aca="false">""</f>
        <v/>
      </c>
      <c r="G42" s="30" t="str">
        <f aca="false">IF($B42="","",Livros!M16)</f>
        <v/>
      </c>
      <c r="H42" s="45" t="str">
        <f aca="false">IF(OR($B42="",$F42=""),"",IF(AND($F42&gt;=H$6,$F42&lt;EDATE(H$6,1)),"▼",""))</f>
        <v/>
      </c>
      <c r="I42" s="45" t="str">
        <f aca="false">IF(OR($B42="",$F42=""),"",IF(AND($F42&gt;=I$6,$F42&lt;EDATE(I$6,1)),"▼",""))</f>
        <v/>
      </c>
      <c r="J42" s="45" t="str">
        <f aca="false">IF(OR($B42="",$F42=""),"",IF(AND($F42&gt;=J$6,$F42&lt;EDATE(J$6,1)),"▼",""))</f>
        <v/>
      </c>
      <c r="K42" s="45" t="str">
        <f aca="false">IF(OR($B42="",$F42=""),"",IF(AND($F42&gt;=K$6,$F42&lt;EDATE(K$6,1)),"▼",""))</f>
        <v/>
      </c>
      <c r="L42" s="45" t="str">
        <f aca="false">IF(OR($B42="",$F42=""),"",IF(AND($F42&gt;=L$6,$F42&lt;EDATE(L$6,1)),"▼",""))</f>
        <v/>
      </c>
      <c r="M42" s="45" t="str">
        <f aca="false">IF(OR($B42="",$F42=""),"",IF(AND($F42&gt;=M$6,$F42&lt;EDATE(M$6,1)),"▼",""))</f>
        <v/>
      </c>
      <c r="N42" s="45" t="str">
        <f aca="false">IF(OR($B42="",$F42=""),"",IF(AND($F42&gt;=N$6,$F42&lt;EDATE(N$6,1)),"▼",""))</f>
        <v/>
      </c>
      <c r="O42" s="45" t="str">
        <f aca="false">IF(OR($B42="",$F42=""),"",IF(AND($F42&gt;=O$6,$F42&lt;EDATE(O$6,1)),"▼",""))</f>
        <v/>
      </c>
      <c r="P42" s="45" t="str">
        <f aca="false">IF(OR($B42="",$F42=""),"",IF(AND($F42&gt;=P$6,$F42&lt;EDATE(P$6,1)),"▼",""))</f>
        <v/>
      </c>
      <c r="Q42" s="45" t="str">
        <f aca="false">IF(OR($B42="",$F42=""),"",IF(AND($F42&gt;=Q$6,$F42&lt;EDATE(Q$6,1)),"▼",""))</f>
        <v/>
      </c>
      <c r="R42" s="45" t="str">
        <f aca="false">IF(OR($B42="",$F42=""),"",IF(AND($F42&gt;=R$6,$F42&lt;EDATE(R$6,1)),"▼",""))</f>
        <v/>
      </c>
      <c r="S42" s="45" t="str">
        <f aca="false">IF(OR($B42="",$F42=""),"",IF(AND($F42&gt;=S$6,$F42&lt;EDATE(S$6,1)),"▼",""))</f>
        <v/>
      </c>
    </row>
    <row r="43" customFormat="false" ht="18.75" hidden="false" customHeight="true" outlineLevel="0" collapsed="false">
      <c r="A43" s="28" t="str">
        <f aca="false">IF($B43="","","Livros")</f>
        <v/>
      </c>
      <c r="B43" s="42" t="str">
        <f aca="false">IF(Livros!B17="","",Livros!B17)</f>
        <v/>
      </c>
      <c r="C43" s="43" t="str">
        <f aca="false">IF($B43="","",IF(Livros!N17="","",Livros!N17))</f>
        <v/>
      </c>
      <c r="D43" s="44" t="str">
        <f aca="false">IF($B43="","",IF(Livros!I17="","",Livros!I17))</f>
        <v/>
      </c>
      <c r="E43" s="44" t="str">
        <f aca="false">IF($B43="","",IF(Livros!J17="","",Livros!J17))</f>
        <v/>
      </c>
      <c r="F43" s="44" t="str">
        <f aca="false">""</f>
        <v/>
      </c>
      <c r="G43" s="30" t="str">
        <f aca="false">IF($B43="","",Livros!M17)</f>
        <v/>
      </c>
      <c r="H43" s="45" t="str">
        <f aca="false">IF(OR($B43="",$F43=""),"",IF(AND($F43&gt;=H$6,$F43&lt;EDATE(H$6,1)),"▼",""))</f>
        <v/>
      </c>
      <c r="I43" s="45" t="str">
        <f aca="false">IF(OR($B43="",$F43=""),"",IF(AND($F43&gt;=I$6,$F43&lt;EDATE(I$6,1)),"▼",""))</f>
        <v/>
      </c>
      <c r="J43" s="45" t="str">
        <f aca="false">IF(OR($B43="",$F43=""),"",IF(AND($F43&gt;=J$6,$F43&lt;EDATE(J$6,1)),"▼",""))</f>
        <v/>
      </c>
      <c r="K43" s="45" t="str">
        <f aca="false">IF(OR($B43="",$F43=""),"",IF(AND($F43&gt;=K$6,$F43&lt;EDATE(K$6,1)),"▼",""))</f>
        <v/>
      </c>
      <c r="L43" s="45" t="str">
        <f aca="false">IF(OR($B43="",$F43=""),"",IF(AND($F43&gt;=L$6,$F43&lt;EDATE(L$6,1)),"▼",""))</f>
        <v/>
      </c>
      <c r="M43" s="45" t="str">
        <f aca="false">IF(OR($B43="",$F43=""),"",IF(AND($F43&gt;=M$6,$F43&lt;EDATE(M$6,1)),"▼",""))</f>
        <v/>
      </c>
      <c r="N43" s="45" t="str">
        <f aca="false">IF(OR($B43="",$F43=""),"",IF(AND($F43&gt;=N$6,$F43&lt;EDATE(N$6,1)),"▼",""))</f>
        <v/>
      </c>
      <c r="O43" s="45" t="str">
        <f aca="false">IF(OR($B43="",$F43=""),"",IF(AND($F43&gt;=O$6,$F43&lt;EDATE(O$6,1)),"▼",""))</f>
        <v/>
      </c>
      <c r="P43" s="45" t="str">
        <f aca="false">IF(OR($B43="",$F43=""),"",IF(AND($F43&gt;=P$6,$F43&lt;EDATE(P$6,1)),"▼",""))</f>
        <v/>
      </c>
      <c r="Q43" s="45" t="str">
        <f aca="false">IF(OR($B43="",$F43=""),"",IF(AND($F43&gt;=Q$6,$F43&lt;EDATE(Q$6,1)),"▼",""))</f>
        <v/>
      </c>
      <c r="R43" s="45" t="str">
        <f aca="false">IF(OR($B43="",$F43=""),"",IF(AND($F43&gt;=R$6,$F43&lt;EDATE(R$6,1)),"▼",""))</f>
        <v/>
      </c>
      <c r="S43" s="45" t="str">
        <f aca="false">IF(OR($B43="",$F43=""),"",IF(AND($F43&gt;=S$6,$F43&lt;EDATE(S$6,1)),"▼",""))</f>
        <v/>
      </c>
    </row>
    <row r="44" customFormat="false" ht="18.75" hidden="false" customHeight="true" outlineLevel="0" collapsed="false">
      <c r="A44" s="28" t="str">
        <f aca="false">IF($B44="","","Livros")</f>
        <v/>
      </c>
      <c r="B44" s="42" t="str">
        <f aca="false">IF(Livros!B18="","",Livros!B18)</f>
        <v/>
      </c>
      <c r="C44" s="43" t="str">
        <f aca="false">IF($B44="","",IF(Livros!N18="","",Livros!N18))</f>
        <v/>
      </c>
      <c r="D44" s="44" t="str">
        <f aca="false">IF($B44="","",IF(Livros!I18="","",Livros!I18))</f>
        <v/>
      </c>
      <c r="E44" s="44" t="str">
        <f aca="false">IF($B44="","",IF(Livros!J18="","",Livros!J18))</f>
        <v/>
      </c>
      <c r="F44" s="44" t="str">
        <f aca="false">""</f>
        <v/>
      </c>
      <c r="G44" s="30" t="str">
        <f aca="false">IF($B44="","",Livros!M18)</f>
        <v/>
      </c>
      <c r="H44" s="45" t="str">
        <f aca="false">IF(OR($B44="",$F44=""),"",IF(AND($F44&gt;=H$6,$F44&lt;EDATE(H$6,1)),"▼",""))</f>
        <v/>
      </c>
      <c r="I44" s="45" t="str">
        <f aca="false">IF(OR($B44="",$F44=""),"",IF(AND($F44&gt;=I$6,$F44&lt;EDATE(I$6,1)),"▼",""))</f>
        <v/>
      </c>
      <c r="J44" s="45" t="str">
        <f aca="false">IF(OR($B44="",$F44=""),"",IF(AND($F44&gt;=J$6,$F44&lt;EDATE(J$6,1)),"▼",""))</f>
        <v/>
      </c>
      <c r="K44" s="45" t="str">
        <f aca="false">IF(OR($B44="",$F44=""),"",IF(AND($F44&gt;=K$6,$F44&lt;EDATE(K$6,1)),"▼",""))</f>
        <v/>
      </c>
      <c r="L44" s="45" t="str">
        <f aca="false">IF(OR($B44="",$F44=""),"",IF(AND($F44&gt;=L$6,$F44&lt;EDATE(L$6,1)),"▼",""))</f>
        <v/>
      </c>
      <c r="M44" s="45" t="str">
        <f aca="false">IF(OR($B44="",$F44=""),"",IF(AND($F44&gt;=M$6,$F44&lt;EDATE(M$6,1)),"▼",""))</f>
        <v/>
      </c>
      <c r="N44" s="45" t="str">
        <f aca="false">IF(OR($B44="",$F44=""),"",IF(AND($F44&gt;=N$6,$F44&lt;EDATE(N$6,1)),"▼",""))</f>
        <v/>
      </c>
      <c r="O44" s="45" t="str">
        <f aca="false">IF(OR($B44="",$F44=""),"",IF(AND($F44&gt;=O$6,$F44&lt;EDATE(O$6,1)),"▼",""))</f>
        <v/>
      </c>
      <c r="P44" s="45" t="str">
        <f aca="false">IF(OR($B44="",$F44=""),"",IF(AND($F44&gt;=P$6,$F44&lt;EDATE(P$6,1)),"▼",""))</f>
        <v/>
      </c>
      <c r="Q44" s="45" t="str">
        <f aca="false">IF(OR($B44="",$F44=""),"",IF(AND($F44&gt;=Q$6,$F44&lt;EDATE(Q$6,1)),"▼",""))</f>
        <v/>
      </c>
      <c r="R44" s="45" t="str">
        <f aca="false">IF(OR($B44="",$F44=""),"",IF(AND($F44&gt;=R$6,$F44&lt;EDATE(R$6,1)),"▼",""))</f>
        <v/>
      </c>
      <c r="S44" s="45" t="str">
        <f aca="false">IF(OR($B44="",$F44=""),"",IF(AND($F44&gt;=S$6,$F44&lt;EDATE(S$6,1)),"▼",""))</f>
        <v/>
      </c>
    </row>
    <row r="45" customFormat="false" ht="18.75" hidden="false" customHeight="true" outlineLevel="0" collapsed="false">
      <c r="A45" s="28" t="str">
        <f aca="false">IF($B45="","","Livros")</f>
        <v/>
      </c>
      <c r="B45" s="42" t="str">
        <f aca="false">IF(Livros!B19="","",Livros!B19)</f>
        <v/>
      </c>
      <c r="C45" s="43" t="str">
        <f aca="false">IF($B45="","",IF(Livros!N19="","",Livros!N19))</f>
        <v/>
      </c>
      <c r="D45" s="44" t="str">
        <f aca="false">IF($B45="","",IF(Livros!I19="","",Livros!I19))</f>
        <v/>
      </c>
      <c r="E45" s="44" t="str">
        <f aca="false">IF($B45="","",IF(Livros!J19="","",Livros!J19))</f>
        <v/>
      </c>
      <c r="F45" s="44" t="str">
        <f aca="false">""</f>
        <v/>
      </c>
      <c r="G45" s="30" t="str">
        <f aca="false">IF($B45="","",Livros!M19)</f>
        <v/>
      </c>
      <c r="H45" s="45" t="str">
        <f aca="false">IF(OR($B45="",$F45=""),"",IF(AND($F45&gt;=H$6,$F45&lt;EDATE(H$6,1)),"▼",""))</f>
        <v/>
      </c>
      <c r="I45" s="45" t="str">
        <f aca="false">IF(OR($B45="",$F45=""),"",IF(AND($F45&gt;=I$6,$F45&lt;EDATE(I$6,1)),"▼",""))</f>
        <v/>
      </c>
      <c r="J45" s="45" t="str">
        <f aca="false">IF(OR($B45="",$F45=""),"",IF(AND($F45&gt;=J$6,$F45&lt;EDATE(J$6,1)),"▼",""))</f>
        <v/>
      </c>
      <c r="K45" s="45" t="str">
        <f aca="false">IF(OR($B45="",$F45=""),"",IF(AND($F45&gt;=K$6,$F45&lt;EDATE(K$6,1)),"▼",""))</f>
        <v/>
      </c>
      <c r="L45" s="45" t="str">
        <f aca="false">IF(OR($B45="",$F45=""),"",IF(AND($F45&gt;=L$6,$F45&lt;EDATE(L$6,1)),"▼",""))</f>
        <v/>
      </c>
      <c r="M45" s="45" t="str">
        <f aca="false">IF(OR($B45="",$F45=""),"",IF(AND($F45&gt;=M$6,$F45&lt;EDATE(M$6,1)),"▼",""))</f>
        <v/>
      </c>
      <c r="N45" s="45" t="str">
        <f aca="false">IF(OR($B45="",$F45=""),"",IF(AND($F45&gt;=N$6,$F45&lt;EDATE(N$6,1)),"▼",""))</f>
        <v/>
      </c>
      <c r="O45" s="45" t="str">
        <f aca="false">IF(OR($B45="",$F45=""),"",IF(AND($F45&gt;=O$6,$F45&lt;EDATE(O$6,1)),"▼",""))</f>
        <v/>
      </c>
      <c r="P45" s="45" t="str">
        <f aca="false">IF(OR($B45="",$F45=""),"",IF(AND($F45&gt;=P$6,$F45&lt;EDATE(P$6,1)),"▼",""))</f>
        <v/>
      </c>
      <c r="Q45" s="45" t="str">
        <f aca="false">IF(OR($B45="",$F45=""),"",IF(AND($F45&gt;=Q$6,$F45&lt;EDATE(Q$6,1)),"▼",""))</f>
        <v/>
      </c>
      <c r="R45" s="45" t="str">
        <f aca="false">IF(OR($B45="",$F45=""),"",IF(AND($F45&gt;=R$6,$F45&lt;EDATE(R$6,1)),"▼",""))</f>
        <v/>
      </c>
      <c r="S45" s="45" t="str">
        <f aca="false">IF(OR($B45="",$F45=""),"",IF(AND($F45&gt;=S$6,$F45&lt;EDATE(S$6,1)),"▼",""))</f>
        <v/>
      </c>
    </row>
    <row r="46" customFormat="false" ht="19.5" hidden="false" customHeight="true" outlineLevel="0" collapsed="false">
      <c r="A46" s="41" t="s">
        <v>84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</row>
    <row r="47" customFormat="false" ht="18.75" hidden="false" customHeight="true" outlineLevel="0" collapsed="false">
      <c r="A47" s="28" t="str">
        <f aca="false">IF($B47="","","Cursos IA")</f>
        <v>Cursos IA</v>
      </c>
      <c r="B47" s="42" t="str">
        <f aca="false">IF('Cursos IA'!B8="","",'Cursos IA'!B8)</f>
        <v>Agentes de IA na Prática (exemplo)</v>
      </c>
      <c r="C47" s="43" t="str">
        <f aca="false">IF($B47="","",IF('Cursos IA'!O8="","",'Cursos IA'!O8))</f>
        <v>Em andamento</v>
      </c>
      <c r="D47" s="44" t="n">
        <f aca="false">IF($B47="","",IF('Cursos IA'!G8="","",'Cursos IA'!G8))</f>
        <v>46285</v>
      </c>
      <c r="E47" s="44" t="n">
        <f aca="false">IF($B47="","",IF('Cursos IA'!H8&lt;&gt;"",'Cursos IA'!H8,IF('Cursos IA'!I8&lt;&gt;"",'Cursos IA'!I8,"")))</f>
        <v>46376</v>
      </c>
      <c r="F47" s="44" t="n">
        <f aca="false">IF($B47="","",IF('Cursos IA'!I8="","",'Cursos IA'!I8))</f>
        <v>46642</v>
      </c>
      <c r="G47" s="30" t="n">
        <f aca="false">IF($B47="","",'Cursos IA'!N8)</f>
        <v>0.3</v>
      </c>
      <c r="H47" s="45" t="str">
        <f aca="false">IF(OR($B47="",$F47=""),"",IF(AND($F47&gt;=H$6,$F47&lt;EDATE(H$6,1)),"▼",""))</f>
        <v/>
      </c>
      <c r="I47" s="45" t="str">
        <f aca="false">IF(OR($B47="",$F47=""),"",IF(AND($F47&gt;=I$6,$F47&lt;EDATE(I$6,1)),"▼",""))</f>
        <v/>
      </c>
      <c r="J47" s="45" t="str">
        <f aca="false">IF(OR($B47="",$F47=""),"",IF(AND($F47&gt;=J$6,$F47&lt;EDATE(J$6,1)),"▼",""))</f>
        <v/>
      </c>
      <c r="K47" s="45" t="str">
        <f aca="false">IF(OR($B47="",$F47=""),"",IF(AND($F47&gt;=K$6,$F47&lt;EDATE(K$6,1)),"▼",""))</f>
        <v/>
      </c>
      <c r="L47" s="45" t="str">
        <f aca="false">IF(OR($B47="",$F47=""),"",IF(AND($F47&gt;=L$6,$F47&lt;EDATE(L$6,1)),"▼",""))</f>
        <v/>
      </c>
      <c r="M47" s="45" t="str">
        <f aca="false">IF(OR($B47="",$F47=""),"",IF(AND($F47&gt;=M$6,$F47&lt;EDATE(M$6,1)),"▼",""))</f>
        <v/>
      </c>
      <c r="N47" s="45" t="str">
        <f aca="false">IF(OR($B47="",$F47=""),"",IF(AND($F47&gt;=N$6,$F47&lt;EDATE(N$6,1)),"▼",""))</f>
        <v/>
      </c>
      <c r="O47" s="45" t="str">
        <f aca="false">IF(OR($B47="",$F47=""),"",IF(AND($F47&gt;=O$6,$F47&lt;EDATE(O$6,1)),"▼",""))</f>
        <v/>
      </c>
      <c r="P47" s="45" t="str">
        <f aca="false">IF(OR($B47="",$F47=""),"",IF(AND($F47&gt;=P$6,$F47&lt;EDATE(P$6,1)),"▼",""))</f>
        <v/>
      </c>
      <c r="Q47" s="45" t="str">
        <f aca="false">IF(OR($B47="",$F47=""),"",IF(AND($F47&gt;=Q$6,$F47&lt;EDATE(Q$6,1)),"▼",""))</f>
        <v/>
      </c>
      <c r="R47" s="45" t="str">
        <f aca="false">IF(OR($B47="",$F47=""),"",IF(AND($F47&gt;=R$6,$F47&lt;EDATE(R$6,1)),"▼",""))</f>
        <v/>
      </c>
      <c r="S47" s="45" t="str">
        <f aca="false">IF(OR($B47="",$F47=""),"",IF(AND($F47&gt;=S$6,$F47&lt;EDATE(S$6,1)),"▼",""))</f>
        <v>▼</v>
      </c>
    </row>
    <row r="48" customFormat="false" ht="18.75" hidden="false" customHeight="true" outlineLevel="0" collapsed="false">
      <c r="A48" s="28" t="str">
        <f aca="false">IF($B48="","","Cursos IA")</f>
        <v/>
      </c>
      <c r="B48" s="42" t="str">
        <f aca="false">IF('Cursos IA'!B9="","",'Cursos IA'!B9)</f>
        <v/>
      </c>
      <c r="C48" s="43" t="str">
        <f aca="false">IF($B48="","",IF('Cursos IA'!O9="","",'Cursos IA'!O9))</f>
        <v/>
      </c>
      <c r="D48" s="44" t="str">
        <f aca="false">IF($B48="","",IF('Cursos IA'!G9="","",'Cursos IA'!G9))</f>
        <v/>
      </c>
      <c r="E48" s="44" t="str">
        <f aca="false">IF($B48="","",IF('Cursos IA'!H9&lt;&gt;"",'Cursos IA'!H9,IF('Cursos IA'!I9&lt;&gt;"",'Cursos IA'!I9,"")))</f>
        <v/>
      </c>
      <c r="F48" s="44" t="str">
        <f aca="false">IF($B48="","",IF('Cursos IA'!I9="","",'Cursos IA'!I9))</f>
        <v/>
      </c>
      <c r="G48" s="30" t="str">
        <f aca="false">IF($B48="","",'Cursos IA'!N9)</f>
        <v/>
      </c>
      <c r="H48" s="45" t="str">
        <f aca="false">IF(OR($B48="",$F48=""),"",IF(AND($F48&gt;=H$6,$F48&lt;EDATE(H$6,1)),"▼",""))</f>
        <v/>
      </c>
      <c r="I48" s="45" t="str">
        <f aca="false">IF(OR($B48="",$F48=""),"",IF(AND($F48&gt;=I$6,$F48&lt;EDATE(I$6,1)),"▼",""))</f>
        <v/>
      </c>
      <c r="J48" s="45" t="str">
        <f aca="false">IF(OR($B48="",$F48=""),"",IF(AND($F48&gt;=J$6,$F48&lt;EDATE(J$6,1)),"▼",""))</f>
        <v/>
      </c>
      <c r="K48" s="45" t="str">
        <f aca="false">IF(OR($B48="",$F48=""),"",IF(AND($F48&gt;=K$6,$F48&lt;EDATE(K$6,1)),"▼",""))</f>
        <v/>
      </c>
      <c r="L48" s="45" t="str">
        <f aca="false">IF(OR($B48="",$F48=""),"",IF(AND($F48&gt;=L$6,$F48&lt;EDATE(L$6,1)),"▼",""))</f>
        <v/>
      </c>
      <c r="M48" s="45" t="str">
        <f aca="false">IF(OR($B48="",$F48=""),"",IF(AND($F48&gt;=M$6,$F48&lt;EDATE(M$6,1)),"▼",""))</f>
        <v/>
      </c>
      <c r="N48" s="45" t="str">
        <f aca="false">IF(OR($B48="",$F48=""),"",IF(AND($F48&gt;=N$6,$F48&lt;EDATE(N$6,1)),"▼",""))</f>
        <v/>
      </c>
      <c r="O48" s="45" t="str">
        <f aca="false">IF(OR($B48="",$F48=""),"",IF(AND($F48&gt;=O$6,$F48&lt;EDATE(O$6,1)),"▼",""))</f>
        <v/>
      </c>
      <c r="P48" s="45" t="str">
        <f aca="false">IF(OR($B48="",$F48=""),"",IF(AND($F48&gt;=P$6,$F48&lt;EDATE(P$6,1)),"▼",""))</f>
        <v/>
      </c>
      <c r="Q48" s="45" t="str">
        <f aca="false">IF(OR($B48="",$F48=""),"",IF(AND($F48&gt;=Q$6,$F48&lt;EDATE(Q$6,1)),"▼",""))</f>
        <v/>
      </c>
      <c r="R48" s="45" t="str">
        <f aca="false">IF(OR($B48="",$F48=""),"",IF(AND($F48&gt;=R$6,$F48&lt;EDATE(R$6,1)),"▼",""))</f>
        <v/>
      </c>
      <c r="S48" s="45" t="str">
        <f aca="false">IF(OR($B48="",$F48=""),"",IF(AND($F48&gt;=S$6,$F48&lt;EDATE(S$6,1)),"▼",""))</f>
        <v/>
      </c>
    </row>
    <row r="49" customFormat="false" ht="18.75" hidden="false" customHeight="true" outlineLevel="0" collapsed="false">
      <c r="A49" s="28" t="str">
        <f aca="false">IF($B49="","","Cursos IA")</f>
        <v/>
      </c>
      <c r="B49" s="42" t="str">
        <f aca="false">IF('Cursos IA'!B10="","",'Cursos IA'!B10)</f>
        <v/>
      </c>
      <c r="C49" s="43" t="str">
        <f aca="false">IF($B49="","",IF('Cursos IA'!O10="","",'Cursos IA'!O10))</f>
        <v/>
      </c>
      <c r="D49" s="44" t="str">
        <f aca="false">IF($B49="","",IF('Cursos IA'!G10="","",'Cursos IA'!G10))</f>
        <v/>
      </c>
      <c r="E49" s="44" t="str">
        <f aca="false">IF($B49="","",IF('Cursos IA'!H10&lt;&gt;"",'Cursos IA'!H10,IF('Cursos IA'!I10&lt;&gt;"",'Cursos IA'!I10,"")))</f>
        <v/>
      </c>
      <c r="F49" s="44" t="str">
        <f aca="false">IF($B49="","",IF('Cursos IA'!I10="","",'Cursos IA'!I10))</f>
        <v/>
      </c>
      <c r="G49" s="30" t="str">
        <f aca="false">IF($B49="","",'Cursos IA'!N10)</f>
        <v/>
      </c>
      <c r="H49" s="45" t="str">
        <f aca="false">IF(OR($B49="",$F49=""),"",IF(AND($F49&gt;=H$6,$F49&lt;EDATE(H$6,1)),"▼",""))</f>
        <v/>
      </c>
      <c r="I49" s="45" t="str">
        <f aca="false">IF(OR($B49="",$F49=""),"",IF(AND($F49&gt;=I$6,$F49&lt;EDATE(I$6,1)),"▼",""))</f>
        <v/>
      </c>
      <c r="J49" s="45" t="str">
        <f aca="false">IF(OR($B49="",$F49=""),"",IF(AND($F49&gt;=J$6,$F49&lt;EDATE(J$6,1)),"▼",""))</f>
        <v/>
      </c>
      <c r="K49" s="45" t="str">
        <f aca="false">IF(OR($B49="",$F49=""),"",IF(AND($F49&gt;=K$6,$F49&lt;EDATE(K$6,1)),"▼",""))</f>
        <v/>
      </c>
      <c r="L49" s="45" t="str">
        <f aca="false">IF(OR($B49="",$F49=""),"",IF(AND($F49&gt;=L$6,$F49&lt;EDATE(L$6,1)),"▼",""))</f>
        <v/>
      </c>
      <c r="M49" s="45" t="str">
        <f aca="false">IF(OR($B49="",$F49=""),"",IF(AND($F49&gt;=M$6,$F49&lt;EDATE(M$6,1)),"▼",""))</f>
        <v/>
      </c>
      <c r="N49" s="45" t="str">
        <f aca="false">IF(OR($B49="",$F49=""),"",IF(AND($F49&gt;=N$6,$F49&lt;EDATE(N$6,1)),"▼",""))</f>
        <v/>
      </c>
      <c r="O49" s="45" t="str">
        <f aca="false">IF(OR($B49="",$F49=""),"",IF(AND($F49&gt;=O$6,$F49&lt;EDATE(O$6,1)),"▼",""))</f>
        <v/>
      </c>
      <c r="P49" s="45" t="str">
        <f aca="false">IF(OR($B49="",$F49=""),"",IF(AND($F49&gt;=P$6,$F49&lt;EDATE(P$6,1)),"▼",""))</f>
        <v/>
      </c>
      <c r="Q49" s="45" t="str">
        <f aca="false">IF(OR($B49="",$F49=""),"",IF(AND($F49&gt;=Q$6,$F49&lt;EDATE(Q$6,1)),"▼",""))</f>
        <v/>
      </c>
      <c r="R49" s="45" t="str">
        <f aca="false">IF(OR($B49="",$F49=""),"",IF(AND($F49&gt;=R$6,$F49&lt;EDATE(R$6,1)),"▼",""))</f>
        <v/>
      </c>
      <c r="S49" s="45" t="str">
        <f aca="false">IF(OR($B49="",$F49=""),"",IF(AND($F49&gt;=S$6,$F49&lt;EDATE(S$6,1)),"▼",""))</f>
        <v/>
      </c>
    </row>
    <row r="50" customFormat="false" ht="18.75" hidden="false" customHeight="true" outlineLevel="0" collapsed="false">
      <c r="A50" s="28" t="str">
        <f aca="false">IF($B50="","","Cursos IA")</f>
        <v/>
      </c>
      <c r="B50" s="42" t="str">
        <f aca="false">IF('Cursos IA'!B11="","",'Cursos IA'!B11)</f>
        <v/>
      </c>
      <c r="C50" s="43" t="str">
        <f aca="false">IF($B50="","",IF('Cursos IA'!O11="","",'Cursos IA'!O11))</f>
        <v/>
      </c>
      <c r="D50" s="44" t="str">
        <f aca="false">IF($B50="","",IF('Cursos IA'!G11="","",'Cursos IA'!G11))</f>
        <v/>
      </c>
      <c r="E50" s="44" t="str">
        <f aca="false">IF($B50="","",IF('Cursos IA'!H11&lt;&gt;"",'Cursos IA'!H11,IF('Cursos IA'!I11&lt;&gt;"",'Cursos IA'!I11,"")))</f>
        <v/>
      </c>
      <c r="F50" s="44" t="str">
        <f aca="false">IF($B50="","",IF('Cursos IA'!I11="","",'Cursos IA'!I11))</f>
        <v/>
      </c>
      <c r="G50" s="30" t="str">
        <f aca="false">IF($B50="","",'Cursos IA'!N11)</f>
        <v/>
      </c>
      <c r="H50" s="45" t="str">
        <f aca="false">IF(OR($B50="",$F50=""),"",IF(AND($F50&gt;=H$6,$F50&lt;EDATE(H$6,1)),"▼",""))</f>
        <v/>
      </c>
      <c r="I50" s="45" t="str">
        <f aca="false">IF(OR($B50="",$F50=""),"",IF(AND($F50&gt;=I$6,$F50&lt;EDATE(I$6,1)),"▼",""))</f>
        <v/>
      </c>
      <c r="J50" s="45" t="str">
        <f aca="false">IF(OR($B50="",$F50=""),"",IF(AND($F50&gt;=J$6,$F50&lt;EDATE(J$6,1)),"▼",""))</f>
        <v/>
      </c>
      <c r="K50" s="45" t="str">
        <f aca="false">IF(OR($B50="",$F50=""),"",IF(AND($F50&gt;=K$6,$F50&lt;EDATE(K$6,1)),"▼",""))</f>
        <v/>
      </c>
      <c r="L50" s="45" t="str">
        <f aca="false">IF(OR($B50="",$F50=""),"",IF(AND($F50&gt;=L$6,$F50&lt;EDATE(L$6,1)),"▼",""))</f>
        <v/>
      </c>
      <c r="M50" s="45" t="str">
        <f aca="false">IF(OR($B50="",$F50=""),"",IF(AND($F50&gt;=M$6,$F50&lt;EDATE(M$6,1)),"▼",""))</f>
        <v/>
      </c>
      <c r="N50" s="45" t="str">
        <f aca="false">IF(OR($B50="",$F50=""),"",IF(AND($F50&gt;=N$6,$F50&lt;EDATE(N$6,1)),"▼",""))</f>
        <v/>
      </c>
      <c r="O50" s="45" t="str">
        <f aca="false">IF(OR($B50="",$F50=""),"",IF(AND($F50&gt;=O$6,$F50&lt;EDATE(O$6,1)),"▼",""))</f>
        <v/>
      </c>
      <c r="P50" s="45" t="str">
        <f aca="false">IF(OR($B50="",$F50=""),"",IF(AND($F50&gt;=P$6,$F50&lt;EDATE(P$6,1)),"▼",""))</f>
        <v/>
      </c>
      <c r="Q50" s="45" t="str">
        <f aca="false">IF(OR($B50="",$F50=""),"",IF(AND($F50&gt;=Q$6,$F50&lt;EDATE(Q$6,1)),"▼",""))</f>
        <v/>
      </c>
      <c r="R50" s="45" t="str">
        <f aca="false">IF(OR($B50="",$F50=""),"",IF(AND($F50&gt;=R$6,$F50&lt;EDATE(R$6,1)),"▼",""))</f>
        <v/>
      </c>
      <c r="S50" s="45" t="str">
        <f aca="false">IF(OR($B50="",$F50=""),"",IF(AND($F50&gt;=S$6,$F50&lt;EDATE(S$6,1)),"▼",""))</f>
        <v/>
      </c>
    </row>
    <row r="51" customFormat="false" ht="18.75" hidden="false" customHeight="true" outlineLevel="0" collapsed="false">
      <c r="A51" s="28" t="str">
        <f aca="false">IF($B51="","","Cursos IA")</f>
        <v/>
      </c>
      <c r="B51" s="42" t="str">
        <f aca="false">IF('Cursos IA'!B12="","",'Cursos IA'!B12)</f>
        <v/>
      </c>
      <c r="C51" s="43" t="str">
        <f aca="false">IF($B51="","",IF('Cursos IA'!O12="","",'Cursos IA'!O12))</f>
        <v/>
      </c>
      <c r="D51" s="44" t="str">
        <f aca="false">IF($B51="","",IF('Cursos IA'!G12="","",'Cursos IA'!G12))</f>
        <v/>
      </c>
      <c r="E51" s="44" t="str">
        <f aca="false">IF($B51="","",IF('Cursos IA'!H12&lt;&gt;"",'Cursos IA'!H12,IF('Cursos IA'!I12&lt;&gt;"",'Cursos IA'!I12,"")))</f>
        <v/>
      </c>
      <c r="F51" s="44" t="str">
        <f aca="false">IF($B51="","",IF('Cursos IA'!I12="","",'Cursos IA'!I12))</f>
        <v/>
      </c>
      <c r="G51" s="30" t="str">
        <f aca="false">IF($B51="","",'Cursos IA'!N12)</f>
        <v/>
      </c>
      <c r="H51" s="45" t="str">
        <f aca="false">IF(OR($B51="",$F51=""),"",IF(AND($F51&gt;=H$6,$F51&lt;EDATE(H$6,1)),"▼",""))</f>
        <v/>
      </c>
      <c r="I51" s="45" t="str">
        <f aca="false">IF(OR($B51="",$F51=""),"",IF(AND($F51&gt;=I$6,$F51&lt;EDATE(I$6,1)),"▼",""))</f>
        <v/>
      </c>
      <c r="J51" s="45" t="str">
        <f aca="false">IF(OR($B51="",$F51=""),"",IF(AND($F51&gt;=J$6,$F51&lt;EDATE(J$6,1)),"▼",""))</f>
        <v/>
      </c>
      <c r="K51" s="45" t="str">
        <f aca="false">IF(OR($B51="",$F51=""),"",IF(AND($F51&gt;=K$6,$F51&lt;EDATE(K$6,1)),"▼",""))</f>
        <v/>
      </c>
      <c r="L51" s="45" t="str">
        <f aca="false">IF(OR($B51="",$F51=""),"",IF(AND($F51&gt;=L$6,$F51&lt;EDATE(L$6,1)),"▼",""))</f>
        <v/>
      </c>
      <c r="M51" s="45" t="str">
        <f aca="false">IF(OR($B51="",$F51=""),"",IF(AND($F51&gt;=M$6,$F51&lt;EDATE(M$6,1)),"▼",""))</f>
        <v/>
      </c>
      <c r="N51" s="45" t="str">
        <f aca="false">IF(OR($B51="",$F51=""),"",IF(AND($F51&gt;=N$6,$F51&lt;EDATE(N$6,1)),"▼",""))</f>
        <v/>
      </c>
      <c r="O51" s="45" t="str">
        <f aca="false">IF(OR($B51="",$F51=""),"",IF(AND($F51&gt;=O$6,$F51&lt;EDATE(O$6,1)),"▼",""))</f>
        <v/>
      </c>
      <c r="P51" s="45" t="str">
        <f aca="false">IF(OR($B51="",$F51=""),"",IF(AND($F51&gt;=P$6,$F51&lt;EDATE(P$6,1)),"▼",""))</f>
        <v/>
      </c>
      <c r="Q51" s="45" t="str">
        <f aca="false">IF(OR($B51="",$F51=""),"",IF(AND($F51&gt;=Q$6,$F51&lt;EDATE(Q$6,1)),"▼",""))</f>
        <v/>
      </c>
      <c r="R51" s="45" t="str">
        <f aca="false">IF(OR($B51="",$F51=""),"",IF(AND($F51&gt;=R$6,$F51&lt;EDATE(R$6,1)),"▼",""))</f>
        <v/>
      </c>
      <c r="S51" s="45" t="str">
        <f aca="false">IF(OR($B51="",$F51=""),"",IF(AND($F51&gt;=S$6,$F51&lt;EDATE(S$6,1)),"▼",""))</f>
        <v/>
      </c>
    </row>
    <row r="52" customFormat="false" ht="18.75" hidden="false" customHeight="true" outlineLevel="0" collapsed="false">
      <c r="A52" s="28" t="str">
        <f aca="false">IF($B52="","","Cursos IA")</f>
        <v/>
      </c>
      <c r="B52" s="42" t="str">
        <f aca="false">IF('Cursos IA'!B13="","",'Cursos IA'!B13)</f>
        <v/>
      </c>
      <c r="C52" s="43" t="str">
        <f aca="false">IF($B52="","",IF('Cursos IA'!O13="","",'Cursos IA'!O13))</f>
        <v/>
      </c>
      <c r="D52" s="44" t="str">
        <f aca="false">IF($B52="","",IF('Cursos IA'!G13="","",'Cursos IA'!G13))</f>
        <v/>
      </c>
      <c r="E52" s="44" t="str">
        <f aca="false">IF($B52="","",IF('Cursos IA'!H13&lt;&gt;"",'Cursos IA'!H13,IF('Cursos IA'!I13&lt;&gt;"",'Cursos IA'!I13,"")))</f>
        <v/>
      </c>
      <c r="F52" s="44" t="str">
        <f aca="false">IF($B52="","",IF('Cursos IA'!I13="","",'Cursos IA'!I13))</f>
        <v/>
      </c>
      <c r="G52" s="30" t="str">
        <f aca="false">IF($B52="","",'Cursos IA'!N13)</f>
        <v/>
      </c>
      <c r="H52" s="45" t="str">
        <f aca="false">IF(OR($B52="",$F52=""),"",IF(AND($F52&gt;=H$6,$F52&lt;EDATE(H$6,1)),"▼",""))</f>
        <v/>
      </c>
      <c r="I52" s="45" t="str">
        <f aca="false">IF(OR($B52="",$F52=""),"",IF(AND($F52&gt;=I$6,$F52&lt;EDATE(I$6,1)),"▼",""))</f>
        <v/>
      </c>
      <c r="J52" s="45" t="str">
        <f aca="false">IF(OR($B52="",$F52=""),"",IF(AND($F52&gt;=J$6,$F52&lt;EDATE(J$6,1)),"▼",""))</f>
        <v/>
      </c>
      <c r="K52" s="45" t="str">
        <f aca="false">IF(OR($B52="",$F52=""),"",IF(AND($F52&gt;=K$6,$F52&lt;EDATE(K$6,1)),"▼",""))</f>
        <v/>
      </c>
      <c r="L52" s="45" t="str">
        <f aca="false">IF(OR($B52="",$F52=""),"",IF(AND($F52&gt;=L$6,$F52&lt;EDATE(L$6,1)),"▼",""))</f>
        <v/>
      </c>
      <c r="M52" s="45" t="str">
        <f aca="false">IF(OR($B52="",$F52=""),"",IF(AND($F52&gt;=M$6,$F52&lt;EDATE(M$6,1)),"▼",""))</f>
        <v/>
      </c>
      <c r="N52" s="45" t="str">
        <f aca="false">IF(OR($B52="",$F52=""),"",IF(AND($F52&gt;=N$6,$F52&lt;EDATE(N$6,1)),"▼",""))</f>
        <v/>
      </c>
      <c r="O52" s="45" t="str">
        <f aca="false">IF(OR($B52="",$F52=""),"",IF(AND($F52&gt;=O$6,$F52&lt;EDATE(O$6,1)),"▼",""))</f>
        <v/>
      </c>
      <c r="P52" s="45" t="str">
        <f aca="false">IF(OR($B52="",$F52=""),"",IF(AND($F52&gt;=P$6,$F52&lt;EDATE(P$6,1)),"▼",""))</f>
        <v/>
      </c>
      <c r="Q52" s="45" t="str">
        <f aca="false">IF(OR($B52="",$F52=""),"",IF(AND($F52&gt;=Q$6,$F52&lt;EDATE(Q$6,1)),"▼",""))</f>
        <v/>
      </c>
      <c r="R52" s="45" t="str">
        <f aca="false">IF(OR($B52="",$F52=""),"",IF(AND($F52&gt;=R$6,$F52&lt;EDATE(R$6,1)),"▼",""))</f>
        <v/>
      </c>
      <c r="S52" s="45" t="str">
        <f aca="false">IF(OR($B52="",$F52=""),"",IF(AND($F52&gt;=S$6,$F52&lt;EDATE(S$6,1)),"▼",""))</f>
        <v/>
      </c>
    </row>
    <row r="53" customFormat="false" ht="18.75" hidden="false" customHeight="true" outlineLevel="0" collapsed="false">
      <c r="A53" s="28" t="str">
        <f aca="false">IF($B53="","","Cursos IA")</f>
        <v/>
      </c>
      <c r="B53" s="42" t="str">
        <f aca="false">IF('Cursos IA'!B14="","",'Cursos IA'!B14)</f>
        <v/>
      </c>
      <c r="C53" s="43" t="str">
        <f aca="false">IF($B53="","",IF('Cursos IA'!O14="","",'Cursos IA'!O14))</f>
        <v/>
      </c>
      <c r="D53" s="44" t="str">
        <f aca="false">IF($B53="","",IF('Cursos IA'!G14="","",'Cursos IA'!G14))</f>
        <v/>
      </c>
      <c r="E53" s="44" t="str">
        <f aca="false">IF($B53="","",IF('Cursos IA'!H14&lt;&gt;"",'Cursos IA'!H14,IF('Cursos IA'!I14&lt;&gt;"",'Cursos IA'!I14,"")))</f>
        <v/>
      </c>
      <c r="F53" s="44" t="str">
        <f aca="false">IF($B53="","",IF('Cursos IA'!I14="","",'Cursos IA'!I14))</f>
        <v/>
      </c>
      <c r="G53" s="30" t="str">
        <f aca="false">IF($B53="","",'Cursos IA'!N14)</f>
        <v/>
      </c>
      <c r="H53" s="45" t="str">
        <f aca="false">IF(OR($B53="",$F53=""),"",IF(AND($F53&gt;=H$6,$F53&lt;EDATE(H$6,1)),"▼",""))</f>
        <v/>
      </c>
      <c r="I53" s="45" t="str">
        <f aca="false">IF(OR($B53="",$F53=""),"",IF(AND($F53&gt;=I$6,$F53&lt;EDATE(I$6,1)),"▼",""))</f>
        <v/>
      </c>
      <c r="J53" s="45" t="str">
        <f aca="false">IF(OR($B53="",$F53=""),"",IF(AND($F53&gt;=J$6,$F53&lt;EDATE(J$6,1)),"▼",""))</f>
        <v/>
      </c>
      <c r="K53" s="45" t="str">
        <f aca="false">IF(OR($B53="",$F53=""),"",IF(AND($F53&gt;=K$6,$F53&lt;EDATE(K$6,1)),"▼",""))</f>
        <v/>
      </c>
      <c r="L53" s="45" t="str">
        <f aca="false">IF(OR($B53="",$F53=""),"",IF(AND($F53&gt;=L$6,$F53&lt;EDATE(L$6,1)),"▼",""))</f>
        <v/>
      </c>
      <c r="M53" s="45" t="str">
        <f aca="false">IF(OR($B53="",$F53=""),"",IF(AND($F53&gt;=M$6,$F53&lt;EDATE(M$6,1)),"▼",""))</f>
        <v/>
      </c>
      <c r="N53" s="45" t="str">
        <f aca="false">IF(OR($B53="",$F53=""),"",IF(AND($F53&gt;=N$6,$F53&lt;EDATE(N$6,1)),"▼",""))</f>
        <v/>
      </c>
      <c r="O53" s="45" t="str">
        <f aca="false">IF(OR($B53="",$F53=""),"",IF(AND($F53&gt;=O$6,$F53&lt;EDATE(O$6,1)),"▼",""))</f>
        <v/>
      </c>
      <c r="P53" s="45" t="str">
        <f aca="false">IF(OR($B53="",$F53=""),"",IF(AND($F53&gt;=P$6,$F53&lt;EDATE(P$6,1)),"▼",""))</f>
        <v/>
      </c>
      <c r="Q53" s="45" t="str">
        <f aca="false">IF(OR($B53="",$F53=""),"",IF(AND($F53&gt;=Q$6,$F53&lt;EDATE(Q$6,1)),"▼",""))</f>
        <v/>
      </c>
      <c r="R53" s="45" t="str">
        <f aca="false">IF(OR($B53="",$F53=""),"",IF(AND($F53&gt;=R$6,$F53&lt;EDATE(R$6,1)),"▼",""))</f>
        <v/>
      </c>
      <c r="S53" s="45" t="str">
        <f aca="false">IF(OR($B53="",$F53=""),"",IF(AND($F53&gt;=S$6,$F53&lt;EDATE(S$6,1)),"▼",""))</f>
        <v/>
      </c>
    </row>
    <row r="54" customFormat="false" ht="18.75" hidden="false" customHeight="true" outlineLevel="0" collapsed="false">
      <c r="A54" s="28" t="str">
        <f aca="false">IF($B54="","","Cursos IA")</f>
        <v/>
      </c>
      <c r="B54" s="42" t="str">
        <f aca="false">IF('Cursos IA'!B15="","",'Cursos IA'!B15)</f>
        <v/>
      </c>
      <c r="C54" s="43" t="str">
        <f aca="false">IF($B54="","",IF('Cursos IA'!O15="","",'Cursos IA'!O15))</f>
        <v/>
      </c>
      <c r="D54" s="44" t="str">
        <f aca="false">IF($B54="","",IF('Cursos IA'!G15="","",'Cursos IA'!G15))</f>
        <v/>
      </c>
      <c r="E54" s="44" t="str">
        <f aca="false">IF($B54="","",IF('Cursos IA'!H15&lt;&gt;"",'Cursos IA'!H15,IF('Cursos IA'!I15&lt;&gt;"",'Cursos IA'!I15,"")))</f>
        <v/>
      </c>
      <c r="F54" s="44" t="str">
        <f aca="false">IF($B54="","",IF('Cursos IA'!I15="","",'Cursos IA'!I15))</f>
        <v/>
      </c>
      <c r="G54" s="30" t="str">
        <f aca="false">IF($B54="","",'Cursos IA'!N15)</f>
        <v/>
      </c>
      <c r="H54" s="45" t="str">
        <f aca="false">IF(OR($B54="",$F54=""),"",IF(AND($F54&gt;=H$6,$F54&lt;EDATE(H$6,1)),"▼",""))</f>
        <v/>
      </c>
      <c r="I54" s="45" t="str">
        <f aca="false">IF(OR($B54="",$F54=""),"",IF(AND($F54&gt;=I$6,$F54&lt;EDATE(I$6,1)),"▼",""))</f>
        <v/>
      </c>
      <c r="J54" s="45" t="str">
        <f aca="false">IF(OR($B54="",$F54=""),"",IF(AND($F54&gt;=J$6,$F54&lt;EDATE(J$6,1)),"▼",""))</f>
        <v/>
      </c>
      <c r="K54" s="45" t="str">
        <f aca="false">IF(OR($B54="",$F54=""),"",IF(AND($F54&gt;=K$6,$F54&lt;EDATE(K$6,1)),"▼",""))</f>
        <v/>
      </c>
      <c r="L54" s="45" t="str">
        <f aca="false">IF(OR($B54="",$F54=""),"",IF(AND($F54&gt;=L$6,$F54&lt;EDATE(L$6,1)),"▼",""))</f>
        <v/>
      </c>
      <c r="M54" s="45" t="str">
        <f aca="false">IF(OR($B54="",$F54=""),"",IF(AND($F54&gt;=M$6,$F54&lt;EDATE(M$6,1)),"▼",""))</f>
        <v/>
      </c>
      <c r="N54" s="45" t="str">
        <f aca="false">IF(OR($B54="",$F54=""),"",IF(AND($F54&gt;=N$6,$F54&lt;EDATE(N$6,1)),"▼",""))</f>
        <v/>
      </c>
      <c r="O54" s="45" t="str">
        <f aca="false">IF(OR($B54="",$F54=""),"",IF(AND($F54&gt;=O$6,$F54&lt;EDATE(O$6,1)),"▼",""))</f>
        <v/>
      </c>
      <c r="P54" s="45" t="str">
        <f aca="false">IF(OR($B54="",$F54=""),"",IF(AND($F54&gt;=P$6,$F54&lt;EDATE(P$6,1)),"▼",""))</f>
        <v/>
      </c>
      <c r="Q54" s="45" t="str">
        <f aca="false">IF(OR($B54="",$F54=""),"",IF(AND($F54&gt;=Q$6,$F54&lt;EDATE(Q$6,1)),"▼",""))</f>
        <v/>
      </c>
      <c r="R54" s="45" t="str">
        <f aca="false">IF(OR($B54="",$F54=""),"",IF(AND($F54&gt;=R$6,$F54&lt;EDATE(R$6,1)),"▼",""))</f>
        <v/>
      </c>
      <c r="S54" s="45" t="str">
        <f aca="false">IF(OR($B54="",$F54=""),"",IF(AND($F54&gt;=S$6,$F54&lt;EDATE(S$6,1)),"▼",""))</f>
        <v/>
      </c>
    </row>
    <row r="55" customFormat="false" ht="18.75" hidden="false" customHeight="true" outlineLevel="0" collapsed="false">
      <c r="A55" s="28" t="str">
        <f aca="false">IF($B55="","","Cursos IA")</f>
        <v/>
      </c>
      <c r="B55" s="42" t="str">
        <f aca="false">IF('Cursos IA'!B16="","",'Cursos IA'!B16)</f>
        <v/>
      </c>
      <c r="C55" s="43" t="str">
        <f aca="false">IF($B55="","",IF('Cursos IA'!O16="","",'Cursos IA'!O16))</f>
        <v/>
      </c>
      <c r="D55" s="44" t="str">
        <f aca="false">IF($B55="","",IF('Cursos IA'!G16="","",'Cursos IA'!G16))</f>
        <v/>
      </c>
      <c r="E55" s="44" t="str">
        <f aca="false">IF($B55="","",IF('Cursos IA'!H16&lt;&gt;"",'Cursos IA'!H16,IF('Cursos IA'!I16&lt;&gt;"",'Cursos IA'!I16,"")))</f>
        <v/>
      </c>
      <c r="F55" s="44" t="str">
        <f aca="false">IF($B55="","",IF('Cursos IA'!I16="","",'Cursos IA'!I16))</f>
        <v/>
      </c>
      <c r="G55" s="30" t="str">
        <f aca="false">IF($B55="","",'Cursos IA'!N16)</f>
        <v/>
      </c>
      <c r="H55" s="45" t="str">
        <f aca="false">IF(OR($B55="",$F55=""),"",IF(AND($F55&gt;=H$6,$F55&lt;EDATE(H$6,1)),"▼",""))</f>
        <v/>
      </c>
      <c r="I55" s="45" t="str">
        <f aca="false">IF(OR($B55="",$F55=""),"",IF(AND($F55&gt;=I$6,$F55&lt;EDATE(I$6,1)),"▼",""))</f>
        <v/>
      </c>
      <c r="J55" s="45" t="str">
        <f aca="false">IF(OR($B55="",$F55=""),"",IF(AND($F55&gt;=J$6,$F55&lt;EDATE(J$6,1)),"▼",""))</f>
        <v/>
      </c>
      <c r="K55" s="45" t="str">
        <f aca="false">IF(OR($B55="",$F55=""),"",IF(AND($F55&gt;=K$6,$F55&lt;EDATE(K$6,1)),"▼",""))</f>
        <v/>
      </c>
      <c r="L55" s="45" t="str">
        <f aca="false">IF(OR($B55="",$F55=""),"",IF(AND($F55&gt;=L$6,$F55&lt;EDATE(L$6,1)),"▼",""))</f>
        <v/>
      </c>
      <c r="M55" s="45" t="str">
        <f aca="false">IF(OR($B55="",$F55=""),"",IF(AND($F55&gt;=M$6,$F55&lt;EDATE(M$6,1)),"▼",""))</f>
        <v/>
      </c>
      <c r="N55" s="45" t="str">
        <f aca="false">IF(OR($B55="",$F55=""),"",IF(AND($F55&gt;=N$6,$F55&lt;EDATE(N$6,1)),"▼",""))</f>
        <v/>
      </c>
      <c r="O55" s="45" t="str">
        <f aca="false">IF(OR($B55="",$F55=""),"",IF(AND($F55&gt;=O$6,$F55&lt;EDATE(O$6,1)),"▼",""))</f>
        <v/>
      </c>
      <c r="P55" s="45" t="str">
        <f aca="false">IF(OR($B55="",$F55=""),"",IF(AND($F55&gt;=P$6,$F55&lt;EDATE(P$6,1)),"▼",""))</f>
        <v/>
      </c>
      <c r="Q55" s="45" t="str">
        <f aca="false">IF(OR($B55="",$F55=""),"",IF(AND($F55&gt;=Q$6,$F55&lt;EDATE(Q$6,1)),"▼",""))</f>
        <v/>
      </c>
      <c r="R55" s="45" t="str">
        <f aca="false">IF(OR($B55="",$F55=""),"",IF(AND($F55&gt;=R$6,$F55&lt;EDATE(R$6,1)),"▼",""))</f>
        <v/>
      </c>
      <c r="S55" s="45" t="str">
        <f aca="false">IF(OR($B55="",$F55=""),"",IF(AND($F55&gt;=S$6,$F55&lt;EDATE(S$6,1)),"▼",""))</f>
        <v/>
      </c>
    </row>
    <row r="56" customFormat="false" ht="18.75" hidden="false" customHeight="true" outlineLevel="0" collapsed="false">
      <c r="A56" s="28" t="str">
        <f aca="false">IF($B56="","","Cursos IA")</f>
        <v/>
      </c>
      <c r="B56" s="42" t="str">
        <f aca="false">IF('Cursos IA'!B17="","",'Cursos IA'!B17)</f>
        <v/>
      </c>
      <c r="C56" s="43" t="str">
        <f aca="false">IF($B56="","",IF('Cursos IA'!O17="","",'Cursos IA'!O17))</f>
        <v/>
      </c>
      <c r="D56" s="44" t="str">
        <f aca="false">IF($B56="","",IF('Cursos IA'!G17="","",'Cursos IA'!G17))</f>
        <v/>
      </c>
      <c r="E56" s="44" t="str">
        <f aca="false">IF($B56="","",IF('Cursos IA'!H17&lt;&gt;"",'Cursos IA'!H17,IF('Cursos IA'!I17&lt;&gt;"",'Cursos IA'!I17,"")))</f>
        <v/>
      </c>
      <c r="F56" s="44" t="str">
        <f aca="false">IF($B56="","",IF('Cursos IA'!I17="","",'Cursos IA'!I17))</f>
        <v/>
      </c>
      <c r="G56" s="30" t="str">
        <f aca="false">IF($B56="","",'Cursos IA'!N17)</f>
        <v/>
      </c>
      <c r="H56" s="45" t="str">
        <f aca="false">IF(OR($B56="",$F56=""),"",IF(AND($F56&gt;=H$6,$F56&lt;EDATE(H$6,1)),"▼",""))</f>
        <v/>
      </c>
      <c r="I56" s="45" t="str">
        <f aca="false">IF(OR($B56="",$F56=""),"",IF(AND($F56&gt;=I$6,$F56&lt;EDATE(I$6,1)),"▼",""))</f>
        <v/>
      </c>
      <c r="J56" s="45" t="str">
        <f aca="false">IF(OR($B56="",$F56=""),"",IF(AND($F56&gt;=J$6,$F56&lt;EDATE(J$6,1)),"▼",""))</f>
        <v/>
      </c>
      <c r="K56" s="45" t="str">
        <f aca="false">IF(OR($B56="",$F56=""),"",IF(AND($F56&gt;=K$6,$F56&lt;EDATE(K$6,1)),"▼",""))</f>
        <v/>
      </c>
      <c r="L56" s="45" t="str">
        <f aca="false">IF(OR($B56="",$F56=""),"",IF(AND($F56&gt;=L$6,$F56&lt;EDATE(L$6,1)),"▼",""))</f>
        <v/>
      </c>
      <c r="M56" s="45" t="str">
        <f aca="false">IF(OR($B56="",$F56=""),"",IF(AND($F56&gt;=M$6,$F56&lt;EDATE(M$6,1)),"▼",""))</f>
        <v/>
      </c>
      <c r="N56" s="45" t="str">
        <f aca="false">IF(OR($B56="",$F56=""),"",IF(AND($F56&gt;=N$6,$F56&lt;EDATE(N$6,1)),"▼",""))</f>
        <v/>
      </c>
      <c r="O56" s="45" t="str">
        <f aca="false">IF(OR($B56="",$F56=""),"",IF(AND($F56&gt;=O$6,$F56&lt;EDATE(O$6,1)),"▼",""))</f>
        <v/>
      </c>
      <c r="P56" s="45" t="str">
        <f aca="false">IF(OR($B56="",$F56=""),"",IF(AND($F56&gt;=P$6,$F56&lt;EDATE(P$6,1)),"▼",""))</f>
        <v/>
      </c>
      <c r="Q56" s="45" t="str">
        <f aca="false">IF(OR($B56="",$F56=""),"",IF(AND($F56&gt;=Q$6,$F56&lt;EDATE(Q$6,1)),"▼",""))</f>
        <v/>
      </c>
      <c r="R56" s="45" t="str">
        <f aca="false">IF(OR($B56="",$F56=""),"",IF(AND($F56&gt;=R$6,$F56&lt;EDATE(R$6,1)),"▼",""))</f>
        <v/>
      </c>
      <c r="S56" s="45" t="str">
        <f aca="false">IF(OR($B56="",$F56=""),"",IF(AND($F56&gt;=S$6,$F56&lt;EDATE(S$6,1)),"▼",""))</f>
        <v/>
      </c>
    </row>
    <row r="57" customFormat="false" ht="18.75" hidden="false" customHeight="true" outlineLevel="0" collapsed="false">
      <c r="A57" s="28" t="str">
        <f aca="false">IF($B57="","","Cursos IA")</f>
        <v/>
      </c>
      <c r="B57" s="42" t="str">
        <f aca="false">IF('Cursos IA'!B18="","",'Cursos IA'!B18)</f>
        <v/>
      </c>
      <c r="C57" s="43" t="str">
        <f aca="false">IF($B57="","",IF('Cursos IA'!O18="","",'Cursos IA'!O18))</f>
        <v/>
      </c>
      <c r="D57" s="44" t="str">
        <f aca="false">IF($B57="","",IF('Cursos IA'!G18="","",'Cursos IA'!G18))</f>
        <v/>
      </c>
      <c r="E57" s="44" t="str">
        <f aca="false">IF($B57="","",IF('Cursos IA'!H18&lt;&gt;"",'Cursos IA'!H18,IF('Cursos IA'!I18&lt;&gt;"",'Cursos IA'!I18,"")))</f>
        <v/>
      </c>
      <c r="F57" s="44" t="str">
        <f aca="false">IF($B57="","",IF('Cursos IA'!I18="","",'Cursos IA'!I18))</f>
        <v/>
      </c>
      <c r="G57" s="30" t="str">
        <f aca="false">IF($B57="","",'Cursos IA'!N18)</f>
        <v/>
      </c>
      <c r="H57" s="45" t="str">
        <f aca="false">IF(OR($B57="",$F57=""),"",IF(AND($F57&gt;=H$6,$F57&lt;EDATE(H$6,1)),"▼",""))</f>
        <v/>
      </c>
      <c r="I57" s="45" t="str">
        <f aca="false">IF(OR($B57="",$F57=""),"",IF(AND($F57&gt;=I$6,$F57&lt;EDATE(I$6,1)),"▼",""))</f>
        <v/>
      </c>
      <c r="J57" s="45" t="str">
        <f aca="false">IF(OR($B57="",$F57=""),"",IF(AND($F57&gt;=J$6,$F57&lt;EDATE(J$6,1)),"▼",""))</f>
        <v/>
      </c>
      <c r="K57" s="45" t="str">
        <f aca="false">IF(OR($B57="",$F57=""),"",IF(AND($F57&gt;=K$6,$F57&lt;EDATE(K$6,1)),"▼",""))</f>
        <v/>
      </c>
      <c r="L57" s="45" t="str">
        <f aca="false">IF(OR($B57="",$F57=""),"",IF(AND($F57&gt;=L$6,$F57&lt;EDATE(L$6,1)),"▼",""))</f>
        <v/>
      </c>
      <c r="M57" s="45" t="str">
        <f aca="false">IF(OR($B57="",$F57=""),"",IF(AND($F57&gt;=M$6,$F57&lt;EDATE(M$6,1)),"▼",""))</f>
        <v/>
      </c>
      <c r="N57" s="45" t="str">
        <f aca="false">IF(OR($B57="",$F57=""),"",IF(AND($F57&gt;=N$6,$F57&lt;EDATE(N$6,1)),"▼",""))</f>
        <v/>
      </c>
      <c r="O57" s="45" t="str">
        <f aca="false">IF(OR($B57="",$F57=""),"",IF(AND($F57&gt;=O$6,$F57&lt;EDATE(O$6,1)),"▼",""))</f>
        <v/>
      </c>
      <c r="P57" s="45" t="str">
        <f aca="false">IF(OR($B57="",$F57=""),"",IF(AND($F57&gt;=P$6,$F57&lt;EDATE(P$6,1)),"▼",""))</f>
        <v/>
      </c>
      <c r="Q57" s="45" t="str">
        <f aca="false">IF(OR($B57="",$F57=""),"",IF(AND($F57&gt;=Q$6,$F57&lt;EDATE(Q$6,1)),"▼",""))</f>
        <v/>
      </c>
      <c r="R57" s="45" t="str">
        <f aca="false">IF(OR($B57="",$F57=""),"",IF(AND($F57&gt;=R$6,$F57&lt;EDATE(R$6,1)),"▼",""))</f>
        <v/>
      </c>
      <c r="S57" s="45" t="str">
        <f aca="false">IF(OR($B57="",$F57=""),"",IF(AND($F57&gt;=S$6,$F57&lt;EDATE(S$6,1)),"▼",""))</f>
        <v/>
      </c>
    </row>
    <row r="58" customFormat="false" ht="18.75" hidden="false" customHeight="true" outlineLevel="0" collapsed="false">
      <c r="A58" s="28" t="str">
        <f aca="false">IF($B58="","","Cursos IA")</f>
        <v/>
      </c>
      <c r="B58" s="42" t="str">
        <f aca="false">IF('Cursos IA'!B19="","",'Cursos IA'!B19)</f>
        <v/>
      </c>
      <c r="C58" s="43" t="str">
        <f aca="false">IF($B58="","",IF('Cursos IA'!O19="","",'Cursos IA'!O19))</f>
        <v/>
      </c>
      <c r="D58" s="44" t="str">
        <f aca="false">IF($B58="","",IF('Cursos IA'!G19="","",'Cursos IA'!G19))</f>
        <v/>
      </c>
      <c r="E58" s="44" t="str">
        <f aca="false">IF($B58="","",IF('Cursos IA'!H19&lt;&gt;"",'Cursos IA'!H19,IF('Cursos IA'!I19&lt;&gt;"",'Cursos IA'!I19,"")))</f>
        <v/>
      </c>
      <c r="F58" s="44" t="str">
        <f aca="false">IF($B58="","",IF('Cursos IA'!I19="","",'Cursos IA'!I19))</f>
        <v/>
      </c>
      <c r="G58" s="30" t="str">
        <f aca="false">IF($B58="","",'Cursos IA'!N19)</f>
        <v/>
      </c>
      <c r="H58" s="45" t="str">
        <f aca="false">IF(OR($B58="",$F58=""),"",IF(AND($F58&gt;=H$6,$F58&lt;EDATE(H$6,1)),"▼",""))</f>
        <v/>
      </c>
      <c r="I58" s="45" t="str">
        <f aca="false">IF(OR($B58="",$F58=""),"",IF(AND($F58&gt;=I$6,$F58&lt;EDATE(I$6,1)),"▼",""))</f>
        <v/>
      </c>
      <c r="J58" s="45" t="str">
        <f aca="false">IF(OR($B58="",$F58=""),"",IF(AND($F58&gt;=J$6,$F58&lt;EDATE(J$6,1)),"▼",""))</f>
        <v/>
      </c>
      <c r="K58" s="45" t="str">
        <f aca="false">IF(OR($B58="",$F58=""),"",IF(AND($F58&gt;=K$6,$F58&lt;EDATE(K$6,1)),"▼",""))</f>
        <v/>
      </c>
      <c r="L58" s="45" t="str">
        <f aca="false">IF(OR($B58="",$F58=""),"",IF(AND($F58&gt;=L$6,$F58&lt;EDATE(L$6,1)),"▼",""))</f>
        <v/>
      </c>
      <c r="M58" s="45" t="str">
        <f aca="false">IF(OR($B58="",$F58=""),"",IF(AND($F58&gt;=M$6,$F58&lt;EDATE(M$6,1)),"▼",""))</f>
        <v/>
      </c>
      <c r="N58" s="45" t="str">
        <f aca="false">IF(OR($B58="",$F58=""),"",IF(AND($F58&gt;=N$6,$F58&lt;EDATE(N$6,1)),"▼",""))</f>
        <v/>
      </c>
      <c r="O58" s="45" t="str">
        <f aca="false">IF(OR($B58="",$F58=""),"",IF(AND($F58&gt;=O$6,$F58&lt;EDATE(O$6,1)),"▼",""))</f>
        <v/>
      </c>
      <c r="P58" s="45" t="str">
        <f aca="false">IF(OR($B58="",$F58=""),"",IF(AND($F58&gt;=P$6,$F58&lt;EDATE(P$6,1)),"▼",""))</f>
        <v/>
      </c>
      <c r="Q58" s="45" t="str">
        <f aca="false">IF(OR($B58="",$F58=""),"",IF(AND($F58&gt;=Q$6,$F58&lt;EDATE(Q$6,1)),"▼",""))</f>
        <v/>
      </c>
      <c r="R58" s="45" t="str">
        <f aca="false">IF(OR($B58="",$F58=""),"",IF(AND($F58&gt;=R$6,$F58&lt;EDATE(R$6,1)),"▼",""))</f>
        <v/>
      </c>
      <c r="S58" s="45" t="str">
        <f aca="false">IF(OR($B58="",$F58=""),"",IF(AND($F58&gt;=S$6,$F58&lt;EDATE(S$6,1)),"▼",""))</f>
        <v/>
      </c>
    </row>
    <row r="59" customFormat="false" ht="19.5" hidden="false" customHeight="true" outlineLevel="0" collapsed="false">
      <c r="A59" s="46" t="s">
        <v>85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</row>
    <row r="60" customFormat="false" ht="18.75" hidden="false" customHeight="true" outlineLevel="0" collapsed="false">
      <c r="A60" s="28" t="str">
        <f aca="false">IF($B60="","","Renda Extra")</f>
        <v>Renda Extra</v>
      </c>
      <c r="B60" s="42" t="str">
        <f aca="false">IF('Renda Extra'!B8="","",'Renda Extra'!B8)</f>
        <v>Marketing de Afiliados do Zero (exemplo)</v>
      </c>
      <c r="C60" s="43" t="str">
        <f aca="false">IF($B60="","",IF('Renda Extra'!O8="","",'Renda Extra'!O8))</f>
        <v>Em andamento</v>
      </c>
      <c r="D60" s="44" t="n">
        <f aca="false">IF($B60="","",IF('Renda Extra'!G8="","",'Renda Extra'!G8))</f>
        <v>46268</v>
      </c>
      <c r="E60" s="44" t="n">
        <f aca="false">IF($B60="","",IF('Renda Extra'!H8&lt;&gt;"",'Renda Extra'!H8,IF('Renda Extra'!I8&lt;&gt;"",'Renda Extra'!I8,"")))</f>
        <v>46356</v>
      </c>
      <c r="F60" s="44" t="n">
        <f aca="false">IF($B60="","",IF('Renda Extra'!I8="","",'Renda Extra'!I8))</f>
        <v>46631</v>
      </c>
      <c r="G60" s="30" t="n">
        <f aca="false">IF($B60="","",'Renda Extra'!N8)</f>
        <v>0.222222222222222</v>
      </c>
      <c r="H60" s="45" t="str">
        <f aca="false">IF(OR($B60="",$F60=""),"",IF(AND($F60&gt;=H$6,$F60&lt;EDATE(H$6,1)),"▼",""))</f>
        <v/>
      </c>
      <c r="I60" s="45" t="str">
        <f aca="false">IF(OR($B60="",$F60=""),"",IF(AND($F60&gt;=I$6,$F60&lt;EDATE(I$6,1)),"▼",""))</f>
        <v/>
      </c>
      <c r="J60" s="45" t="str">
        <f aca="false">IF(OR($B60="",$F60=""),"",IF(AND($F60&gt;=J$6,$F60&lt;EDATE(J$6,1)),"▼",""))</f>
        <v/>
      </c>
      <c r="K60" s="45" t="str">
        <f aca="false">IF(OR($B60="",$F60=""),"",IF(AND($F60&gt;=K$6,$F60&lt;EDATE(K$6,1)),"▼",""))</f>
        <v/>
      </c>
      <c r="L60" s="45" t="str">
        <f aca="false">IF(OR($B60="",$F60=""),"",IF(AND($F60&gt;=L$6,$F60&lt;EDATE(L$6,1)),"▼",""))</f>
        <v/>
      </c>
      <c r="M60" s="45" t="str">
        <f aca="false">IF(OR($B60="",$F60=""),"",IF(AND($F60&gt;=M$6,$F60&lt;EDATE(M$6,1)),"▼",""))</f>
        <v/>
      </c>
      <c r="N60" s="45" t="str">
        <f aca="false">IF(OR($B60="",$F60=""),"",IF(AND($F60&gt;=N$6,$F60&lt;EDATE(N$6,1)),"▼",""))</f>
        <v/>
      </c>
      <c r="O60" s="45" t="str">
        <f aca="false">IF(OR($B60="",$F60=""),"",IF(AND($F60&gt;=O$6,$F60&lt;EDATE(O$6,1)),"▼",""))</f>
        <v/>
      </c>
      <c r="P60" s="45" t="str">
        <f aca="false">IF(OR($B60="",$F60=""),"",IF(AND($F60&gt;=P$6,$F60&lt;EDATE(P$6,1)),"▼",""))</f>
        <v/>
      </c>
      <c r="Q60" s="45" t="str">
        <f aca="false">IF(OR($B60="",$F60=""),"",IF(AND($F60&gt;=Q$6,$F60&lt;EDATE(Q$6,1)),"▼",""))</f>
        <v/>
      </c>
      <c r="R60" s="45" t="str">
        <f aca="false">IF(OR($B60="",$F60=""),"",IF(AND($F60&gt;=R$6,$F60&lt;EDATE(R$6,1)),"▼",""))</f>
        <v/>
      </c>
      <c r="S60" s="45" t="str">
        <f aca="false">IF(OR($B60="",$F60=""),"",IF(AND($F60&gt;=S$6,$F60&lt;EDATE(S$6,1)),"▼",""))</f>
        <v>▼</v>
      </c>
    </row>
    <row r="61" customFormat="false" ht="18.75" hidden="false" customHeight="true" outlineLevel="0" collapsed="false">
      <c r="A61" s="28" t="str">
        <f aca="false">IF($B61="","","Renda Extra")</f>
        <v/>
      </c>
      <c r="B61" s="42" t="str">
        <f aca="false">IF('Renda Extra'!B9="","",'Renda Extra'!B9)</f>
        <v/>
      </c>
      <c r="C61" s="43" t="str">
        <f aca="false">IF($B61="","",IF('Renda Extra'!O9="","",'Renda Extra'!O9))</f>
        <v/>
      </c>
      <c r="D61" s="44" t="str">
        <f aca="false">IF($B61="","",IF('Renda Extra'!G9="","",'Renda Extra'!G9))</f>
        <v/>
      </c>
      <c r="E61" s="44" t="str">
        <f aca="false">IF($B61="","",IF('Renda Extra'!H9&lt;&gt;"",'Renda Extra'!H9,IF('Renda Extra'!I9&lt;&gt;"",'Renda Extra'!I9,"")))</f>
        <v/>
      </c>
      <c r="F61" s="44" t="str">
        <f aca="false">IF($B61="","",IF('Renda Extra'!I9="","",'Renda Extra'!I9))</f>
        <v/>
      </c>
      <c r="G61" s="30" t="str">
        <f aca="false">IF($B61="","",'Renda Extra'!N9)</f>
        <v/>
      </c>
      <c r="H61" s="45" t="str">
        <f aca="false">IF(OR($B61="",$F61=""),"",IF(AND($F61&gt;=H$6,$F61&lt;EDATE(H$6,1)),"▼",""))</f>
        <v/>
      </c>
      <c r="I61" s="45" t="str">
        <f aca="false">IF(OR($B61="",$F61=""),"",IF(AND($F61&gt;=I$6,$F61&lt;EDATE(I$6,1)),"▼",""))</f>
        <v/>
      </c>
      <c r="J61" s="45" t="str">
        <f aca="false">IF(OR($B61="",$F61=""),"",IF(AND($F61&gt;=J$6,$F61&lt;EDATE(J$6,1)),"▼",""))</f>
        <v/>
      </c>
      <c r="K61" s="45" t="str">
        <f aca="false">IF(OR($B61="",$F61=""),"",IF(AND($F61&gt;=K$6,$F61&lt;EDATE(K$6,1)),"▼",""))</f>
        <v/>
      </c>
      <c r="L61" s="45" t="str">
        <f aca="false">IF(OR($B61="",$F61=""),"",IF(AND($F61&gt;=L$6,$F61&lt;EDATE(L$6,1)),"▼",""))</f>
        <v/>
      </c>
      <c r="M61" s="45" t="str">
        <f aca="false">IF(OR($B61="",$F61=""),"",IF(AND($F61&gt;=M$6,$F61&lt;EDATE(M$6,1)),"▼",""))</f>
        <v/>
      </c>
      <c r="N61" s="45" t="str">
        <f aca="false">IF(OR($B61="",$F61=""),"",IF(AND($F61&gt;=N$6,$F61&lt;EDATE(N$6,1)),"▼",""))</f>
        <v/>
      </c>
      <c r="O61" s="45" t="str">
        <f aca="false">IF(OR($B61="",$F61=""),"",IF(AND($F61&gt;=O$6,$F61&lt;EDATE(O$6,1)),"▼",""))</f>
        <v/>
      </c>
      <c r="P61" s="45" t="str">
        <f aca="false">IF(OR($B61="",$F61=""),"",IF(AND($F61&gt;=P$6,$F61&lt;EDATE(P$6,1)),"▼",""))</f>
        <v/>
      </c>
      <c r="Q61" s="45" t="str">
        <f aca="false">IF(OR($B61="",$F61=""),"",IF(AND($F61&gt;=Q$6,$F61&lt;EDATE(Q$6,1)),"▼",""))</f>
        <v/>
      </c>
      <c r="R61" s="45" t="str">
        <f aca="false">IF(OR($B61="",$F61=""),"",IF(AND($F61&gt;=R$6,$F61&lt;EDATE(R$6,1)),"▼",""))</f>
        <v/>
      </c>
      <c r="S61" s="45" t="str">
        <f aca="false">IF(OR($B61="",$F61=""),"",IF(AND($F61&gt;=S$6,$F61&lt;EDATE(S$6,1)),"▼",""))</f>
        <v/>
      </c>
    </row>
    <row r="62" customFormat="false" ht="18.75" hidden="false" customHeight="true" outlineLevel="0" collapsed="false">
      <c r="A62" s="28" t="str">
        <f aca="false">IF($B62="","","Renda Extra")</f>
        <v/>
      </c>
      <c r="B62" s="42" t="str">
        <f aca="false">IF('Renda Extra'!B10="","",'Renda Extra'!B10)</f>
        <v/>
      </c>
      <c r="C62" s="43" t="str">
        <f aca="false">IF($B62="","",IF('Renda Extra'!O10="","",'Renda Extra'!O10))</f>
        <v/>
      </c>
      <c r="D62" s="44" t="str">
        <f aca="false">IF($B62="","",IF('Renda Extra'!G10="","",'Renda Extra'!G10))</f>
        <v/>
      </c>
      <c r="E62" s="44" t="str">
        <f aca="false">IF($B62="","",IF('Renda Extra'!H10&lt;&gt;"",'Renda Extra'!H10,IF('Renda Extra'!I10&lt;&gt;"",'Renda Extra'!I10,"")))</f>
        <v/>
      </c>
      <c r="F62" s="44" t="str">
        <f aca="false">IF($B62="","",IF('Renda Extra'!I10="","",'Renda Extra'!I10))</f>
        <v/>
      </c>
      <c r="G62" s="30" t="str">
        <f aca="false">IF($B62="","",'Renda Extra'!N10)</f>
        <v/>
      </c>
      <c r="H62" s="45" t="str">
        <f aca="false">IF(OR($B62="",$F62=""),"",IF(AND($F62&gt;=H$6,$F62&lt;EDATE(H$6,1)),"▼",""))</f>
        <v/>
      </c>
      <c r="I62" s="45" t="str">
        <f aca="false">IF(OR($B62="",$F62=""),"",IF(AND($F62&gt;=I$6,$F62&lt;EDATE(I$6,1)),"▼",""))</f>
        <v/>
      </c>
      <c r="J62" s="45" t="str">
        <f aca="false">IF(OR($B62="",$F62=""),"",IF(AND($F62&gt;=J$6,$F62&lt;EDATE(J$6,1)),"▼",""))</f>
        <v/>
      </c>
      <c r="K62" s="45" t="str">
        <f aca="false">IF(OR($B62="",$F62=""),"",IF(AND($F62&gt;=K$6,$F62&lt;EDATE(K$6,1)),"▼",""))</f>
        <v/>
      </c>
      <c r="L62" s="45" t="str">
        <f aca="false">IF(OR($B62="",$F62=""),"",IF(AND($F62&gt;=L$6,$F62&lt;EDATE(L$6,1)),"▼",""))</f>
        <v/>
      </c>
      <c r="M62" s="45" t="str">
        <f aca="false">IF(OR($B62="",$F62=""),"",IF(AND($F62&gt;=M$6,$F62&lt;EDATE(M$6,1)),"▼",""))</f>
        <v/>
      </c>
      <c r="N62" s="45" t="str">
        <f aca="false">IF(OR($B62="",$F62=""),"",IF(AND($F62&gt;=N$6,$F62&lt;EDATE(N$6,1)),"▼",""))</f>
        <v/>
      </c>
      <c r="O62" s="45" t="str">
        <f aca="false">IF(OR($B62="",$F62=""),"",IF(AND($F62&gt;=O$6,$F62&lt;EDATE(O$6,1)),"▼",""))</f>
        <v/>
      </c>
      <c r="P62" s="45" t="str">
        <f aca="false">IF(OR($B62="",$F62=""),"",IF(AND($F62&gt;=P$6,$F62&lt;EDATE(P$6,1)),"▼",""))</f>
        <v/>
      </c>
      <c r="Q62" s="45" t="str">
        <f aca="false">IF(OR($B62="",$F62=""),"",IF(AND($F62&gt;=Q$6,$F62&lt;EDATE(Q$6,1)),"▼",""))</f>
        <v/>
      </c>
      <c r="R62" s="45" t="str">
        <f aca="false">IF(OR($B62="",$F62=""),"",IF(AND($F62&gt;=R$6,$F62&lt;EDATE(R$6,1)),"▼",""))</f>
        <v/>
      </c>
      <c r="S62" s="45" t="str">
        <f aca="false">IF(OR($B62="",$F62=""),"",IF(AND($F62&gt;=S$6,$F62&lt;EDATE(S$6,1)),"▼",""))</f>
        <v/>
      </c>
    </row>
    <row r="63" customFormat="false" ht="18.75" hidden="false" customHeight="true" outlineLevel="0" collapsed="false">
      <c r="A63" s="28" t="str">
        <f aca="false">IF($B63="","","Renda Extra")</f>
        <v/>
      </c>
      <c r="B63" s="42" t="str">
        <f aca="false">IF('Renda Extra'!B11="","",'Renda Extra'!B11)</f>
        <v/>
      </c>
      <c r="C63" s="43" t="str">
        <f aca="false">IF($B63="","",IF('Renda Extra'!O11="","",'Renda Extra'!O11))</f>
        <v/>
      </c>
      <c r="D63" s="44" t="str">
        <f aca="false">IF($B63="","",IF('Renda Extra'!G11="","",'Renda Extra'!G11))</f>
        <v/>
      </c>
      <c r="E63" s="44" t="str">
        <f aca="false">IF($B63="","",IF('Renda Extra'!H11&lt;&gt;"",'Renda Extra'!H11,IF('Renda Extra'!I11&lt;&gt;"",'Renda Extra'!I11,"")))</f>
        <v/>
      </c>
      <c r="F63" s="44" t="str">
        <f aca="false">IF($B63="","",IF('Renda Extra'!I11="","",'Renda Extra'!I11))</f>
        <v/>
      </c>
      <c r="G63" s="30" t="str">
        <f aca="false">IF($B63="","",'Renda Extra'!N11)</f>
        <v/>
      </c>
      <c r="H63" s="45" t="str">
        <f aca="false">IF(OR($B63="",$F63=""),"",IF(AND($F63&gt;=H$6,$F63&lt;EDATE(H$6,1)),"▼",""))</f>
        <v/>
      </c>
      <c r="I63" s="45" t="str">
        <f aca="false">IF(OR($B63="",$F63=""),"",IF(AND($F63&gt;=I$6,$F63&lt;EDATE(I$6,1)),"▼",""))</f>
        <v/>
      </c>
      <c r="J63" s="45" t="str">
        <f aca="false">IF(OR($B63="",$F63=""),"",IF(AND($F63&gt;=J$6,$F63&lt;EDATE(J$6,1)),"▼",""))</f>
        <v/>
      </c>
      <c r="K63" s="45" t="str">
        <f aca="false">IF(OR($B63="",$F63=""),"",IF(AND($F63&gt;=K$6,$F63&lt;EDATE(K$6,1)),"▼",""))</f>
        <v/>
      </c>
      <c r="L63" s="45" t="str">
        <f aca="false">IF(OR($B63="",$F63=""),"",IF(AND($F63&gt;=L$6,$F63&lt;EDATE(L$6,1)),"▼",""))</f>
        <v/>
      </c>
      <c r="M63" s="45" t="str">
        <f aca="false">IF(OR($B63="",$F63=""),"",IF(AND($F63&gt;=M$6,$F63&lt;EDATE(M$6,1)),"▼",""))</f>
        <v/>
      </c>
      <c r="N63" s="45" t="str">
        <f aca="false">IF(OR($B63="",$F63=""),"",IF(AND($F63&gt;=N$6,$F63&lt;EDATE(N$6,1)),"▼",""))</f>
        <v/>
      </c>
      <c r="O63" s="45" t="str">
        <f aca="false">IF(OR($B63="",$F63=""),"",IF(AND($F63&gt;=O$6,$F63&lt;EDATE(O$6,1)),"▼",""))</f>
        <v/>
      </c>
      <c r="P63" s="45" t="str">
        <f aca="false">IF(OR($B63="",$F63=""),"",IF(AND($F63&gt;=P$6,$F63&lt;EDATE(P$6,1)),"▼",""))</f>
        <v/>
      </c>
      <c r="Q63" s="45" t="str">
        <f aca="false">IF(OR($B63="",$F63=""),"",IF(AND($F63&gt;=Q$6,$F63&lt;EDATE(Q$6,1)),"▼",""))</f>
        <v/>
      </c>
      <c r="R63" s="45" t="str">
        <f aca="false">IF(OR($B63="",$F63=""),"",IF(AND($F63&gt;=R$6,$F63&lt;EDATE(R$6,1)),"▼",""))</f>
        <v/>
      </c>
      <c r="S63" s="45" t="str">
        <f aca="false">IF(OR($B63="",$F63=""),"",IF(AND($F63&gt;=S$6,$F63&lt;EDATE(S$6,1)),"▼",""))</f>
        <v/>
      </c>
    </row>
    <row r="64" customFormat="false" ht="18.75" hidden="false" customHeight="true" outlineLevel="0" collapsed="false">
      <c r="A64" s="28" t="str">
        <f aca="false">IF($B64="","","Renda Extra")</f>
        <v/>
      </c>
      <c r="B64" s="42" t="str">
        <f aca="false">IF('Renda Extra'!B12="","",'Renda Extra'!B12)</f>
        <v/>
      </c>
      <c r="C64" s="43" t="str">
        <f aca="false">IF($B64="","",IF('Renda Extra'!O12="","",'Renda Extra'!O12))</f>
        <v/>
      </c>
      <c r="D64" s="44" t="str">
        <f aca="false">IF($B64="","",IF('Renda Extra'!G12="","",'Renda Extra'!G12))</f>
        <v/>
      </c>
      <c r="E64" s="44" t="str">
        <f aca="false">IF($B64="","",IF('Renda Extra'!H12&lt;&gt;"",'Renda Extra'!H12,IF('Renda Extra'!I12&lt;&gt;"",'Renda Extra'!I12,"")))</f>
        <v/>
      </c>
      <c r="F64" s="44" t="str">
        <f aca="false">IF($B64="","",IF('Renda Extra'!I12="","",'Renda Extra'!I12))</f>
        <v/>
      </c>
      <c r="G64" s="30" t="str">
        <f aca="false">IF($B64="","",'Renda Extra'!N12)</f>
        <v/>
      </c>
      <c r="H64" s="45" t="str">
        <f aca="false">IF(OR($B64="",$F64=""),"",IF(AND($F64&gt;=H$6,$F64&lt;EDATE(H$6,1)),"▼",""))</f>
        <v/>
      </c>
      <c r="I64" s="45" t="str">
        <f aca="false">IF(OR($B64="",$F64=""),"",IF(AND($F64&gt;=I$6,$F64&lt;EDATE(I$6,1)),"▼",""))</f>
        <v/>
      </c>
      <c r="J64" s="45" t="str">
        <f aca="false">IF(OR($B64="",$F64=""),"",IF(AND($F64&gt;=J$6,$F64&lt;EDATE(J$6,1)),"▼",""))</f>
        <v/>
      </c>
      <c r="K64" s="45" t="str">
        <f aca="false">IF(OR($B64="",$F64=""),"",IF(AND($F64&gt;=K$6,$F64&lt;EDATE(K$6,1)),"▼",""))</f>
        <v/>
      </c>
      <c r="L64" s="45" t="str">
        <f aca="false">IF(OR($B64="",$F64=""),"",IF(AND($F64&gt;=L$6,$F64&lt;EDATE(L$6,1)),"▼",""))</f>
        <v/>
      </c>
      <c r="M64" s="45" t="str">
        <f aca="false">IF(OR($B64="",$F64=""),"",IF(AND($F64&gt;=M$6,$F64&lt;EDATE(M$6,1)),"▼",""))</f>
        <v/>
      </c>
      <c r="N64" s="45" t="str">
        <f aca="false">IF(OR($B64="",$F64=""),"",IF(AND($F64&gt;=N$6,$F64&lt;EDATE(N$6,1)),"▼",""))</f>
        <v/>
      </c>
      <c r="O64" s="45" t="str">
        <f aca="false">IF(OR($B64="",$F64=""),"",IF(AND($F64&gt;=O$6,$F64&lt;EDATE(O$6,1)),"▼",""))</f>
        <v/>
      </c>
      <c r="P64" s="45" t="str">
        <f aca="false">IF(OR($B64="",$F64=""),"",IF(AND($F64&gt;=P$6,$F64&lt;EDATE(P$6,1)),"▼",""))</f>
        <v/>
      </c>
      <c r="Q64" s="45" t="str">
        <f aca="false">IF(OR($B64="",$F64=""),"",IF(AND($F64&gt;=Q$6,$F64&lt;EDATE(Q$6,1)),"▼",""))</f>
        <v/>
      </c>
      <c r="R64" s="45" t="str">
        <f aca="false">IF(OR($B64="",$F64=""),"",IF(AND($F64&gt;=R$6,$F64&lt;EDATE(R$6,1)),"▼",""))</f>
        <v/>
      </c>
      <c r="S64" s="45" t="str">
        <f aca="false">IF(OR($B64="",$F64=""),"",IF(AND($F64&gt;=S$6,$F64&lt;EDATE(S$6,1)),"▼",""))</f>
        <v/>
      </c>
    </row>
    <row r="65" customFormat="false" ht="18.75" hidden="false" customHeight="true" outlineLevel="0" collapsed="false">
      <c r="A65" s="28" t="str">
        <f aca="false">IF($B65="","","Renda Extra")</f>
        <v/>
      </c>
      <c r="B65" s="42" t="str">
        <f aca="false">IF('Renda Extra'!B13="","",'Renda Extra'!B13)</f>
        <v/>
      </c>
      <c r="C65" s="43" t="str">
        <f aca="false">IF($B65="","",IF('Renda Extra'!O13="","",'Renda Extra'!O13))</f>
        <v/>
      </c>
      <c r="D65" s="44" t="str">
        <f aca="false">IF($B65="","",IF('Renda Extra'!G13="","",'Renda Extra'!G13))</f>
        <v/>
      </c>
      <c r="E65" s="44" t="str">
        <f aca="false">IF($B65="","",IF('Renda Extra'!H13&lt;&gt;"",'Renda Extra'!H13,IF('Renda Extra'!I13&lt;&gt;"",'Renda Extra'!I13,"")))</f>
        <v/>
      </c>
      <c r="F65" s="44" t="str">
        <f aca="false">IF($B65="","",IF('Renda Extra'!I13="","",'Renda Extra'!I13))</f>
        <v/>
      </c>
      <c r="G65" s="30" t="str">
        <f aca="false">IF($B65="","",'Renda Extra'!N13)</f>
        <v/>
      </c>
      <c r="H65" s="45" t="str">
        <f aca="false">IF(OR($B65="",$F65=""),"",IF(AND($F65&gt;=H$6,$F65&lt;EDATE(H$6,1)),"▼",""))</f>
        <v/>
      </c>
      <c r="I65" s="45" t="str">
        <f aca="false">IF(OR($B65="",$F65=""),"",IF(AND($F65&gt;=I$6,$F65&lt;EDATE(I$6,1)),"▼",""))</f>
        <v/>
      </c>
      <c r="J65" s="45" t="str">
        <f aca="false">IF(OR($B65="",$F65=""),"",IF(AND($F65&gt;=J$6,$F65&lt;EDATE(J$6,1)),"▼",""))</f>
        <v/>
      </c>
      <c r="K65" s="45" t="str">
        <f aca="false">IF(OR($B65="",$F65=""),"",IF(AND($F65&gt;=K$6,$F65&lt;EDATE(K$6,1)),"▼",""))</f>
        <v/>
      </c>
      <c r="L65" s="45" t="str">
        <f aca="false">IF(OR($B65="",$F65=""),"",IF(AND($F65&gt;=L$6,$F65&lt;EDATE(L$6,1)),"▼",""))</f>
        <v/>
      </c>
      <c r="M65" s="45" t="str">
        <f aca="false">IF(OR($B65="",$F65=""),"",IF(AND($F65&gt;=M$6,$F65&lt;EDATE(M$6,1)),"▼",""))</f>
        <v/>
      </c>
      <c r="N65" s="45" t="str">
        <f aca="false">IF(OR($B65="",$F65=""),"",IF(AND($F65&gt;=N$6,$F65&lt;EDATE(N$6,1)),"▼",""))</f>
        <v/>
      </c>
      <c r="O65" s="45" t="str">
        <f aca="false">IF(OR($B65="",$F65=""),"",IF(AND($F65&gt;=O$6,$F65&lt;EDATE(O$6,1)),"▼",""))</f>
        <v/>
      </c>
      <c r="P65" s="45" t="str">
        <f aca="false">IF(OR($B65="",$F65=""),"",IF(AND($F65&gt;=P$6,$F65&lt;EDATE(P$6,1)),"▼",""))</f>
        <v/>
      </c>
      <c r="Q65" s="45" t="str">
        <f aca="false">IF(OR($B65="",$F65=""),"",IF(AND($F65&gt;=Q$6,$F65&lt;EDATE(Q$6,1)),"▼",""))</f>
        <v/>
      </c>
      <c r="R65" s="45" t="str">
        <f aca="false">IF(OR($B65="",$F65=""),"",IF(AND($F65&gt;=R$6,$F65&lt;EDATE(R$6,1)),"▼",""))</f>
        <v/>
      </c>
      <c r="S65" s="45" t="str">
        <f aca="false">IF(OR($B65="",$F65=""),"",IF(AND($F65&gt;=S$6,$F65&lt;EDATE(S$6,1)),"▼",""))</f>
        <v/>
      </c>
    </row>
    <row r="66" customFormat="false" ht="18.75" hidden="false" customHeight="true" outlineLevel="0" collapsed="false">
      <c r="A66" s="28" t="str">
        <f aca="false">IF($B66="","","Renda Extra")</f>
        <v/>
      </c>
      <c r="B66" s="42" t="str">
        <f aca="false">IF('Renda Extra'!B14="","",'Renda Extra'!B14)</f>
        <v/>
      </c>
      <c r="C66" s="43" t="str">
        <f aca="false">IF($B66="","",IF('Renda Extra'!O14="","",'Renda Extra'!O14))</f>
        <v/>
      </c>
      <c r="D66" s="44" t="str">
        <f aca="false">IF($B66="","",IF('Renda Extra'!G14="","",'Renda Extra'!G14))</f>
        <v/>
      </c>
      <c r="E66" s="44" t="str">
        <f aca="false">IF($B66="","",IF('Renda Extra'!H14&lt;&gt;"",'Renda Extra'!H14,IF('Renda Extra'!I14&lt;&gt;"",'Renda Extra'!I14,"")))</f>
        <v/>
      </c>
      <c r="F66" s="44" t="str">
        <f aca="false">IF($B66="","",IF('Renda Extra'!I14="","",'Renda Extra'!I14))</f>
        <v/>
      </c>
      <c r="G66" s="30" t="str">
        <f aca="false">IF($B66="","",'Renda Extra'!N14)</f>
        <v/>
      </c>
      <c r="H66" s="45" t="str">
        <f aca="false">IF(OR($B66="",$F66=""),"",IF(AND($F66&gt;=H$6,$F66&lt;EDATE(H$6,1)),"▼",""))</f>
        <v/>
      </c>
      <c r="I66" s="45" t="str">
        <f aca="false">IF(OR($B66="",$F66=""),"",IF(AND($F66&gt;=I$6,$F66&lt;EDATE(I$6,1)),"▼",""))</f>
        <v/>
      </c>
      <c r="J66" s="45" t="str">
        <f aca="false">IF(OR($B66="",$F66=""),"",IF(AND($F66&gt;=J$6,$F66&lt;EDATE(J$6,1)),"▼",""))</f>
        <v/>
      </c>
      <c r="K66" s="45" t="str">
        <f aca="false">IF(OR($B66="",$F66=""),"",IF(AND($F66&gt;=K$6,$F66&lt;EDATE(K$6,1)),"▼",""))</f>
        <v/>
      </c>
      <c r="L66" s="45" t="str">
        <f aca="false">IF(OR($B66="",$F66=""),"",IF(AND($F66&gt;=L$6,$F66&lt;EDATE(L$6,1)),"▼",""))</f>
        <v/>
      </c>
      <c r="M66" s="45" t="str">
        <f aca="false">IF(OR($B66="",$F66=""),"",IF(AND($F66&gt;=M$6,$F66&lt;EDATE(M$6,1)),"▼",""))</f>
        <v/>
      </c>
      <c r="N66" s="45" t="str">
        <f aca="false">IF(OR($B66="",$F66=""),"",IF(AND($F66&gt;=N$6,$F66&lt;EDATE(N$6,1)),"▼",""))</f>
        <v/>
      </c>
      <c r="O66" s="45" t="str">
        <f aca="false">IF(OR($B66="",$F66=""),"",IF(AND($F66&gt;=O$6,$F66&lt;EDATE(O$6,1)),"▼",""))</f>
        <v/>
      </c>
      <c r="P66" s="45" t="str">
        <f aca="false">IF(OR($B66="",$F66=""),"",IF(AND($F66&gt;=P$6,$F66&lt;EDATE(P$6,1)),"▼",""))</f>
        <v/>
      </c>
      <c r="Q66" s="45" t="str">
        <f aca="false">IF(OR($B66="",$F66=""),"",IF(AND($F66&gt;=Q$6,$F66&lt;EDATE(Q$6,1)),"▼",""))</f>
        <v/>
      </c>
      <c r="R66" s="45" t="str">
        <f aca="false">IF(OR($B66="",$F66=""),"",IF(AND($F66&gt;=R$6,$F66&lt;EDATE(R$6,1)),"▼",""))</f>
        <v/>
      </c>
      <c r="S66" s="45" t="str">
        <f aca="false">IF(OR($B66="",$F66=""),"",IF(AND($F66&gt;=S$6,$F66&lt;EDATE(S$6,1)),"▼",""))</f>
        <v/>
      </c>
    </row>
    <row r="67" customFormat="false" ht="18.75" hidden="false" customHeight="true" outlineLevel="0" collapsed="false">
      <c r="A67" s="28" t="str">
        <f aca="false">IF($B67="","","Renda Extra")</f>
        <v/>
      </c>
      <c r="B67" s="42" t="str">
        <f aca="false">IF('Renda Extra'!B15="","",'Renda Extra'!B15)</f>
        <v/>
      </c>
      <c r="C67" s="43" t="str">
        <f aca="false">IF($B67="","",IF('Renda Extra'!O15="","",'Renda Extra'!O15))</f>
        <v/>
      </c>
      <c r="D67" s="44" t="str">
        <f aca="false">IF($B67="","",IF('Renda Extra'!G15="","",'Renda Extra'!G15))</f>
        <v/>
      </c>
      <c r="E67" s="44" t="str">
        <f aca="false">IF($B67="","",IF('Renda Extra'!H15&lt;&gt;"",'Renda Extra'!H15,IF('Renda Extra'!I15&lt;&gt;"",'Renda Extra'!I15,"")))</f>
        <v/>
      </c>
      <c r="F67" s="44" t="str">
        <f aca="false">IF($B67="","",IF('Renda Extra'!I15="","",'Renda Extra'!I15))</f>
        <v/>
      </c>
      <c r="G67" s="30" t="str">
        <f aca="false">IF($B67="","",'Renda Extra'!N15)</f>
        <v/>
      </c>
      <c r="H67" s="45" t="str">
        <f aca="false">IF(OR($B67="",$F67=""),"",IF(AND($F67&gt;=H$6,$F67&lt;EDATE(H$6,1)),"▼",""))</f>
        <v/>
      </c>
      <c r="I67" s="45" t="str">
        <f aca="false">IF(OR($B67="",$F67=""),"",IF(AND($F67&gt;=I$6,$F67&lt;EDATE(I$6,1)),"▼",""))</f>
        <v/>
      </c>
      <c r="J67" s="45" t="str">
        <f aca="false">IF(OR($B67="",$F67=""),"",IF(AND($F67&gt;=J$6,$F67&lt;EDATE(J$6,1)),"▼",""))</f>
        <v/>
      </c>
      <c r="K67" s="45" t="str">
        <f aca="false">IF(OR($B67="",$F67=""),"",IF(AND($F67&gt;=K$6,$F67&lt;EDATE(K$6,1)),"▼",""))</f>
        <v/>
      </c>
      <c r="L67" s="45" t="str">
        <f aca="false">IF(OR($B67="",$F67=""),"",IF(AND($F67&gt;=L$6,$F67&lt;EDATE(L$6,1)),"▼",""))</f>
        <v/>
      </c>
      <c r="M67" s="45" t="str">
        <f aca="false">IF(OR($B67="",$F67=""),"",IF(AND($F67&gt;=M$6,$F67&lt;EDATE(M$6,1)),"▼",""))</f>
        <v/>
      </c>
      <c r="N67" s="45" t="str">
        <f aca="false">IF(OR($B67="",$F67=""),"",IF(AND($F67&gt;=N$6,$F67&lt;EDATE(N$6,1)),"▼",""))</f>
        <v/>
      </c>
      <c r="O67" s="45" t="str">
        <f aca="false">IF(OR($B67="",$F67=""),"",IF(AND($F67&gt;=O$6,$F67&lt;EDATE(O$6,1)),"▼",""))</f>
        <v/>
      </c>
      <c r="P67" s="45" t="str">
        <f aca="false">IF(OR($B67="",$F67=""),"",IF(AND($F67&gt;=P$6,$F67&lt;EDATE(P$6,1)),"▼",""))</f>
        <v/>
      </c>
      <c r="Q67" s="45" t="str">
        <f aca="false">IF(OR($B67="",$F67=""),"",IF(AND($F67&gt;=Q$6,$F67&lt;EDATE(Q$6,1)),"▼",""))</f>
        <v/>
      </c>
      <c r="R67" s="45" t="str">
        <f aca="false">IF(OR($B67="",$F67=""),"",IF(AND($F67&gt;=R$6,$F67&lt;EDATE(R$6,1)),"▼",""))</f>
        <v/>
      </c>
      <c r="S67" s="45" t="str">
        <f aca="false">IF(OR($B67="",$F67=""),"",IF(AND($F67&gt;=S$6,$F67&lt;EDATE(S$6,1)),"▼",""))</f>
        <v/>
      </c>
    </row>
    <row r="68" customFormat="false" ht="18.75" hidden="false" customHeight="true" outlineLevel="0" collapsed="false">
      <c r="A68" s="28" t="str">
        <f aca="false">IF($B68="","","Renda Extra")</f>
        <v/>
      </c>
      <c r="B68" s="42" t="str">
        <f aca="false">IF('Renda Extra'!B16="","",'Renda Extra'!B16)</f>
        <v/>
      </c>
      <c r="C68" s="43" t="str">
        <f aca="false">IF($B68="","",IF('Renda Extra'!O16="","",'Renda Extra'!O16))</f>
        <v/>
      </c>
      <c r="D68" s="44" t="str">
        <f aca="false">IF($B68="","",IF('Renda Extra'!G16="","",'Renda Extra'!G16))</f>
        <v/>
      </c>
      <c r="E68" s="44" t="str">
        <f aca="false">IF($B68="","",IF('Renda Extra'!H16&lt;&gt;"",'Renda Extra'!H16,IF('Renda Extra'!I16&lt;&gt;"",'Renda Extra'!I16,"")))</f>
        <v/>
      </c>
      <c r="F68" s="44" t="str">
        <f aca="false">IF($B68="","",IF('Renda Extra'!I16="","",'Renda Extra'!I16))</f>
        <v/>
      </c>
      <c r="G68" s="30" t="str">
        <f aca="false">IF($B68="","",'Renda Extra'!N16)</f>
        <v/>
      </c>
      <c r="H68" s="45" t="str">
        <f aca="false">IF(OR($B68="",$F68=""),"",IF(AND($F68&gt;=H$6,$F68&lt;EDATE(H$6,1)),"▼",""))</f>
        <v/>
      </c>
      <c r="I68" s="45" t="str">
        <f aca="false">IF(OR($B68="",$F68=""),"",IF(AND($F68&gt;=I$6,$F68&lt;EDATE(I$6,1)),"▼",""))</f>
        <v/>
      </c>
      <c r="J68" s="45" t="str">
        <f aca="false">IF(OR($B68="",$F68=""),"",IF(AND($F68&gt;=J$6,$F68&lt;EDATE(J$6,1)),"▼",""))</f>
        <v/>
      </c>
      <c r="K68" s="45" t="str">
        <f aca="false">IF(OR($B68="",$F68=""),"",IF(AND($F68&gt;=K$6,$F68&lt;EDATE(K$6,1)),"▼",""))</f>
        <v/>
      </c>
      <c r="L68" s="45" t="str">
        <f aca="false">IF(OR($B68="",$F68=""),"",IF(AND($F68&gt;=L$6,$F68&lt;EDATE(L$6,1)),"▼",""))</f>
        <v/>
      </c>
      <c r="M68" s="45" t="str">
        <f aca="false">IF(OR($B68="",$F68=""),"",IF(AND($F68&gt;=M$6,$F68&lt;EDATE(M$6,1)),"▼",""))</f>
        <v/>
      </c>
      <c r="N68" s="45" t="str">
        <f aca="false">IF(OR($B68="",$F68=""),"",IF(AND($F68&gt;=N$6,$F68&lt;EDATE(N$6,1)),"▼",""))</f>
        <v/>
      </c>
      <c r="O68" s="45" t="str">
        <f aca="false">IF(OR($B68="",$F68=""),"",IF(AND($F68&gt;=O$6,$F68&lt;EDATE(O$6,1)),"▼",""))</f>
        <v/>
      </c>
      <c r="P68" s="45" t="str">
        <f aca="false">IF(OR($B68="",$F68=""),"",IF(AND($F68&gt;=P$6,$F68&lt;EDATE(P$6,1)),"▼",""))</f>
        <v/>
      </c>
      <c r="Q68" s="45" t="str">
        <f aca="false">IF(OR($B68="",$F68=""),"",IF(AND($F68&gt;=Q$6,$F68&lt;EDATE(Q$6,1)),"▼",""))</f>
        <v/>
      </c>
      <c r="R68" s="45" t="str">
        <f aca="false">IF(OR($B68="",$F68=""),"",IF(AND($F68&gt;=R$6,$F68&lt;EDATE(R$6,1)),"▼",""))</f>
        <v/>
      </c>
      <c r="S68" s="45" t="str">
        <f aca="false">IF(OR($B68="",$F68=""),"",IF(AND($F68&gt;=S$6,$F68&lt;EDATE(S$6,1)),"▼",""))</f>
        <v/>
      </c>
    </row>
    <row r="69" customFormat="false" ht="18.75" hidden="false" customHeight="true" outlineLevel="0" collapsed="false">
      <c r="A69" s="28" t="str">
        <f aca="false">IF($B69="","","Renda Extra")</f>
        <v/>
      </c>
      <c r="B69" s="42" t="str">
        <f aca="false">IF('Renda Extra'!B17="","",'Renda Extra'!B17)</f>
        <v/>
      </c>
      <c r="C69" s="43" t="str">
        <f aca="false">IF($B69="","",IF('Renda Extra'!O17="","",'Renda Extra'!O17))</f>
        <v/>
      </c>
      <c r="D69" s="44" t="str">
        <f aca="false">IF($B69="","",IF('Renda Extra'!G17="","",'Renda Extra'!G17))</f>
        <v/>
      </c>
      <c r="E69" s="44" t="str">
        <f aca="false">IF($B69="","",IF('Renda Extra'!H17&lt;&gt;"",'Renda Extra'!H17,IF('Renda Extra'!I17&lt;&gt;"",'Renda Extra'!I17,"")))</f>
        <v/>
      </c>
      <c r="F69" s="44" t="str">
        <f aca="false">IF($B69="","",IF('Renda Extra'!I17="","",'Renda Extra'!I17))</f>
        <v/>
      </c>
      <c r="G69" s="30" t="str">
        <f aca="false">IF($B69="","",'Renda Extra'!N17)</f>
        <v/>
      </c>
      <c r="H69" s="45" t="str">
        <f aca="false">IF(OR($B69="",$F69=""),"",IF(AND($F69&gt;=H$6,$F69&lt;EDATE(H$6,1)),"▼",""))</f>
        <v/>
      </c>
      <c r="I69" s="45" t="str">
        <f aca="false">IF(OR($B69="",$F69=""),"",IF(AND($F69&gt;=I$6,$F69&lt;EDATE(I$6,1)),"▼",""))</f>
        <v/>
      </c>
      <c r="J69" s="45" t="str">
        <f aca="false">IF(OR($B69="",$F69=""),"",IF(AND($F69&gt;=J$6,$F69&lt;EDATE(J$6,1)),"▼",""))</f>
        <v/>
      </c>
      <c r="K69" s="45" t="str">
        <f aca="false">IF(OR($B69="",$F69=""),"",IF(AND($F69&gt;=K$6,$F69&lt;EDATE(K$6,1)),"▼",""))</f>
        <v/>
      </c>
      <c r="L69" s="45" t="str">
        <f aca="false">IF(OR($B69="",$F69=""),"",IF(AND($F69&gt;=L$6,$F69&lt;EDATE(L$6,1)),"▼",""))</f>
        <v/>
      </c>
      <c r="M69" s="45" t="str">
        <f aca="false">IF(OR($B69="",$F69=""),"",IF(AND($F69&gt;=M$6,$F69&lt;EDATE(M$6,1)),"▼",""))</f>
        <v/>
      </c>
      <c r="N69" s="45" t="str">
        <f aca="false">IF(OR($B69="",$F69=""),"",IF(AND($F69&gt;=N$6,$F69&lt;EDATE(N$6,1)),"▼",""))</f>
        <v/>
      </c>
      <c r="O69" s="45" t="str">
        <f aca="false">IF(OR($B69="",$F69=""),"",IF(AND($F69&gt;=O$6,$F69&lt;EDATE(O$6,1)),"▼",""))</f>
        <v/>
      </c>
      <c r="P69" s="45" t="str">
        <f aca="false">IF(OR($B69="",$F69=""),"",IF(AND($F69&gt;=P$6,$F69&lt;EDATE(P$6,1)),"▼",""))</f>
        <v/>
      </c>
      <c r="Q69" s="45" t="str">
        <f aca="false">IF(OR($B69="",$F69=""),"",IF(AND($F69&gt;=Q$6,$F69&lt;EDATE(Q$6,1)),"▼",""))</f>
        <v/>
      </c>
      <c r="R69" s="45" t="str">
        <f aca="false">IF(OR($B69="",$F69=""),"",IF(AND($F69&gt;=R$6,$F69&lt;EDATE(R$6,1)),"▼",""))</f>
        <v/>
      </c>
      <c r="S69" s="45" t="str">
        <f aca="false">IF(OR($B69="",$F69=""),"",IF(AND($F69&gt;=S$6,$F69&lt;EDATE(S$6,1)),"▼",""))</f>
        <v/>
      </c>
    </row>
    <row r="70" customFormat="false" ht="18.75" hidden="false" customHeight="true" outlineLevel="0" collapsed="false">
      <c r="A70" s="28" t="str">
        <f aca="false">IF($B70="","","Renda Extra")</f>
        <v/>
      </c>
      <c r="B70" s="42" t="str">
        <f aca="false">IF('Renda Extra'!B18="","",'Renda Extra'!B18)</f>
        <v/>
      </c>
      <c r="C70" s="43" t="str">
        <f aca="false">IF($B70="","",IF('Renda Extra'!O18="","",'Renda Extra'!O18))</f>
        <v/>
      </c>
      <c r="D70" s="44" t="str">
        <f aca="false">IF($B70="","",IF('Renda Extra'!G18="","",'Renda Extra'!G18))</f>
        <v/>
      </c>
      <c r="E70" s="44" t="str">
        <f aca="false">IF($B70="","",IF('Renda Extra'!H18&lt;&gt;"",'Renda Extra'!H18,IF('Renda Extra'!I18&lt;&gt;"",'Renda Extra'!I18,"")))</f>
        <v/>
      </c>
      <c r="F70" s="44" t="str">
        <f aca="false">IF($B70="","",IF('Renda Extra'!I18="","",'Renda Extra'!I18))</f>
        <v/>
      </c>
      <c r="G70" s="30" t="str">
        <f aca="false">IF($B70="","",'Renda Extra'!N18)</f>
        <v/>
      </c>
      <c r="H70" s="45" t="str">
        <f aca="false">IF(OR($B70="",$F70=""),"",IF(AND($F70&gt;=H$6,$F70&lt;EDATE(H$6,1)),"▼",""))</f>
        <v/>
      </c>
      <c r="I70" s="45" t="str">
        <f aca="false">IF(OR($B70="",$F70=""),"",IF(AND($F70&gt;=I$6,$F70&lt;EDATE(I$6,1)),"▼",""))</f>
        <v/>
      </c>
      <c r="J70" s="45" t="str">
        <f aca="false">IF(OR($B70="",$F70=""),"",IF(AND($F70&gt;=J$6,$F70&lt;EDATE(J$6,1)),"▼",""))</f>
        <v/>
      </c>
      <c r="K70" s="45" t="str">
        <f aca="false">IF(OR($B70="",$F70=""),"",IF(AND($F70&gt;=K$6,$F70&lt;EDATE(K$6,1)),"▼",""))</f>
        <v/>
      </c>
      <c r="L70" s="45" t="str">
        <f aca="false">IF(OR($B70="",$F70=""),"",IF(AND($F70&gt;=L$6,$F70&lt;EDATE(L$6,1)),"▼",""))</f>
        <v/>
      </c>
      <c r="M70" s="45" t="str">
        <f aca="false">IF(OR($B70="",$F70=""),"",IF(AND($F70&gt;=M$6,$F70&lt;EDATE(M$6,1)),"▼",""))</f>
        <v/>
      </c>
      <c r="N70" s="45" t="str">
        <f aca="false">IF(OR($B70="",$F70=""),"",IF(AND($F70&gt;=N$6,$F70&lt;EDATE(N$6,1)),"▼",""))</f>
        <v/>
      </c>
      <c r="O70" s="45" t="str">
        <f aca="false">IF(OR($B70="",$F70=""),"",IF(AND($F70&gt;=O$6,$F70&lt;EDATE(O$6,1)),"▼",""))</f>
        <v/>
      </c>
      <c r="P70" s="45" t="str">
        <f aca="false">IF(OR($B70="",$F70=""),"",IF(AND($F70&gt;=P$6,$F70&lt;EDATE(P$6,1)),"▼",""))</f>
        <v/>
      </c>
      <c r="Q70" s="45" t="str">
        <f aca="false">IF(OR($B70="",$F70=""),"",IF(AND($F70&gt;=Q$6,$F70&lt;EDATE(Q$6,1)),"▼",""))</f>
        <v/>
      </c>
      <c r="R70" s="45" t="str">
        <f aca="false">IF(OR($B70="",$F70=""),"",IF(AND($F70&gt;=R$6,$F70&lt;EDATE(R$6,1)),"▼",""))</f>
        <v/>
      </c>
      <c r="S70" s="45" t="str">
        <f aca="false">IF(OR($B70="",$F70=""),"",IF(AND($F70&gt;=S$6,$F70&lt;EDATE(S$6,1)),"▼",""))</f>
        <v/>
      </c>
    </row>
    <row r="71" customFormat="false" ht="18.75" hidden="false" customHeight="true" outlineLevel="0" collapsed="false">
      <c r="A71" s="28" t="str">
        <f aca="false">IF($B71="","","Renda Extra")</f>
        <v/>
      </c>
      <c r="B71" s="42" t="str">
        <f aca="false">IF('Renda Extra'!B19="","",'Renda Extra'!B19)</f>
        <v/>
      </c>
      <c r="C71" s="43" t="str">
        <f aca="false">IF($B71="","",IF('Renda Extra'!O19="","",'Renda Extra'!O19))</f>
        <v/>
      </c>
      <c r="D71" s="44" t="str">
        <f aca="false">IF($B71="","",IF('Renda Extra'!G19="","",'Renda Extra'!G19))</f>
        <v/>
      </c>
      <c r="E71" s="44" t="str">
        <f aca="false">IF($B71="","",IF('Renda Extra'!H19&lt;&gt;"",'Renda Extra'!H19,IF('Renda Extra'!I19&lt;&gt;"",'Renda Extra'!I19,"")))</f>
        <v/>
      </c>
      <c r="F71" s="44" t="str">
        <f aca="false">IF($B71="","",IF('Renda Extra'!I19="","",'Renda Extra'!I19))</f>
        <v/>
      </c>
      <c r="G71" s="30" t="str">
        <f aca="false">IF($B71="","",'Renda Extra'!N19)</f>
        <v/>
      </c>
      <c r="H71" s="45" t="str">
        <f aca="false">IF(OR($B71="",$F71=""),"",IF(AND($F71&gt;=H$6,$F71&lt;EDATE(H$6,1)),"▼",""))</f>
        <v/>
      </c>
      <c r="I71" s="45" t="str">
        <f aca="false">IF(OR($B71="",$F71=""),"",IF(AND($F71&gt;=I$6,$F71&lt;EDATE(I$6,1)),"▼",""))</f>
        <v/>
      </c>
      <c r="J71" s="45" t="str">
        <f aca="false">IF(OR($B71="",$F71=""),"",IF(AND($F71&gt;=J$6,$F71&lt;EDATE(J$6,1)),"▼",""))</f>
        <v/>
      </c>
      <c r="K71" s="45" t="str">
        <f aca="false">IF(OR($B71="",$F71=""),"",IF(AND($F71&gt;=K$6,$F71&lt;EDATE(K$6,1)),"▼",""))</f>
        <v/>
      </c>
      <c r="L71" s="45" t="str">
        <f aca="false">IF(OR($B71="",$F71=""),"",IF(AND($F71&gt;=L$6,$F71&lt;EDATE(L$6,1)),"▼",""))</f>
        <v/>
      </c>
      <c r="M71" s="45" t="str">
        <f aca="false">IF(OR($B71="",$F71=""),"",IF(AND($F71&gt;=M$6,$F71&lt;EDATE(M$6,1)),"▼",""))</f>
        <v/>
      </c>
      <c r="N71" s="45" t="str">
        <f aca="false">IF(OR($B71="",$F71=""),"",IF(AND($F71&gt;=N$6,$F71&lt;EDATE(N$6,1)),"▼",""))</f>
        <v/>
      </c>
      <c r="O71" s="45" t="str">
        <f aca="false">IF(OR($B71="",$F71=""),"",IF(AND($F71&gt;=O$6,$F71&lt;EDATE(O$6,1)),"▼",""))</f>
        <v/>
      </c>
      <c r="P71" s="45" t="str">
        <f aca="false">IF(OR($B71="",$F71=""),"",IF(AND($F71&gt;=P$6,$F71&lt;EDATE(P$6,1)),"▼",""))</f>
        <v/>
      </c>
      <c r="Q71" s="45" t="str">
        <f aca="false">IF(OR($B71="",$F71=""),"",IF(AND($F71&gt;=Q$6,$F71&lt;EDATE(Q$6,1)),"▼",""))</f>
        <v/>
      </c>
      <c r="R71" s="45" t="str">
        <f aca="false">IF(OR($B71="",$F71=""),"",IF(AND($F71&gt;=R$6,$F71&lt;EDATE(R$6,1)),"▼",""))</f>
        <v/>
      </c>
      <c r="S71" s="45" t="str">
        <f aca="false">IF(OR($B71="",$F71=""),"",IF(AND($F71&gt;=S$6,$F71&lt;EDATE(S$6,1)),"▼",""))</f>
        <v/>
      </c>
    </row>
  </sheetData>
  <mergeCells count="8">
    <mergeCell ref="A1:S1"/>
    <mergeCell ref="A2:P2"/>
    <mergeCell ref="Q2:S2"/>
    <mergeCell ref="A7:S7"/>
    <mergeCell ref="A20:S20"/>
    <mergeCell ref="A33:S33"/>
    <mergeCell ref="A46:S46"/>
    <mergeCell ref="A59:S59"/>
  </mergeCells>
  <conditionalFormatting sqref="H7:S71">
    <cfRule type="expression" priority="2" aboveAverage="0" equalAverage="0" bottom="0" percent="0" rank="0" text="" dxfId="0">
      <formula>AND(AND(ISNUMBER($D7),ISNUMBER($E7),$D7&lt;=EDATE(H$6,1)-1,$E7&gt;=H$6),$C7="Concluído")</formula>
    </cfRule>
    <cfRule type="expression" priority="3" aboveAverage="0" equalAverage="0" bottom="0" percent="0" rank="0" text="" dxfId="1">
      <formula>AND(AND(ISNUMBER($D7),ISNUMBER($E7),$D7&lt;=EDATE(H$6,1)-1,$E7&gt;=H$6),$C7="Em andamento")</formula>
    </cfRule>
    <cfRule type="expression" priority="4" aboveAverage="0" equalAverage="0" bottom="0" percent="0" rank="0" text="" dxfId="2">
      <formula>AND(ISNUMBER($D7),ISNUMBER($E7),$D7&lt;=EDATE(H$6,1)-1,$E7&gt;=H$6)</formula>
    </cfRule>
  </conditionalFormatting>
  <conditionalFormatting sqref="H6:S6">
    <cfRule type="expression" priority="5" aboveAverage="0" equalAverage="0" bottom="0" percent="0" rank="0" text="" dxfId="3">
      <formula>AND(TODAY()&gt;=H$6,TODAY()&lt;EDATE(H$6,1))</formula>
    </cfRule>
  </conditionalFormatting>
  <conditionalFormatting sqref="C7:C71">
    <cfRule type="cellIs" priority="6" operator="equal" aboveAverage="0" equalAverage="0" bottom="0" percent="0" rank="0" text="" dxfId="0">
      <formula>"Concluído"</formula>
    </cfRule>
    <cfRule type="cellIs" priority="7" operator="equal" aboveAverage="0" equalAverage="0" bottom="0" percent="0" rank="0" text="" dxfId="2">
      <formula>"Em andamento"</formula>
    </cfRule>
  </conditionalFormatting>
  <conditionalFormatting sqref="G7:G71">
    <cfRule type="dataBar" priority="8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{26FBB843-C47B-45EA-A160-90A0304C119A}</x14:id>
        </ext>
      </extLst>
    </cfRule>
  </conditionalFormatting>
  <dataValidations count="1">
    <dataValidation allowBlank="false" errorStyle="stop" operator="greaterThan" showDropDown="false" showErrorMessage="true" showInputMessage="false" sqref="B4" type="date">
      <formula1>36526</formula1>
      <formula2>0</formula2>
    </dataValidation>
  </dataValidations>
  <hyperlinks>
    <hyperlink ref="Q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FBB843-C47B-45EA-A160-90A0304C119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G7:G71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T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22"/>
    <col collapsed="false" customWidth="true" hidden="false" outlineLevel="0" max="19" min="19" style="0" width="30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7" t="s">
        <v>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customFormat="false" ht="21.75" hidden="false" customHeight="true" outlineLevel="0" collapsed="false">
      <c r="A2" s="18" t="s">
        <v>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 t="s">
        <v>52</v>
      </c>
      <c r="S2" s="19"/>
      <c r="T2" s="19"/>
    </row>
    <row r="3" customFormat="false" ht="7.5" hidden="false" customHeight="true" outlineLevel="0" collapsed="false"/>
    <row r="4" customFormat="false" ht="19.5" hidden="false" customHeight="true" outlineLevel="0" collapsed="false">
      <c r="B4" s="20" t="s">
        <v>61</v>
      </c>
      <c r="C4" s="20"/>
      <c r="D4" s="20" t="s">
        <v>39</v>
      </c>
      <c r="E4" s="20"/>
      <c r="F4" s="20" t="s">
        <v>54</v>
      </c>
      <c r="G4" s="20"/>
      <c r="H4" s="20" t="s">
        <v>87</v>
      </c>
      <c r="I4" s="20"/>
      <c r="J4" s="20" t="s">
        <v>56</v>
      </c>
      <c r="K4" s="20"/>
      <c r="L4" s="20" t="s">
        <v>57</v>
      </c>
      <c r="M4" s="20"/>
    </row>
    <row r="5" customFormat="false" ht="30" hidden="false" customHeight="true" outlineLevel="0" collapsed="false">
      <c r="B5" s="48" t="n">
        <f aca="false">COUNTA(B8:B47)</f>
        <v>1</v>
      </c>
      <c r="C5" s="48"/>
      <c r="D5" s="48" t="n">
        <f aca="false">COUNTIF(O8:O47,"Em andamento")</f>
        <v>1</v>
      </c>
      <c r="E5" s="48"/>
      <c r="F5" s="48" t="n">
        <f aca="false">COUNTIF(O8:O47,"Concluído")</f>
        <v>0</v>
      </c>
      <c r="G5" s="48"/>
      <c r="H5" s="49" t="n">
        <f aca="false">SUM(F8:F47)</f>
        <v>12600</v>
      </c>
      <c r="I5" s="49"/>
      <c r="J5" s="50" t="n">
        <f aca="false">IFERROR(AVERAGE(N8:N47),0)</f>
        <v>0.1</v>
      </c>
      <c r="K5" s="50"/>
      <c r="L5" s="48" t="n">
        <f aca="false">COUNTIF(K8:K47,"Vence em breve")</f>
        <v>0</v>
      </c>
      <c r="M5" s="48"/>
    </row>
    <row r="6" customFormat="false" ht="18" hidden="false" customHeight="true" outlineLevel="0" collapsed="false">
      <c r="A6" s="51" t="s">
        <v>88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customFormat="false" ht="37.5" hidden="false" customHeight="true" outlineLevel="0" collapsed="false">
      <c r="A7" s="34" t="s">
        <v>89</v>
      </c>
      <c r="B7" s="27" t="s">
        <v>90</v>
      </c>
      <c r="C7" s="27" t="s">
        <v>91</v>
      </c>
      <c r="D7" s="27" t="s">
        <v>92</v>
      </c>
      <c r="E7" s="27" t="s">
        <v>93</v>
      </c>
      <c r="F7" s="27" t="s">
        <v>94</v>
      </c>
      <c r="G7" s="27" t="s">
        <v>95</v>
      </c>
      <c r="H7" s="27" t="s">
        <v>96</v>
      </c>
      <c r="I7" s="27" t="s">
        <v>97</v>
      </c>
      <c r="J7" s="34" t="s">
        <v>98</v>
      </c>
      <c r="K7" s="34" t="s">
        <v>99</v>
      </c>
      <c r="L7" s="27" t="s">
        <v>100</v>
      </c>
      <c r="M7" s="27" t="s">
        <v>101</v>
      </c>
      <c r="N7" s="34" t="s">
        <v>102</v>
      </c>
      <c r="O7" s="27" t="s">
        <v>76</v>
      </c>
      <c r="P7" s="27" t="s">
        <v>103</v>
      </c>
      <c r="Q7" s="27" t="s">
        <v>104</v>
      </c>
      <c r="R7" s="27" t="s">
        <v>105</v>
      </c>
      <c r="S7" s="27" t="s">
        <v>106</v>
      </c>
      <c r="T7" s="27" t="s">
        <v>107</v>
      </c>
    </row>
    <row r="8" customFormat="false" ht="21" hidden="false" customHeight="true" outlineLevel="0" collapsed="false">
      <c r="A8" s="31" t="str">
        <f aca="false">IF($B8="","","PG-"&amp;TEXT(ROW()-7,"00"))</f>
        <v>PG-01</v>
      </c>
      <c r="B8" s="42" t="s">
        <v>108</v>
      </c>
      <c r="C8" s="42" t="s">
        <v>109</v>
      </c>
      <c r="D8" s="43" t="s">
        <v>110</v>
      </c>
      <c r="E8" s="44" t="n">
        <v>46244</v>
      </c>
      <c r="F8" s="29" t="n">
        <v>12600</v>
      </c>
      <c r="G8" s="44" t="n">
        <v>46266</v>
      </c>
      <c r="H8" s="44" t="n">
        <v>46813</v>
      </c>
      <c r="I8" s="44" t="n">
        <v>46997</v>
      </c>
      <c r="J8" s="52" t="n">
        <f aca="true">IF(OR($B8="",$I8=""),"",$I8-TODAY())</f>
        <v>699</v>
      </c>
      <c r="K8" s="53" t="str">
        <f aca="false">IF($B8="","",IF($I8="","Vitalício / sem prazo",IF($J8&lt;0,"Vencido",IF($J8&lt;=Listas!$G$4,"Vence em breve","Ativo"))))</f>
        <v>Ativo</v>
      </c>
      <c r="L8" s="54" t="n">
        <v>20</v>
      </c>
      <c r="M8" s="54" t="n">
        <v>2</v>
      </c>
      <c r="N8" s="33" t="n">
        <f aca="false">IF($B8="","",IF(N($L8)=0,0,MIN(1,N($M8)/$L8)))</f>
        <v>0.1</v>
      </c>
      <c r="O8" s="43" t="s">
        <v>39</v>
      </c>
      <c r="P8" s="43" t="s">
        <v>111</v>
      </c>
      <c r="Q8" s="42" t="s">
        <v>112</v>
      </c>
      <c r="R8" s="42" t="s">
        <v>113</v>
      </c>
      <c r="S8" s="42" t="s">
        <v>114</v>
      </c>
      <c r="T8" s="5" t="s">
        <v>115</v>
      </c>
    </row>
    <row r="9" customFormat="false" ht="21" hidden="false" customHeight="true" outlineLevel="0" collapsed="false">
      <c r="A9" s="31" t="str">
        <f aca="false">IF($B9="","","PG-"&amp;TEXT(ROW()-7,"00"))</f>
        <v/>
      </c>
      <c r="B9" s="42"/>
      <c r="C9" s="42"/>
      <c r="D9" s="43"/>
      <c r="E9" s="44"/>
      <c r="F9" s="29"/>
      <c r="G9" s="44"/>
      <c r="H9" s="44"/>
      <c r="I9" s="44"/>
      <c r="J9" s="52" t="str">
        <f aca="true">IF(OR($B9="",$I9=""),"",$I9-TODAY())</f>
        <v/>
      </c>
      <c r="K9" s="53" t="str">
        <f aca="false">IF($B9="","",IF($I9="","Vitalício / sem prazo",IF($J9&lt;0,"Vencido",IF($J9&lt;=Listas!$G$4,"Vence em breve","Ativo"))))</f>
        <v/>
      </c>
      <c r="L9" s="54"/>
      <c r="M9" s="54"/>
      <c r="N9" s="33" t="str">
        <f aca="false">IF($B9="","",IF(N($L9)=0,0,MIN(1,N($M9)/$L9)))</f>
        <v/>
      </c>
      <c r="O9" s="43"/>
      <c r="P9" s="43"/>
      <c r="Q9" s="42"/>
      <c r="R9" s="42"/>
      <c r="S9" s="42"/>
      <c r="T9" s="5"/>
    </row>
    <row r="10" customFormat="false" ht="21" hidden="false" customHeight="true" outlineLevel="0" collapsed="false">
      <c r="A10" s="31" t="str">
        <f aca="false">IF($B10="","","PG-"&amp;TEXT(ROW()-7,"00"))</f>
        <v/>
      </c>
      <c r="B10" s="42"/>
      <c r="C10" s="42"/>
      <c r="D10" s="43"/>
      <c r="E10" s="44"/>
      <c r="F10" s="29"/>
      <c r="G10" s="44"/>
      <c r="H10" s="44"/>
      <c r="I10" s="44"/>
      <c r="J10" s="52" t="str">
        <f aca="true">IF(OR($B10="",$I10=""),"",$I10-TODAY())</f>
        <v/>
      </c>
      <c r="K10" s="53" t="str">
        <f aca="false">IF($B10="","",IF($I10="","Vitalício / sem prazo",IF($J10&lt;0,"Vencido",IF($J10&lt;=Listas!$G$4,"Vence em breve","Ativo"))))</f>
        <v/>
      </c>
      <c r="L10" s="54"/>
      <c r="M10" s="54"/>
      <c r="N10" s="33" t="str">
        <f aca="false">IF($B10="","",IF(N($L10)=0,0,MIN(1,N($M10)/$L10)))</f>
        <v/>
      </c>
      <c r="O10" s="43"/>
      <c r="P10" s="43"/>
      <c r="Q10" s="42"/>
      <c r="R10" s="42"/>
      <c r="S10" s="42"/>
      <c r="T10" s="5"/>
    </row>
    <row r="11" customFormat="false" ht="21" hidden="false" customHeight="true" outlineLevel="0" collapsed="false">
      <c r="A11" s="31" t="str">
        <f aca="false">IF($B11="","","PG-"&amp;TEXT(ROW()-7,"00"))</f>
        <v/>
      </c>
      <c r="B11" s="42"/>
      <c r="C11" s="42"/>
      <c r="D11" s="43"/>
      <c r="E11" s="44"/>
      <c r="F11" s="29"/>
      <c r="G11" s="44"/>
      <c r="H11" s="44"/>
      <c r="I11" s="44"/>
      <c r="J11" s="52" t="str">
        <f aca="true">IF(OR($B11="",$I11=""),"",$I11-TODAY())</f>
        <v/>
      </c>
      <c r="K11" s="53" t="str">
        <f aca="false">IF($B11="","",IF($I11="","Vitalício / sem prazo",IF($J11&lt;0,"Vencido",IF($J11&lt;=Listas!$G$4,"Vence em breve","Ativo"))))</f>
        <v/>
      </c>
      <c r="L11" s="54"/>
      <c r="M11" s="54"/>
      <c r="N11" s="33" t="str">
        <f aca="false">IF($B11="","",IF(N($L11)=0,0,MIN(1,N($M11)/$L11)))</f>
        <v/>
      </c>
      <c r="O11" s="43"/>
      <c r="P11" s="43"/>
      <c r="Q11" s="42"/>
      <c r="R11" s="42"/>
      <c r="S11" s="42"/>
      <c r="T11" s="5"/>
    </row>
    <row r="12" customFormat="false" ht="21" hidden="false" customHeight="true" outlineLevel="0" collapsed="false">
      <c r="A12" s="31" t="str">
        <f aca="false">IF($B12="","","PG-"&amp;TEXT(ROW()-7,"00"))</f>
        <v/>
      </c>
      <c r="B12" s="42"/>
      <c r="C12" s="42"/>
      <c r="D12" s="43"/>
      <c r="E12" s="44"/>
      <c r="F12" s="29"/>
      <c r="G12" s="44"/>
      <c r="H12" s="44"/>
      <c r="I12" s="44"/>
      <c r="J12" s="52" t="str">
        <f aca="true">IF(OR($B12="",$I12=""),"",$I12-TODAY())</f>
        <v/>
      </c>
      <c r="K12" s="53" t="str">
        <f aca="false">IF($B12="","",IF($I12="","Vitalício / sem prazo",IF($J12&lt;0,"Vencido",IF($J12&lt;=Listas!$G$4,"Vence em breve","Ativo"))))</f>
        <v/>
      </c>
      <c r="L12" s="54"/>
      <c r="M12" s="54"/>
      <c r="N12" s="33" t="str">
        <f aca="false">IF($B12="","",IF(N($L12)=0,0,MIN(1,N($M12)/$L12)))</f>
        <v/>
      </c>
      <c r="O12" s="43"/>
      <c r="P12" s="43"/>
      <c r="Q12" s="42"/>
      <c r="R12" s="42"/>
      <c r="S12" s="42"/>
      <c r="T12" s="5"/>
    </row>
    <row r="13" customFormat="false" ht="21" hidden="false" customHeight="true" outlineLevel="0" collapsed="false">
      <c r="A13" s="31" t="str">
        <f aca="false">IF($B13="","","PG-"&amp;TEXT(ROW()-7,"00"))</f>
        <v/>
      </c>
      <c r="B13" s="42"/>
      <c r="C13" s="42"/>
      <c r="D13" s="43"/>
      <c r="E13" s="44"/>
      <c r="F13" s="29"/>
      <c r="G13" s="44"/>
      <c r="H13" s="44"/>
      <c r="I13" s="44"/>
      <c r="J13" s="52" t="str">
        <f aca="true">IF(OR($B13="",$I13=""),"",$I13-TODAY())</f>
        <v/>
      </c>
      <c r="K13" s="53" t="str">
        <f aca="false">IF($B13="","",IF($I13="","Vitalício / sem prazo",IF($J13&lt;0,"Vencido",IF($J13&lt;=Listas!$G$4,"Vence em breve","Ativo"))))</f>
        <v/>
      </c>
      <c r="L13" s="54"/>
      <c r="M13" s="54"/>
      <c r="N13" s="33" t="str">
        <f aca="false">IF($B13="","",IF(N($L13)=0,0,MIN(1,N($M13)/$L13)))</f>
        <v/>
      </c>
      <c r="O13" s="43"/>
      <c r="P13" s="43"/>
      <c r="Q13" s="42"/>
      <c r="R13" s="42"/>
      <c r="S13" s="42"/>
      <c r="T13" s="5"/>
    </row>
    <row r="14" customFormat="false" ht="21" hidden="false" customHeight="true" outlineLevel="0" collapsed="false">
      <c r="A14" s="31" t="str">
        <f aca="false">IF($B14="","","PG-"&amp;TEXT(ROW()-7,"00"))</f>
        <v/>
      </c>
      <c r="B14" s="42"/>
      <c r="C14" s="42"/>
      <c r="D14" s="43"/>
      <c r="E14" s="44"/>
      <c r="F14" s="29"/>
      <c r="G14" s="44"/>
      <c r="H14" s="44"/>
      <c r="I14" s="44"/>
      <c r="J14" s="52" t="str">
        <f aca="true">IF(OR($B14="",$I14=""),"",$I14-TODAY())</f>
        <v/>
      </c>
      <c r="K14" s="53" t="str">
        <f aca="false">IF($B14="","",IF($I14="","Vitalício / sem prazo",IF($J14&lt;0,"Vencido",IF($J14&lt;=Listas!$G$4,"Vence em breve","Ativo"))))</f>
        <v/>
      </c>
      <c r="L14" s="54"/>
      <c r="M14" s="54"/>
      <c r="N14" s="33" t="str">
        <f aca="false">IF($B14="","",IF(N($L14)=0,0,MIN(1,N($M14)/$L14)))</f>
        <v/>
      </c>
      <c r="O14" s="43"/>
      <c r="P14" s="43"/>
      <c r="Q14" s="42"/>
      <c r="R14" s="42"/>
      <c r="S14" s="42"/>
      <c r="T14" s="5"/>
    </row>
    <row r="15" customFormat="false" ht="21" hidden="false" customHeight="true" outlineLevel="0" collapsed="false">
      <c r="A15" s="31" t="str">
        <f aca="false">IF($B15="","","PG-"&amp;TEXT(ROW()-7,"00"))</f>
        <v/>
      </c>
      <c r="B15" s="42"/>
      <c r="C15" s="42"/>
      <c r="D15" s="43"/>
      <c r="E15" s="44"/>
      <c r="F15" s="29"/>
      <c r="G15" s="44"/>
      <c r="H15" s="44"/>
      <c r="I15" s="44"/>
      <c r="J15" s="52" t="str">
        <f aca="true">IF(OR($B15="",$I15=""),"",$I15-TODAY())</f>
        <v/>
      </c>
      <c r="K15" s="53" t="str">
        <f aca="false">IF($B15="","",IF($I15="","Vitalício / sem prazo",IF($J15&lt;0,"Vencido",IF($J15&lt;=Listas!$G$4,"Vence em breve","Ativo"))))</f>
        <v/>
      </c>
      <c r="L15" s="54"/>
      <c r="M15" s="54"/>
      <c r="N15" s="33" t="str">
        <f aca="false">IF($B15="","",IF(N($L15)=0,0,MIN(1,N($M15)/$L15)))</f>
        <v/>
      </c>
      <c r="O15" s="43"/>
      <c r="P15" s="43"/>
      <c r="Q15" s="42"/>
      <c r="R15" s="42"/>
      <c r="S15" s="42"/>
      <c r="T15" s="5"/>
    </row>
    <row r="16" customFormat="false" ht="21" hidden="false" customHeight="true" outlineLevel="0" collapsed="false">
      <c r="A16" s="31" t="str">
        <f aca="false">IF($B16="","","PG-"&amp;TEXT(ROW()-7,"00"))</f>
        <v/>
      </c>
      <c r="B16" s="42"/>
      <c r="C16" s="42"/>
      <c r="D16" s="43"/>
      <c r="E16" s="44"/>
      <c r="F16" s="29"/>
      <c r="G16" s="44"/>
      <c r="H16" s="44"/>
      <c r="I16" s="44"/>
      <c r="J16" s="52" t="str">
        <f aca="true">IF(OR($B16="",$I16=""),"",$I16-TODAY())</f>
        <v/>
      </c>
      <c r="K16" s="53" t="str">
        <f aca="false">IF($B16="","",IF($I16="","Vitalício / sem prazo",IF($J16&lt;0,"Vencido",IF($J16&lt;=Listas!$G$4,"Vence em breve","Ativo"))))</f>
        <v/>
      </c>
      <c r="L16" s="54"/>
      <c r="M16" s="54"/>
      <c r="N16" s="33" t="str">
        <f aca="false">IF($B16="","",IF(N($L16)=0,0,MIN(1,N($M16)/$L16)))</f>
        <v/>
      </c>
      <c r="O16" s="43"/>
      <c r="P16" s="43"/>
      <c r="Q16" s="42"/>
      <c r="R16" s="42"/>
      <c r="S16" s="42"/>
      <c r="T16" s="5"/>
    </row>
    <row r="17" customFormat="false" ht="21" hidden="false" customHeight="true" outlineLevel="0" collapsed="false">
      <c r="A17" s="31" t="str">
        <f aca="false">IF($B17="","","PG-"&amp;TEXT(ROW()-7,"00"))</f>
        <v/>
      </c>
      <c r="B17" s="42"/>
      <c r="C17" s="42"/>
      <c r="D17" s="43"/>
      <c r="E17" s="44"/>
      <c r="F17" s="29"/>
      <c r="G17" s="44"/>
      <c r="H17" s="44"/>
      <c r="I17" s="44"/>
      <c r="J17" s="52" t="str">
        <f aca="true">IF(OR($B17="",$I17=""),"",$I17-TODAY())</f>
        <v/>
      </c>
      <c r="K17" s="53" t="str">
        <f aca="false">IF($B17="","",IF($I17="","Vitalício / sem prazo",IF($J17&lt;0,"Vencido",IF($J17&lt;=Listas!$G$4,"Vence em breve","Ativo"))))</f>
        <v/>
      </c>
      <c r="L17" s="54"/>
      <c r="M17" s="54"/>
      <c r="N17" s="33" t="str">
        <f aca="false">IF($B17="","",IF(N($L17)=0,0,MIN(1,N($M17)/$L17)))</f>
        <v/>
      </c>
      <c r="O17" s="43"/>
      <c r="P17" s="43"/>
      <c r="Q17" s="42"/>
      <c r="R17" s="42"/>
      <c r="S17" s="42"/>
      <c r="T17" s="5"/>
    </row>
    <row r="18" customFormat="false" ht="21" hidden="false" customHeight="true" outlineLevel="0" collapsed="false">
      <c r="A18" s="31" t="str">
        <f aca="false">IF($B18="","","PG-"&amp;TEXT(ROW()-7,"00"))</f>
        <v/>
      </c>
      <c r="B18" s="42"/>
      <c r="C18" s="42"/>
      <c r="D18" s="43"/>
      <c r="E18" s="44"/>
      <c r="F18" s="29"/>
      <c r="G18" s="44"/>
      <c r="H18" s="44"/>
      <c r="I18" s="44"/>
      <c r="J18" s="52" t="str">
        <f aca="true">IF(OR($B18="",$I18=""),"",$I18-TODAY())</f>
        <v/>
      </c>
      <c r="K18" s="53" t="str">
        <f aca="false">IF($B18="","",IF($I18="","Vitalício / sem prazo",IF($J18&lt;0,"Vencido",IF($J18&lt;=Listas!$G$4,"Vence em breve","Ativo"))))</f>
        <v/>
      </c>
      <c r="L18" s="54"/>
      <c r="M18" s="54"/>
      <c r="N18" s="33" t="str">
        <f aca="false">IF($B18="","",IF(N($L18)=0,0,MIN(1,N($M18)/$L18)))</f>
        <v/>
      </c>
      <c r="O18" s="43"/>
      <c r="P18" s="43"/>
      <c r="Q18" s="42"/>
      <c r="R18" s="42"/>
      <c r="S18" s="42"/>
      <c r="T18" s="5"/>
    </row>
    <row r="19" customFormat="false" ht="21" hidden="false" customHeight="true" outlineLevel="0" collapsed="false">
      <c r="A19" s="31" t="str">
        <f aca="false">IF($B19="","","PG-"&amp;TEXT(ROW()-7,"00"))</f>
        <v/>
      </c>
      <c r="B19" s="42"/>
      <c r="C19" s="42"/>
      <c r="D19" s="43"/>
      <c r="E19" s="44"/>
      <c r="F19" s="29"/>
      <c r="G19" s="44"/>
      <c r="H19" s="44"/>
      <c r="I19" s="44"/>
      <c r="J19" s="52" t="str">
        <f aca="true">IF(OR($B19="",$I19=""),"",$I19-TODAY())</f>
        <v/>
      </c>
      <c r="K19" s="53" t="str">
        <f aca="false">IF($B19="","",IF($I19="","Vitalício / sem prazo",IF($J19&lt;0,"Vencido",IF($J19&lt;=Listas!$G$4,"Vence em breve","Ativo"))))</f>
        <v/>
      </c>
      <c r="L19" s="54"/>
      <c r="M19" s="54"/>
      <c r="N19" s="33" t="str">
        <f aca="false">IF($B19="","",IF(N($L19)=0,0,MIN(1,N($M19)/$L19)))</f>
        <v/>
      </c>
      <c r="O19" s="43"/>
      <c r="P19" s="43"/>
      <c r="Q19" s="42"/>
      <c r="R19" s="42"/>
      <c r="S19" s="42"/>
      <c r="T19" s="5"/>
    </row>
    <row r="20" customFormat="false" ht="21" hidden="false" customHeight="true" outlineLevel="0" collapsed="false">
      <c r="A20" s="31" t="str">
        <f aca="false">IF($B20="","","PG-"&amp;TEXT(ROW()-7,"00"))</f>
        <v/>
      </c>
      <c r="B20" s="42"/>
      <c r="C20" s="42"/>
      <c r="D20" s="43"/>
      <c r="E20" s="44"/>
      <c r="F20" s="29"/>
      <c r="G20" s="44"/>
      <c r="H20" s="44"/>
      <c r="I20" s="44"/>
      <c r="J20" s="52" t="str">
        <f aca="true">IF(OR($B20="",$I20=""),"",$I20-TODAY())</f>
        <v/>
      </c>
      <c r="K20" s="53" t="str">
        <f aca="false">IF($B20="","",IF($I20="","Vitalício / sem prazo",IF($J20&lt;0,"Vencido",IF($J20&lt;=Listas!$G$4,"Vence em breve","Ativo"))))</f>
        <v/>
      </c>
      <c r="L20" s="54"/>
      <c r="M20" s="54"/>
      <c r="N20" s="33" t="str">
        <f aca="false">IF($B20="","",IF(N($L20)=0,0,MIN(1,N($M20)/$L20)))</f>
        <v/>
      </c>
      <c r="O20" s="43"/>
      <c r="P20" s="43"/>
      <c r="Q20" s="42"/>
      <c r="R20" s="42"/>
      <c r="S20" s="42"/>
      <c r="T20" s="5"/>
    </row>
    <row r="21" customFormat="false" ht="21" hidden="false" customHeight="true" outlineLevel="0" collapsed="false">
      <c r="A21" s="31" t="str">
        <f aca="false">IF($B21="","","PG-"&amp;TEXT(ROW()-7,"00"))</f>
        <v/>
      </c>
      <c r="B21" s="42"/>
      <c r="C21" s="42"/>
      <c r="D21" s="43"/>
      <c r="E21" s="44"/>
      <c r="F21" s="29"/>
      <c r="G21" s="44"/>
      <c r="H21" s="44"/>
      <c r="I21" s="44"/>
      <c r="J21" s="52" t="str">
        <f aca="true">IF(OR($B21="",$I21=""),"",$I21-TODAY())</f>
        <v/>
      </c>
      <c r="K21" s="53" t="str">
        <f aca="false">IF($B21="","",IF($I21="","Vitalício / sem prazo",IF($J21&lt;0,"Vencido",IF($J21&lt;=Listas!$G$4,"Vence em breve","Ativo"))))</f>
        <v/>
      </c>
      <c r="L21" s="54"/>
      <c r="M21" s="54"/>
      <c r="N21" s="33" t="str">
        <f aca="false">IF($B21="","",IF(N($L21)=0,0,MIN(1,N($M21)/$L21)))</f>
        <v/>
      </c>
      <c r="O21" s="43"/>
      <c r="P21" s="43"/>
      <c r="Q21" s="42"/>
      <c r="R21" s="42"/>
      <c r="S21" s="42"/>
      <c r="T21" s="5"/>
    </row>
    <row r="22" customFormat="false" ht="21" hidden="false" customHeight="true" outlineLevel="0" collapsed="false">
      <c r="A22" s="31" t="str">
        <f aca="false">IF($B22="","","PG-"&amp;TEXT(ROW()-7,"00"))</f>
        <v/>
      </c>
      <c r="B22" s="42"/>
      <c r="C22" s="42"/>
      <c r="D22" s="43"/>
      <c r="E22" s="44"/>
      <c r="F22" s="29"/>
      <c r="G22" s="44"/>
      <c r="H22" s="44"/>
      <c r="I22" s="44"/>
      <c r="J22" s="52" t="str">
        <f aca="true">IF(OR($B22="",$I22=""),"",$I22-TODAY())</f>
        <v/>
      </c>
      <c r="K22" s="53" t="str">
        <f aca="false">IF($B22="","",IF($I22="","Vitalício / sem prazo",IF($J22&lt;0,"Vencido",IF($J22&lt;=Listas!$G$4,"Vence em breve","Ativo"))))</f>
        <v/>
      </c>
      <c r="L22" s="54"/>
      <c r="M22" s="54"/>
      <c r="N22" s="33" t="str">
        <f aca="false">IF($B22="","",IF(N($L22)=0,0,MIN(1,N($M22)/$L22)))</f>
        <v/>
      </c>
      <c r="O22" s="43"/>
      <c r="P22" s="43"/>
      <c r="Q22" s="42"/>
      <c r="R22" s="42"/>
      <c r="S22" s="42"/>
      <c r="T22" s="5"/>
    </row>
    <row r="23" customFormat="false" ht="21" hidden="false" customHeight="true" outlineLevel="0" collapsed="false">
      <c r="A23" s="31" t="str">
        <f aca="false">IF($B23="","","PG-"&amp;TEXT(ROW()-7,"00"))</f>
        <v/>
      </c>
      <c r="B23" s="42"/>
      <c r="C23" s="42"/>
      <c r="D23" s="43"/>
      <c r="E23" s="44"/>
      <c r="F23" s="29"/>
      <c r="G23" s="44"/>
      <c r="H23" s="44"/>
      <c r="I23" s="44"/>
      <c r="J23" s="52" t="str">
        <f aca="true">IF(OR($B23="",$I23=""),"",$I23-TODAY())</f>
        <v/>
      </c>
      <c r="K23" s="53" t="str">
        <f aca="false">IF($B23="","",IF($I23="","Vitalício / sem prazo",IF($J23&lt;0,"Vencido",IF($J23&lt;=Listas!$G$4,"Vence em breve","Ativo"))))</f>
        <v/>
      </c>
      <c r="L23" s="54"/>
      <c r="M23" s="54"/>
      <c r="N23" s="33" t="str">
        <f aca="false">IF($B23="","",IF(N($L23)=0,0,MIN(1,N($M23)/$L23)))</f>
        <v/>
      </c>
      <c r="O23" s="43"/>
      <c r="P23" s="43"/>
      <c r="Q23" s="42"/>
      <c r="R23" s="42"/>
      <c r="S23" s="42"/>
      <c r="T23" s="5"/>
    </row>
    <row r="24" customFormat="false" ht="21" hidden="false" customHeight="true" outlineLevel="0" collapsed="false">
      <c r="A24" s="31" t="str">
        <f aca="false">IF($B24="","","PG-"&amp;TEXT(ROW()-7,"00"))</f>
        <v/>
      </c>
      <c r="B24" s="42"/>
      <c r="C24" s="42"/>
      <c r="D24" s="43"/>
      <c r="E24" s="44"/>
      <c r="F24" s="29"/>
      <c r="G24" s="44"/>
      <c r="H24" s="44"/>
      <c r="I24" s="44"/>
      <c r="J24" s="52" t="str">
        <f aca="true">IF(OR($B24="",$I24=""),"",$I24-TODAY())</f>
        <v/>
      </c>
      <c r="K24" s="53" t="str">
        <f aca="false">IF($B24="","",IF($I24="","Vitalício / sem prazo",IF($J24&lt;0,"Vencido",IF($J24&lt;=Listas!$G$4,"Vence em breve","Ativo"))))</f>
        <v/>
      </c>
      <c r="L24" s="54"/>
      <c r="M24" s="54"/>
      <c r="N24" s="33" t="str">
        <f aca="false">IF($B24="","",IF(N($L24)=0,0,MIN(1,N($M24)/$L24)))</f>
        <v/>
      </c>
      <c r="O24" s="43"/>
      <c r="P24" s="43"/>
      <c r="Q24" s="42"/>
      <c r="R24" s="42"/>
      <c r="S24" s="42"/>
      <c r="T24" s="5"/>
    </row>
    <row r="25" customFormat="false" ht="21" hidden="false" customHeight="true" outlineLevel="0" collapsed="false">
      <c r="A25" s="31" t="str">
        <f aca="false">IF($B25="","","PG-"&amp;TEXT(ROW()-7,"00"))</f>
        <v/>
      </c>
      <c r="B25" s="42"/>
      <c r="C25" s="42"/>
      <c r="D25" s="43"/>
      <c r="E25" s="44"/>
      <c r="F25" s="29"/>
      <c r="G25" s="44"/>
      <c r="H25" s="44"/>
      <c r="I25" s="44"/>
      <c r="J25" s="52" t="str">
        <f aca="true">IF(OR($B25="",$I25=""),"",$I25-TODAY())</f>
        <v/>
      </c>
      <c r="K25" s="53" t="str">
        <f aca="false">IF($B25="","",IF($I25="","Vitalício / sem prazo",IF($J25&lt;0,"Vencido",IF($J25&lt;=Listas!$G$4,"Vence em breve","Ativo"))))</f>
        <v/>
      </c>
      <c r="L25" s="54"/>
      <c r="M25" s="54"/>
      <c r="N25" s="33" t="str">
        <f aca="false">IF($B25="","",IF(N($L25)=0,0,MIN(1,N($M25)/$L25)))</f>
        <v/>
      </c>
      <c r="O25" s="43"/>
      <c r="P25" s="43"/>
      <c r="Q25" s="42"/>
      <c r="R25" s="42"/>
      <c r="S25" s="42"/>
      <c r="T25" s="5"/>
    </row>
    <row r="26" customFormat="false" ht="21" hidden="false" customHeight="true" outlineLevel="0" collapsed="false">
      <c r="A26" s="31" t="str">
        <f aca="false">IF($B26="","","PG-"&amp;TEXT(ROW()-7,"00"))</f>
        <v/>
      </c>
      <c r="B26" s="42"/>
      <c r="C26" s="42"/>
      <c r="D26" s="43"/>
      <c r="E26" s="44"/>
      <c r="F26" s="29"/>
      <c r="G26" s="44"/>
      <c r="H26" s="44"/>
      <c r="I26" s="44"/>
      <c r="J26" s="52" t="str">
        <f aca="true">IF(OR($B26="",$I26=""),"",$I26-TODAY())</f>
        <v/>
      </c>
      <c r="K26" s="53" t="str">
        <f aca="false">IF($B26="","",IF($I26="","Vitalício / sem prazo",IF($J26&lt;0,"Vencido",IF($J26&lt;=Listas!$G$4,"Vence em breve","Ativo"))))</f>
        <v/>
      </c>
      <c r="L26" s="54"/>
      <c r="M26" s="54"/>
      <c r="N26" s="33" t="str">
        <f aca="false">IF($B26="","",IF(N($L26)=0,0,MIN(1,N($M26)/$L26)))</f>
        <v/>
      </c>
      <c r="O26" s="43"/>
      <c r="P26" s="43"/>
      <c r="Q26" s="42"/>
      <c r="R26" s="42"/>
      <c r="S26" s="42"/>
      <c r="T26" s="5"/>
    </row>
    <row r="27" customFormat="false" ht="21" hidden="false" customHeight="true" outlineLevel="0" collapsed="false">
      <c r="A27" s="31" t="str">
        <f aca="false">IF($B27="","","PG-"&amp;TEXT(ROW()-7,"00"))</f>
        <v/>
      </c>
      <c r="B27" s="42"/>
      <c r="C27" s="42"/>
      <c r="D27" s="43"/>
      <c r="E27" s="44"/>
      <c r="F27" s="29"/>
      <c r="G27" s="44"/>
      <c r="H27" s="44"/>
      <c r="I27" s="44"/>
      <c r="J27" s="52" t="str">
        <f aca="true">IF(OR($B27="",$I27=""),"",$I27-TODAY())</f>
        <v/>
      </c>
      <c r="K27" s="53" t="str">
        <f aca="false">IF($B27="","",IF($I27="","Vitalício / sem prazo",IF($J27&lt;0,"Vencido",IF($J27&lt;=Listas!$G$4,"Vence em breve","Ativo"))))</f>
        <v/>
      </c>
      <c r="L27" s="54"/>
      <c r="M27" s="54"/>
      <c r="N27" s="33" t="str">
        <f aca="false">IF($B27="","",IF(N($L27)=0,0,MIN(1,N($M27)/$L27)))</f>
        <v/>
      </c>
      <c r="O27" s="43"/>
      <c r="P27" s="43"/>
      <c r="Q27" s="42"/>
      <c r="R27" s="42"/>
      <c r="S27" s="42"/>
      <c r="T27" s="5"/>
    </row>
    <row r="28" customFormat="false" ht="21" hidden="false" customHeight="true" outlineLevel="0" collapsed="false">
      <c r="A28" s="31" t="str">
        <f aca="false">IF($B28="","","PG-"&amp;TEXT(ROW()-7,"00"))</f>
        <v/>
      </c>
      <c r="B28" s="42"/>
      <c r="C28" s="42"/>
      <c r="D28" s="43"/>
      <c r="E28" s="44"/>
      <c r="F28" s="29"/>
      <c r="G28" s="44"/>
      <c r="H28" s="44"/>
      <c r="I28" s="44"/>
      <c r="J28" s="52" t="str">
        <f aca="true">IF(OR($B28="",$I28=""),"",$I28-TODAY())</f>
        <v/>
      </c>
      <c r="K28" s="53" t="str">
        <f aca="false">IF($B28="","",IF($I28="","Vitalício / sem prazo",IF($J28&lt;0,"Vencido",IF($J28&lt;=Listas!$G$4,"Vence em breve","Ativo"))))</f>
        <v/>
      </c>
      <c r="L28" s="54"/>
      <c r="M28" s="54"/>
      <c r="N28" s="33" t="str">
        <f aca="false">IF($B28="","",IF(N($L28)=0,0,MIN(1,N($M28)/$L28)))</f>
        <v/>
      </c>
      <c r="O28" s="43"/>
      <c r="P28" s="43"/>
      <c r="Q28" s="42"/>
      <c r="R28" s="42"/>
      <c r="S28" s="42"/>
      <c r="T28" s="5"/>
    </row>
    <row r="29" customFormat="false" ht="21" hidden="false" customHeight="true" outlineLevel="0" collapsed="false">
      <c r="A29" s="31" t="str">
        <f aca="false">IF($B29="","","PG-"&amp;TEXT(ROW()-7,"00"))</f>
        <v/>
      </c>
      <c r="B29" s="42"/>
      <c r="C29" s="42"/>
      <c r="D29" s="43"/>
      <c r="E29" s="44"/>
      <c r="F29" s="29"/>
      <c r="G29" s="44"/>
      <c r="H29" s="44"/>
      <c r="I29" s="44"/>
      <c r="J29" s="52" t="str">
        <f aca="true">IF(OR($B29="",$I29=""),"",$I29-TODAY())</f>
        <v/>
      </c>
      <c r="K29" s="53" t="str">
        <f aca="false">IF($B29="","",IF($I29="","Vitalício / sem prazo",IF($J29&lt;0,"Vencido",IF($J29&lt;=Listas!$G$4,"Vence em breve","Ativo"))))</f>
        <v/>
      </c>
      <c r="L29" s="54"/>
      <c r="M29" s="54"/>
      <c r="N29" s="33" t="str">
        <f aca="false">IF($B29="","",IF(N($L29)=0,0,MIN(1,N($M29)/$L29)))</f>
        <v/>
      </c>
      <c r="O29" s="43"/>
      <c r="P29" s="43"/>
      <c r="Q29" s="42"/>
      <c r="R29" s="42"/>
      <c r="S29" s="42"/>
      <c r="T29" s="5"/>
    </row>
    <row r="30" customFormat="false" ht="21" hidden="false" customHeight="true" outlineLevel="0" collapsed="false">
      <c r="A30" s="31" t="str">
        <f aca="false">IF($B30="","","PG-"&amp;TEXT(ROW()-7,"00"))</f>
        <v/>
      </c>
      <c r="B30" s="42"/>
      <c r="C30" s="42"/>
      <c r="D30" s="43"/>
      <c r="E30" s="44"/>
      <c r="F30" s="29"/>
      <c r="G30" s="44"/>
      <c r="H30" s="44"/>
      <c r="I30" s="44"/>
      <c r="J30" s="52" t="str">
        <f aca="true">IF(OR($B30="",$I30=""),"",$I30-TODAY())</f>
        <v/>
      </c>
      <c r="K30" s="53" t="str">
        <f aca="false">IF($B30="","",IF($I30="","Vitalício / sem prazo",IF($J30&lt;0,"Vencido",IF($J30&lt;=Listas!$G$4,"Vence em breve","Ativo"))))</f>
        <v/>
      </c>
      <c r="L30" s="54"/>
      <c r="M30" s="54"/>
      <c r="N30" s="33" t="str">
        <f aca="false">IF($B30="","",IF(N($L30)=0,0,MIN(1,N($M30)/$L30)))</f>
        <v/>
      </c>
      <c r="O30" s="43"/>
      <c r="P30" s="43"/>
      <c r="Q30" s="42"/>
      <c r="R30" s="42"/>
      <c r="S30" s="42"/>
      <c r="T30" s="5"/>
    </row>
    <row r="31" customFormat="false" ht="21" hidden="false" customHeight="true" outlineLevel="0" collapsed="false">
      <c r="A31" s="31" t="str">
        <f aca="false">IF($B31="","","PG-"&amp;TEXT(ROW()-7,"00"))</f>
        <v/>
      </c>
      <c r="B31" s="42"/>
      <c r="C31" s="42"/>
      <c r="D31" s="43"/>
      <c r="E31" s="44"/>
      <c r="F31" s="29"/>
      <c r="G31" s="44"/>
      <c r="H31" s="44"/>
      <c r="I31" s="44"/>
      <c r="J31" s="52" t="str">
        <f aca="true">IF(OR($B31="",$I31=""),"",$I31-TODAY())</f>
        <v/>
      </c>
      <c r="K31" s="53" t="str">
        <f aca="false">IF($B31="","",IF($I31="","Vitalício / sem prazo",IF($J31&lt;0,"Vencido",IF($J31&lt;=Listas!$G$4,"Vence em breve","Ativo"))))</f>
        <v/>
      </c>
      <c r="L31" s="54"/>
      <c r="M31" s="54"/>
      <c r="N31" s="33" t="str">
        <f aca="false">IF($B31="","",IF(N($L31)=0,0,MIN(1,N($M31)/$L31)))</f>
        <v/>
      </c>
      <c r="O31" s="43"/>
      <c r="P31" s="43"/>
      <c r="Q31" s="42"/>
      <c r="R31" s="42"/>
      <c r="S31" s="42"/>
      <c r="T31" s="5"/>
    </row>
    <row r="32" customFormat="false" ht="21" hidden="false" customHeight="true" outlineLevel="0" collapsed="false">
      <c r="A32" s="31" t="str">
        <f aca="false">IF($B32="","","PG-"&amp;TEXT(ROW()-7,"00"))</f>
        <v/>
      </c>
      <c r="B32" s="42"/>
      <c r="C32" s="42"/>
      <c r="D32" s="43"/>
      <c r="E32" s="44"/>
      <c r="F32" s="29"/>
      <c r="G32" s="44"/>
      <c r="H32" s="44"/>
      <c r="I32" s="44"/>
      <c r="J32" s="52" t="str">
        <f aca="true">IF(OR($B32="",$I32=""),"",$I32-TODAY())</f>
        <v/>
      </c>
      <c r="K32" s="53" t="str">
        <f aca="false">IF($B32="","",IF($I32="","Vitalício / sem prazo",IF($J32&lt;0,"Vencido",IF($J32&lt;=Listas!$G$4,"Vence em breve","Ativo"))))</f>
        <v/>
      </c>
      <c r="L32" s="54"/>
      <c r="M32" s="54"/>
      <c r="N32" s="33" t="str">
        <f aca="false">IF($B32="","",IF(N($L32)=0,0,MIN(1,N($M32)/$L32)))</f>
        <v/>
      </c>
      <c r="O32" s="43"/>
      <c r="P32" s="43"/>
      <c r="Q32" s="42"/>
      <c r="R32" s="42"/>
      <c r="S32" s="42"/>
      <c r="T32" s="5"/>
    </row>
    <row r="33" customFormat="false" ht="21" hidden="false" customHeight="true" outlineLevel="0" collapsed="false">
      <c r="A33" s="31" t="str">
        <f aca="false">IF($B33="","","PG-"&amp;TEXT(ROW()-7,"00"))</f>
        <v/>
      </c>
      <c r="B33" s="42"/>
      <c r="C33" s="42"/>
      <c r="D33" s="43"/>
      <c r="E33" s="44"/>
      <c r="F33" s="29"/>
      <c r="G33" s="44"/>
      <c r="H33" s="44"/>
      <c r="I33" s="44"/>
      <c r="J33" s="52" t="str">
        <f aca="true">IF(OR($B33="",$I33=""),"",$I33-TODAY())</f>
        <v/>
      </c>
      <c r="K33" s="53" t="str">
        <f aca="false">IF($B33="","",IF($I33="","Vitalício / sem prazo",IF($J33&lt;0,"Vencido",IF($J33&lt;=Listas!$G$4,"Vence em breve","Ativo"))))</f>
        <v/>
      </c>
      <c r="L33" s="54"/>
      <c r="M33" s="54"/>
      <c r="N33" s="33" t="str">
        <f aca="false">IF($B33="","",IF(N($L33)=0,0,MIN(1,N($M33)/$L33)))</f>
        <v/>
      </c>
      <c r="O33" s="43"/>
      <c r="P33" s="43"/>
      <c r="Q33" s="42"/>
      <c r="R33" s="42"/>
      <c r="S33" s="42"/>
      <c r="T33" s="5"/>
    </row>
    <row r="34" customFormat="false" ht="21" hidden="false" customHeight="true" outlineLevel="0" collapsed="false">
      <c r="A34" s="31" t="str">
        <f aca="false">IF($B34="","","PG-"&amp;TEXT(ROW()-7,"00"))</f>
        <v/>
      </c>
      <c r="B34" s="42"/>
      <c r="C34" s="42"/>
      <c r="D34" s="43"/>
      <c r="E34" s="44"/>
      <c r="F34" s="29"/>
      <c r="G34" s="44"/>
      <c r="H34" s="44"/>
      <c r="I34" s="44"/>
      <c r="J34" s="52" t="str">
        <f aca="true">IF(OR($B34="",$I34=""),"",$I34-TODAY())</f>
        <v/>
      </c>
      <c r="K34" s="53" t="str">
        <f aca="false">IF($B34="","",IF($I34="","Vitalício / sem prazo",IF($J34&lt;0,"Vencido",IF($J34&lt;=Listas!$G$4,"Vence em breve","Ativo"))))</f>
        <v/>
      </c>
      <c r="L34" s="54"/>
      <c r="M34" s="54"/>
      <c r="N34" s="33" t="str">
        <f aca="false">IF($B34="","",IF(N($L34)=0,0,MIN(1,N($M34)/$L34)))</f>
        <v/>
      </c>
      <c r="O34" s="43"/>
      <c r="P34" s="43"/>
      <c r="Q34" s="42"/>
      <c r="R34" s="42"/>
      <c r="S34" s="42"/>
      <c r="T34" s="5"/>
    </row>
    <row r="35" customFormat="false" ht="21" hidden="false" customHeight="true" outlineLevel="0" collapsed="false">
      <c r="A35" s="31" t="str">
        <f aca="false">IF($B35="","","PG-"&amp;TEXT(ROW()-7,"00"))</f>
        <v/>
      </c>
      <c r="B35" s="42"/>
      <c r="C35" s="42"/>
      <c r="D35" s="43"/>
      <c r="E35" s="44"/>
      <c r="F35" s="29"/>
      <c r="G35" s="44"/>
      <c r="H35" s="44"/>
      <c r="I35" s="44"/>
      <c r="J35" s="52" t="str">
        <f aca="true">IF(OR($B35="",$I35=""),"",$I35-TODAY())</f>
        <v/>
      </c>
      <c r="K35" s="53" t="str">
        <f aca="false">IF($B35="","",IF($I35="","Vitalício / sem prazo",IF($J35&lt;0,"Vencido",IF($J35&lt;=Listas!$G$4,"Vence em breve","Ativo"))))</f>
        <v/>
      </c>
      <c r="L35" s="54"/>
      <c r="M35" s="54"/>
      <c r="N35" s="33" t="str">
        <f aca="false">IF($B35="","",IF(N($L35)=0,0,MIN(1,N($M35)/$L35)))</f>
        <v/>
      </c>
      <c r="O35" s="43"/>
      <c r="P35" s="43"/>
      <c r="Q35" s="42"/>
      <c r="R35" s="42"/>
      <c r="S35" s="42"/>
      <c r="T35" s="5"/>
    </row>
    <row r="36" customFormat="false" ht="21" hidden="false" customHeight="true" outlineLevel="0" collapsed="false">
      <c r="A36" s="31" t="str">
        <f aca="false">IF($B36="","","PG-"&amp;TEXT(ROW()-7,"00"))</f>
        <v/>
      </c>
      <c r="B36" s="42"/>
      <c r="C36" s="42"/>
      <c r="D36" s="43"/>
      <c r="E36" s="44"/>
      <c r="F36" s="29"/>
      <c r="G36" s="44"/>
      <c r="H36" s="44"/>
      <c r="I36" s="44"/>
      <c r="J36" s="52" t="str">
        <f aca="true">IF(OR($B36="",$I36=""),"",$I36-TODAY())</f>
        <v/>
      </c>
      <c r="K36" s="53" t="str">
        <f aca="false">IF($B36="","",IF($I36="","Vitalício / sem prazo",IF($J36&lt;0,"Vencido",IF($J36&lt;=Listas!$G$4,"Vence em breve","Ativo"))))</f>
        <v/>
      </c>
      <c r="L36" s="54"/>
      <c r="M36" s="54"/>
      <c r="N36" s="33" t="str">
        <f aca="false">IF($B36="","",IF(N($L36)=0,0,MIN(1,N($M36)/$L36)))</f>
        <v/>
      </c>
      <c r="O36" s="43"/>
      <c r="P36" s="43"/>
      <c r="Q36" s="42"/>
      <c r="R36" s="42"/>
      <c r="S36" s="42"/>
      <c r="T36" s="5"/>
    </row>
    <row r="37" customFormat="false" ht="21" hidden="false" customHeight="true" outlineLevel="0" collapsed="false">
      <c r="A37" s="31" t="str">
        <f aca="false">IF($B37="","","PG-"&amp;TEXT(ROW()-7,"00"))</f>
        <v/>
      </c>
      <c r="B37" s="42"/>
      <c r="C37" s="42"/>
      <c r="D37" s="43"/>
      <c r="E37" s="44"/>
      <c r="F37" s="29"/>
      <c r="G37" s="44"/>
      <c r="H37" s="44"/>
      <c r="I37" s="44"/>
      <c r="J37" s="52" t="str">
        <f aca="true">IF(OR($B37="",$I37=""),"",$I37-TODAY())</f>
        <v/>
      </c>
      <c r="K37" s="53" t="str">
        <f aca="false">IF($B37="","",IF($I37="","Vitalício / sem prazo",IF($J37&lt;0,"Vencido",IF($J37&lt;=Listas!$G$4,"Vence em breve","Ativo"))))</f>
        <v/>
      </c>
      <c r="L37" s="54"/>
      <c r="M37" s="54"/>
      <c r="N37" s="33" t="str">
        <f aca="false">IF($B37="","",IF(N($L37)=0,0,MIN(1,N($M37)/$L37)))</f>
        <v/>
      </c>
      <c r="O37" s="43"/>
      <c r="P37" s="43"/>
      <c r="Q37" s="42"/>
      <c r="R37" s="42"/>
      <c r="S37" s="42"/>
      <c r="T37" s="5"/>
    </row>
    <row r="38" customFormat="false" ht="21" hidden="false" customHeight="true" outlineLevel="0" collapsed="false">
      <c r="A38" s="31" t="str">
        <f aca="false">IF($B38="","","PG-"&amp;TEXT(ROW()-7,"00"))</f>
        <v/>
      </c>
      <c r="B38" s="42"/>
      <c r="C38" s="42"/>
      <c r="D38" s="43"/>
      <c r="E38" s="44"/>
      <c r="F38" s="29"/>
      <c r="G38" s="44"/>
      <c r="H38" s="44"/>
      <c r="I38" s="44"/>
      <c r="J38" s="52" t="str">
        <f aca="true">IF(OR($B38="",$I38=""),"",$I38-TODAY())</f>
        <v/>
      </c>
      <c r="K38" s="53" t="str">
        <f aca="false">IF($B38="","",IF($I38="","Vitalício / sem prazo",IF($J38&lt;0,"Vencido",IF($J38&lt;=Listas!$G$4,"Vence em breve","Ativo"))))</f>
        <v/>
      </c>
      <c r="L38" s="54"/>
      <c r="M38" s="54"/>
      <c r="N38" s="33" t="str">
        <f aca="false">IF($B38="","",IF(N($L38)=0,0,MIN(1,N($M38)/$L38)))</f>
        <v/>
      </c>
      <c r="O38" s="43"/>
      <c r="P38" s="43"/>
      <c r="Q38" s="42"/>
      <c r="R38" s="42"/>
      <c r="S38" s="42"/>
      <c r="T38" s="5"/>
    </row>
    <row r="39" customFormat="false" ht="21" hidden="false" customHeight="true" outlineLevel="0" collapsed="false">
      <c r="A39" s="31" t="str">
        <f aca="false">IF($B39="","","PG-"&amp;TEXT(ROW()-7,"00"))</f>
        <v/>
      </c>
      <c r="B39" s="42"/>
      <c r="C39" s="42"/>
      <c r="D39" s="43"/>
      <c r="E39" s="44"/>
      <c r="F39" s="29"/>
      <c r="G39" s="44"/>
      <c r="H39" s="44"/>
      <c r="I39" s="44"/>
      <c r="J39" s="52" t="str">
        <f aca="true">IF(OR($B39="",$I39=""),"",$I39-TODAY())</f>
        <v/>
      </c>
      <c r="K39" s="53" t="str">
        <f aca="false">IF($B39="","",IF($I39="","Vitalício / sem prazo",IF($J39&lt;0,"Vencido",IF($J39&lt;=Listas!$G$4,"Vence em breve","Ativo"))))</f>
        <v/>
      </c>
      <c r="L39" s="54"/>
      <c r="M39" s="54"/>
      <c r="N39" s="33" t="str">
        <f aca="false">IF($B39="","",IF(N($L39)=0,0,MIN(1,N($M39)/$L39)))</f>
        <v/>
      </c>
      <c r="O39" s="43"/>
      <c r="P39" s="43"/>
      <c r="Q39" s="42"/>
      <c r="R39" s="42"/>
      <c r="S39" s="42"/>
      <c r="T39" s="5"/>
    </row>
    <row r="40" customFormat="false" ht="21" hidden="false" customHeight="true" outlineLevel="0" collapsed="false">
      <c r="A40" s="31" t="str">
        <f aca="false">IF($B40="","","PG-"&amp;TEXT(ROW()-7,"00"))</f>
        <v/>
      </c>
      <c r="B40" s="42"/>
      <c r="C40" s="42"/>
      <c r="D40" s="43"/>
      <c r="E40" s="44"/>
      <c r="F40" s="29"/>
      <c r="G40" s="44"/>
      <c r="H40" s="44"/>
      <c r="I40" s="44"/>
      <c r="J40" s="52" t="str">
        <f aca="true">IF(OR($B40="",$I40=""),"",$I40-TODAY())</f>
        <v/>
      </c>
      <c r="K40" s="53" t="str">
        <f aca="false">IF($B40="","",IF($I40="","Vitalício / sem prazo",IF($J40&lt;0,"Vencido",IF($J40&lt;=Listas!$G$4,"Vence em breve","Ativo"))))</f>
        <v/>
      </c>
      <c r="L40" s="54"/>
      <c r="M40" s="54"/>
      <c r="N40" s="33" t="str">
        <f aca="false">IF($B40="","",IF(N($L40)=0,0,MIN(1,N($M40)/$L40)))</f>
        <v/>
      </c>
      <c r="O40" s="43"/>
      <c r="P40" s="43"/>
      <c r="Q40" s="42"/>
      <c r="R40" s="42"/>
      <c r="S40" s="42"/>
      <c r="T40" s="5"/>
    </row>
    <row r="41" customFormat="false" ht="21" hidden="false" customHeight="true" outlineLevel="0" collapsed="false">
      <c r="A41" s="31" t="str">
        <f aca="false">IF($B41="","","PG-"&amp;TEXT(ROW()-7,"00"))</f>
        <v/>
      </c>
      <c r="B41" s="42"/>
      <c r="C41" s="42"/>
      <c r="D41" s="43"/>
      <c r="E41" s="44"/>
      <c r="F41" s="29"/>
      <c r="G41" s="44"/>
      <c r="H41" s="44"/>
      <c r="I41" s="44"/>
      <c r="J41" s="52" t="str">
        <f aca="true">IF(OR($B41="",$I41=""),"",$I41-TODAY())</f>
        <v/>
      </c>
      <c r="K41" s="53" t="str">
        <f aca="false">IF($B41="","",IF($I41="","Vitalício / sem prazo",IF($J41&lt;0,"Vencido",IF($J41&lt;=Listas!$G$4,"Vence em breve","Ativo"))))</f>
        <v/>
      </c>
      <c r="L41" s="54"/>
      <c r="M41" s="54"/>
      <c r="N41" s="33" t="str">
        <f aca="false">IF($B41="","",IF(N($L41)=0,0,MIN(1,N($M41)/$L41)))</f>
        <v/>
      </c>
      <c r="O41" s="43"/>
      <c r="P41" s="43"/>
      <c r="Q41" s="42"/>
      <c r="R41" s="42"/>
      <c r="S41" s="42"/>
      <c r="T41" s="5"/>
    </row>
    <row r="42" customFormat="false" ht="21" hidden="false" customHeight="true" outlineLevel="0" collapsed="false">
      <c r="A42" s="31" t="str">
        <f aca="false">IF($B42="","","PG-"&amp;TEXT(ROW()-7,"00"))</f>
        <v/>
      </c>
      <c r="B42" s="42"/>
      <c r="C42" s="42"/>
      <c r="D42" s="43"/>
      <c r="E42" s="44"/>
      <c r="F42" s="29"/>
      <c r="G42" s="44"/>
      <c r="H42" s="44"/>
      <c r="I42" s="44"/>
      <c r="J42" s="52" t="str">
        <f aca="true">IF(OR($B42="",$I42=""),"",$I42-TODAY())</f>
        <v/>
      </c>
      <c r="K42" s="53" t="str">
        <f aca="false">IF($B42="","",IF($I42="","Vitalício / sem prazo",IF($J42&lt;0,"Vencido",IF($J42&lt;=Listas!$G$4,"Vence em breve","Ativo"))))</f>
        <v/>
      </c>
      <c r="L42" s="54"/>
      <c r="M42" s="54"/>
      <c r="N42" s="33" t="str">
        <f aca="false">IF($B42="","",IF(N($L42)=0,0,MIN(1,N($M42)/$L42)))</f>
        <v/>
      </c>
      <c r="O42" s="43"/>
      <c r="P42" s="43"/>
      <c r="Q42" s="42"/>
      <c r="R42" s="42"/>
      <c r="S42" s="42"/>
      <c r="T42" s="5"/>
    </row>
    <row r="43" customFormat="false" ht="21" hidden="false" customHeight="true" outlineLevel="0" collapsed="false">
      <c r="A43" s="31" t="str">
        <f aca="false">IF($B43="","","PG-"&amp;TEXT(ROW()-7,"00"))</f>
        <v/>
      </c>
      <c r="B43" s="42"/>
      <c r="C43" s="42"/>
      <c r="D43" s="43"/>
      <c r="E43" s="44"/>
      <c r="F43" s="29"/>
      <c r="G43" s="44"/>
      <c r="H43" s="44"/>
      <c r="I43" s="44"/>
      <c r="J43" s="52" t="str">
        <f aca="true">IF(OR($B43="",$I43=""),"",$I43-TODAY())</f>
        <v/>
      </c>
      <c r="K43" s="53" t="str">
        <f aca="false">IF($B43="","",IF($I43="","Vitalício / sem prazo",IF($J43&lt;0,"Vencido",IF($J43&lt;=Listas!$G$4,"Vence em breve","Ativo"))))</f>
        <v/>
      </c>
      <c r="L43" s="54"/>
      <c r="M43" s="54"/>
      <c r="N43" s="33" t="str">
        <f aca="false">IF($B43="","",IF(N($L43)=0,0,MIN(1,N($M43)/$L43)))</f>
        <v/>
      </c>
      <c r="O43" s="43"/>
      <c r="P43" s="43"/>
      <c r="Q43" s="42"/>
      <c r="R43" s="42"/>
      <c r="S43" s="42"/>
      <c r="T43" s="5"/>
    </row>
    <row r="44" customFormat="false" ht="21" hidden="false" customHeight="true" outlineLevel="0" collapsed="false">
      <c r="A44" s="31" t="str">
        <f aca="false">IF($B44="","","PG-"&amp;TEXT(ROW()-7,"00"))</f>
        <v/>
      </c>
      <c r="B44" s="42"/>
      <c r="C44" s="42"/>
      <c r="D44" s="43"/>
      <c r="E44" s="44"/>
      <c r="F44" s="29"/>
      <c r="G44" s="44"/>
      <c r="H44" s="44"/>
      <c r="I44" s="44"/>
      <c r="J44" s="52" t="str">
        <f aca="true">IF(OR($B44="",$I44=""),"",$I44-TODAY())</f>
        <v/>
      </c>
      <c r="K44" s="53" t="str">
        <f aca="false">IF($B44="","",IF($I44="","Vitalício / sem prazo",IF($J44&lt;0,"Vencido",IF($J44&lt;=Listas!$G$4,"Vence em breve","Ativo"))))</f>
        <v/>
      </c>
      <c r="L44" s="54"/>
      <c r="M44" s="54"/>
      <c r="N44" s="33" t="str">
        <f aca="false">IF($B44="","",IF(N($L44)=0,0,MIN(1,N($M44)/$L44)))</f>
        <v/>
      </c>
      <c r="O44" s="43"/>
      <c r="P44" s="43"/>
      <c r="Q44" s="42"/>
      <c r="R44" s="42"/>
      <c r="S44" s="42"/>
      <c r="T44" s="5"/>
    </row>
    <row r="45" customFormat="false" ht="21" hidden="false" customHeight="true" outlineLevel="0" collapsed="false">
      <c r="A45" s="31" t="str">
        <f aca="false">IF($B45="","","PG-"&amp;TEXT(ROW()-7,"00"))</f>
        <v/>
      </c>
      <c r="B45" s="42"/>
      <c r="C45" s="42"/>
      <c r="D45" s="43"/>
      <c r="E45" s="44"/>
      <c r="F45" s="29"/>
      <c r="G45" s="44"/>
      <c r="H45" s="44"/>
      <c r="I45" s="44"/>
      <c r="J45" s="52" t="str">
        <f aca="true">IF(OR($B45="",$I45=""),"",$I45-TODAY())</f>
        <v/>
      </c>
      <c r="K45" s="53" t="str">
        <f aca="false">IF($B45="","",IF($I45="","Vitalício / sem prazo",IF($J45&lt;0,"Vencido",IF($J45&lt;=Listas!$G$4,"Vence em breve","Ativo"))))</f>
        <v/>
      </c>
      <c r="L45" s="54"/>
      <c r="M45" s="54"/>
      <c r="N45" s="33" t="str">
        <f aca="false">IF($B45="","",IF(N($L45)=0,0,MIN(1,N($M45)/$L45)))</f>
        <v/>
      </c>
      <c r="O45" s="43"/>
      <c r="P45" s="43"/>
      <c r="Q45" s="42"/>
      <c r="R45" s="42"/>
      <c r="S45" s="42"/>
      <c r="T45" s="5"/>
    </row>
    <row r="46" customFormat="false" ht="21" hidden="false" customHeight="true" outlineLevel="0" collapsed="false">
      <c r="A46" s="31" t="str">
        <f aca="false">IF($B46="","","PG-"&amp;TEXT(ROW()-7,"00"))</f>
        <v/>
      </c>
      <c r="B46" s="42"/>
      <c r="C46" s="42"/>
      <c r="D46" s="43"/>
      <c r="E46" s="44"/>
      <c r="F46" s="29"/>
      <c r="G46" s="44"/>
      <c r="H46" s="44"/>
      <c r="I46" s="44"/>
      <c r="J46" s="52" t="str">
        <f aca="true">IF(OR($B46="",$I46=""),"",$I46-TODAY())</f>
        <v/>
      </c>
      <c r="K46" s="53" t="str">
        <f aca="false">IF($B46="","",IF($I46="","Vitalício / sem prazo",IF($J46&lt;0,"Vencido",IF($J46&lt;=Listas!$G$4,"Vence em breve","Ativo"))))</f>
        <v/>
      </c>
      <c r="L46" s="54"/>
      <c r="M46" s="54"/>
      <c r="N46" s="33" t="str">
        <f aca="false">IF($B46="","",IF(N($L46)=0,0,MIN(1,N($M46)/$L46)))</f>
        <v/>
      </c>
      <c r="O46" s="43"/>
      <c r="P46" s="43"/>
      <c r="Q46" s="42"/>
      <c r="R46" s="42"/>
      <c r="S46" s="42"/>
      <c r="T46" s="5"/>
    </row>
    <row r="47" customFormat="false" ht="21" hidden="false" customHeight="true" outlineLevel="0" collapsed="false">
      <c r="A47" s="31" t="str">
        <f aca="false">IF($B47="","","PG-"&amp;TEXT(ROW()-7,"00"))</f>
        <v/>
      </c>
      <c r="B47" s="42"/>
      <c r="C47" s="42"/>
      <c r="D47" s="43"/>
      <c r="E47" s="44"/>
      <c r="F47" s="29"/>
      <c r="G47" s="44"/>
      <c r="H47" s="44"/>
      <c r="I47" s="44"/>
      <c r="J47" s="52" t="str">
        <f aca="true">IF(OR($B47="",$I47=""),"",$I47-TODAY())</f>
        <v/>
      </c>
      <c r="K47" s="53" t="str">
        <f aca="false">IF($B47="","",IF($I47="","Vitalício / sem prazo",IF($J47&lt;0,"Vencido",IF($J47&lt;=Listas!$G$4,"Vence em breve","Ativo"))))</f>
        <v/>
      </c>
      <c r="L47" s="54"/>
      <c r="M47" s="54"/>
      <c r="N47" s="33" t="str">
        <f aca="false">IF($B47="","",IF(N($L47)=0,0,MIN(1,N($M47)/$L47)))</f>
        <v/>
      </c>
      <c r="O47" s="43"/>
      <c r="P47" s="43"/>
      <c r="Q47" s="42"/>
      <c r="R47" s="42"/>
      <c r="S47" s="42"/>
      <c r="T47" s="5"/>
    </row>
  </sheetData>
  <autoFilter ref="A7:T47"/>
  <mergeCells count="16">
    <mergeCell ref="A1:T1"/>
    <mergeCell ref="A2:Q2"/>
    <mergeCell ref="R2:T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A6:L6"/>
  </mergeCells>
  <conditionalFormatting sqref="O8:O47">
    <cfRule type="cellIs" priority="2" operator="equal" aboveAverage="0" equalAverage="0" bottom="0" percent="0" rank="0" text="" dxfId="11">
      <formula>"Concluído"</formula>
    </cfRule>
    <cfRule type="cellIs" priority="3" operator="equal" aboveAverage="0" equalAverage="0" bottom="0" percent="0" rank="0" text="" dxfId="12">
      <formula>"Em andamento"</formula>
    </cfRule>
    <cfRule type="cellIs" priority="4" operator="equal" aboveAverage="0" equalAverage="0" bottom="0" percent="0" rank="0" text="" dxfId="13">
      <formula>"Pausado"</formula>
    </cfRule>
  </conditionalFormatting>
  <conditionalFormatting sqref="P8:P47">
    <cfRule type="cellIs" priority="5" operator="equal" aboveAverage="0" equalAverage="0" bottom="0" percent="0" rank="0" text="" dxfId="14">
      <formula>"Alta"</formula>
    </cfRule>
  </conditionalFormatting>
  <conditionalFormatting sqref="N8:N47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{55B38279-B865-47AB-9AB3-18C71BE6D0F3}</x14:id>
        </ext>
      </extLst>
    </cfRule>
  </conditionalFormatting>
  <conditionalFormatting sqref="J8:K47">
    <cfRule type="expression" priority="7" aboveAverage="0" equalAverage="0" bottom="0" percent="0" rank="0" text="" dxfId="15">
      <formula>$K8="Vencido"</formula>
    </cfRule>
    <cfRule type="expression" priority="8" aboveAverage="0" equalAverage="0" bottom="0" percent="0" rank="0" text="" dxfId="16">
      <formula>$K8="Vence em breve"</formula>
    </cfRule>
    <cfRule type="expression" priority="9" aboveAverage="0" equalAverage="0" bottom="0" percent="0" rank="0" text="" dxfId="17">
      <formula>$K8="Ativo"</formula>
    </cfRule>
  </conditionalFormatting>
  <dataValidations count="5">
    <dataValidation allowBlank="true" error="Valor inválido para esta coluna." errorStyle="stop" errorTitle="Atenção" operator="between" showDropDown="false" showErrorMessage="true" showInputMessage="false" sqref="D8:D47" type="list">
      <formula1>Listas!$C$4:$C$6</formula1>
      <formula2>0</formula2>
    </dataValidation>
    <dataValidation allowBlank="true" error="Valor inválido para esta coluna." errorStyle="stop" errorTitle="Atenção" operator="greaterThan" showDropDown="false" showErrorMessage="true" showInputMessage="false" sqref="E8:E47 G8:I47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8:F47 L8:M47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8:O47" type="list">
      <formula1>Listas!$A$4:$A$7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8:P47" type="list">
      <formula1>Listas!$B$4:$B$6</formula1>
      <formula2>0</formula2>
    </dataValidation>
  </dataValidations>
  <hyperlinks>
    <hyperlink ref="R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38279-B865-47AB-9AB3-18C71BE6D0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N8:N47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V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7" min="5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9"/>
    <col collapsed="false" customWidth="true" hidden="false" outlineLevel="0" max="15" min="14" style="0" width="14"/>
    <col collapsed="false" customWidth="true" hidden="false" outlineLevel="0" max="16" min="16" style="0" width="16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26"/>
    <col collapsed="false" customWidth="true" hidden="false" outlineLevel="0" max="20" min="20" style="0" width="22"/>
    <col collapsed="false" customWidth="true" hidden="false" outlineLevel="0" max="21" min="21" style="0" width="30"/>
    <col collapsed="false" customWidth="true" hidden="false" outlineLevel="0" max="22" min="22" style="0" width="36"/>
  </cols>
  <sheetData>
    <row r="1" customFormat="false" ht="37.5" hidden="false" customHeight="true" outlineLevel="0" collapsed="false">
      <c r="A1" s="17" t="s">
        <v>116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customFormat="false" ht="21.75" hidden="false" customHeight="true" outlineLevel="0" collapsed="false">
      <c r="A2" s="18" t="s">
        <v>117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 t="s">
        <v>52</v>
      </c>
      <c r="U2" s="19"/>
      <c r="V2" s="19"/>
    </row>
    <row r="3" customFormat="false" ht="7.5" hidden="false" customHeight="true" outlineLevel="0" collapsed="false"/>
    <row r="4" customFormat="false" ht="19.5" hidden="false" customHeight="true" outlineLevel="0" collapsed="false">
      <c r="B4" s="20" t="s">
        <v>61</v>
      </c>
      <c r="C4" s="20"/>
      <c r="D4" s="20" t="s">
        <v>39</v>
      </c>
      <c r="E4" s="20"/>
      <c r="F4" s="20" t="s">
        <v>54</v>
      </c>
      <c r="G4" s="20"/>
      <c r="H4" s="20" t="s">
        <v>87</v>
      </c>
      <c r="I4" s="20"/>
      <c r="J4" s="20" t="s">
        <v>56</v>
      </c>
      <c r="K4" s="20"/>
      <c r="L4" s="20" t="s">
        <v>57</v>
      </c>
      <c r="M4" s="20"/>
    </row>
    <row r="5" customFormat="false" ht="30" hidden="false" customHeight="true" outlineLevel="0" collapsed="false">
      <c r="B5" s="48" t="n">
        <f aca="false">COUNTA(B8:B47)</f>
        <v>1</v>
      </c>
      <c r="C5" s="48"/>
      <c r="D5" s="48" t="n">
        <f aca="false">COUNTIF(Q8:Q47,"Em andamento")</f>
        <v>1</v>
      </c>
      <c r="E5" s="48"/>
      <c r="F5" s="48" t="n">
        <f aca="false">COUNTIF(Q8:Q47,"Concluído")</f>
        <v>0</v>
      </c>
      <c r="G5" s="48"/>
      <c r="H5" s="49" t="n">
        <f aca="false">SUM(H8:H47)</f>
        <v>1490</v>
      </c>
      <c r="I5" s="49"/>
      <c r="J5" s="50" t="n">
        <f aca="false">IFERROR(AVERAGE(P8:P47),0)</f>
        <v>0.25</v>
      </c>
      <c r="K5" s="50"/>
      <c r="L5" s="48" t="n">
        <f aca="false">COUNTIF(M8:M47,"Vence em breve")</f>
        <v>0</v>
      </c>
      <c r="M5" s="48"/>
    </row>
    <row r="6" customFormat="false" ht="18" hidden="false" customHeight="true" outlineLevel="0" collapsed="false">
      <c r="A6" s="51" t="s">
        <v>88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customFormat="false" ht="37.5" hidden="false" customHeight="true" outlineLevel="0" collapsed="false">
      <c r="A7" s="34" t="s">
        <v>89</v>
      </c>
      <c r="B7" s="27" t="s">
        <v>118</v>
      </c>
      <c r="C7" s="27" t="s">
        <v>119</v>
      </c>
      <c r="D7" s="27" t="s">
        <v>120</v>
      </c>
      <c r="E7" s="27" t="s">
        <v>121</v>
      </c>
      <c r="F7" s="27" t="s">
        <v>122</v>
      </c>
      <c r="G7" s="27" t="s">
        <v>93</v>
      </c>
      <c r="H7" s="27" t="s">
        <v>94</v>
      </c>
      <c r="I7" s="27" t="s">
        <v>95</v>
      </c>
      <c r="J7" s="27" t="s">
        <v>96</v>
      </c>
      <c r="K7" s="27" t="s">
        <v>97</v>
      </c>
      <c r="L7" s="34" t="s">
        <v>98</v>
      </c>
      <c r="M7" s="34" t="s">
        <v>99</v>
      </c>
      <c r="N7" s="27" t="s">
        <v>123</v>
      </c>
      <c r="O7" s="27" t="s">
        <v>124</v>
      </c>
      <c r="P7" s="34" t="s">
        <v>102</v>
      </c>
      <c r="Q7" s="27" t="s">
        <v>76</v>
      </c>
      <c r="R7" s="27" t="s">
        <v>103</v>
      </c>
      <c r="S7" s="27" t="s">
        <v>104</v>
      </c>
      <c r="T7" s="27" t="s">
        <v>105</v>
      </c>
      <c r="U7" s="27" t="s">
        <v>106</v>
      </c>
      <c r="V7" s="27" t="s">
        <v>107</v>
      </c>
    </row>
    <row r="8" customFormat="false" ht="21" hidden="false" customHeight="true" outlineLevel="0" collapsed="false">
      <c r="A8" s="31" t="str">
        <f aca="false">IF($B8="","","CO-"&amp;TEXT(ROW()-7,"00"))</f>
        <v>CO-01</v>
      </c>
      <c r="B8" s="42" t="s">
        <v>125</v>
      </c>
      <c r="C8" s="42" t="s">
        <v>126</v>
      </c>
      <c r="D8" s="42" t="s">
        <v>127</v>
      </c>
      <c r="E8" s="42" t="s">
        <v>128</v>
      </c>
      <c r="F8" s="44" t="n">
        <v>46460</v>
      </c>
      <c r="G8" s="44" t="n">
        <v>46270</v>
      </c>
      <c r="H8" s="29" t="n">
        <v>1490</v>
      </c>
      <c r="I8" s="44" t="n">
        <v>46280</v>
      </c>
      <c r="J8" s="44" t="n">
        <v>46446</v>
      </c>
      <c r="K8" s="44" t="n">
        <v>46568</v>
      </c>
      <c r="L8" s="52" t="n">
        <f aca="true">IF(OR($B8="",$K8=""),"",$K8-TODAY())</f>
        <v>270</v>
      </c>
      <c r="M8" s="53" t="str">
        <f aca="false">IF($B8="","",IF($K8="","Vitalício / sem prazo",IF($L8&lt;0,"Vencido",IF($L8&lt;=Listas!$G$4,"Vence em breve","Ativo"))))</f>
        <v>Ativo</v>
      </c>
      <c r="N8" s="54" t="n">
        <v>180</v>
      </c>
      <c r="O8" s="54" t="n">
        <v>45</v>
      </c>
      <c r="P8" s="33" t="n">
        <f aca="false">IF($B8="","",IF(N($N8)=0,0,MIN(1,N($O8)/$N8)))</f>
        <v>0.25</v>
      </c>
      <c r="Q8" s="43" t="s">
        <v>39</v>
      </c>
      <c r="R8" s="43" t="s">
        <v>111</v>
      </c>
      <c r="S8" s="42" t="s">
        <v>112</v>
      </c>
      <c r="T8" s="42" t="s">
        <v>113</v>
      </c>
      <c r="U8" s="42" t="s">
        <v>129</v>
      </c>
      <c r="V8" s="5" t="s">
        <v>115</v>
      </c>
    </row>
    <row r="9" customFormat="false" ht="21" hidden="false" customHeight="true" outlineLevel="0" collapsed="false">
      <c r="A9" s="31" t="str">
        <f aca="false">IF($B9="","","CO-"&amp;TEXT(ROW()-7,"00"))</f>
        <v/>
      </c>
      <c r="B9" s="42"/>
      <c r="C9" s="42"/>
      <c r="D9" s="42"/>
      <c r="E9" s="42"/>
      <c r="F9" s="44"/>
      <c r="G9" s="44"/>
      <c r="H9" s="29"/>
      <c r="I9" s="44"/>
      <c r="J9" s="44"/>
      <c r="K9" s="44"/>
      <c r="L9" s="52" t="str">
        <f aca="true">IF(OR($B9="",$K9=""),"",$K9-TODAY())</f>
        <v/>
      </c>
      <c r="M9" s="53" t="str">
        <f aca="false">IF($B9="","",IF($K9="","Vitalício / sem prazo",IF($L9&lt;0,"Vencido",IF($L9&lt;=Listas!$G$4,"Vence em breve","Ativo"))))</f>
        <v/>
      </c>
      <c r="N9" s="54"/>
      <c r="O9" s="54"/>
      <c r="P9" s="33" t="str">
        <f aca="false">IF($B9="","",IF(N($N9)=0,0,MIN(1,N($O9)/$N9)))</f>
        <v/>
      </c>
      <c r="Q9" s="43"/>
      <c r="R9" s="43"/>
      <c r="S9" s="42"/>
      <c r="T9" s="42"/>
      <c r="U9" s="42"/>
      <c r="V9" s="5"/>
    </row>
    <row r="10" customFormat="false" ht="21" hidden="false" customHeight="true" outlineLevel="0" collapsed="false">
      <c r="A10" s="31" t="str">
        <f aca="false">IF($B10="","","CO-"&amp;TEXT(ROW()-7,"00"))</f>
        <v/>
      </c>
      <c r="B10" s="42"/>
      <c r="C10" s="42"/>
      <c r="D10" s="42"/>
      <c r="E10" s="42"/>
      <c r="F10" s="44"/>
      <c r="G10" s="44"/>
      <c r="H10" s="29"/>
      <c r="I10" s="44"/>
      <c r="J10" s="44"/>
      <c r="K10" s="44"/>
      <c r="L10" s="52" t="str">
        <f aca="true">IF(OR($B10="",$K10=""),"",$K10-TODAY())</f>
        <v/>
      </c>
      <c r="M10" s="53" t="str">
        <f aca="false">IF($B10="","",IF($K10="","Vitalício / sem prazo",IF($L10&lt;0,"Vencido",IF($L10&lt;=Listas!$G$4,"Vence em breve","Ativo"))))</f>
        <v/>
      </c>
      <c r="N10" s="54"/>
      <c r="O10" s="54"/>
      <c r="P10" s="33" t="str">
        <f aca="false">IF($B10="","",IF(N($N10)=0,0,MIN(1,N($O10)/$N10)))</f>
        <v/>
      </c>
      <c r="Q10" s="43"/>
      <c r="R10" s="43"/>
      <c r="S10" s="42"/>
      <c r="T10" s="42"/>
      <c r="U10" s="42"/>
      <c r="V10" s="5"/>
    </row>
    <row r="11" customFormat="false" ht="21" hidden="false" customHeight="true" outlineLevel="0" collapsed="false">
      <c r="A11" s="31" t="str">
        <f aca="false">IF($B11="","","CO-"&amp;TEXT(ROW()-7,"00"))</f>
        <v/>
      </c>
      <c r="B11" s="42"/>
      <c r="C11" s="42"/>
      <c r="D11" s="42"/>
      <c r="E11" s="42"/>
      <c r="F11" s="44"/>
      <c r="G11" s="44"/>
      <c r="H11" s="29"/>
      <c r="I11" s="44"/>
      <c r="J11" s="44"/>
      <c r="K11" s="44"/>
      <c r="L11" s="52" t="str">
        <f aca="true">IF(OR($B11="",$K11=""),"",$K11-TODAY())</f>
        <v/>
      </c>
      <c r="M11" s="53" t="str">
        <f aca="false">IF($B11="","",IF($K11="","Vitalício / sem prazo",IF($L11&lt;0,"Vencido",IF($L11&lt;=Listas!$G$4,"Vence em breve","Ativo"))))</f>
        <v/>
      </c>
      <c r="N11" s="54"/>
      <c r="O11" s="54"/>
      <c r="P11" s="33" t="str">
        <f aca="false">IF($B11="","",IF(N($N11)=0,0,MIN(1,N($O11)/$N11)))</f>
        <v/>
      </c>
      <c r="Q11" s="43"/>
      <c r="R11" s="43"/>
      <c r="S11" s="42"/>
      <c r="T11" s="42"/>
      <c r="U11" s="42"/>
      <c r="V11" s="5"/>
    </row>
    <row r="12" customFormat="false" ht="21" hidden="false" customHeight="true" outlineLevel="0" collapsed="false">
      <c r="A12" s="31" t="str">
        <f aca="false">IF($B12="","","CO-"&amp;TEXT(ROW()-7,"00"))</f>
        <v/>
      </c>
      <c r="B12" s="42"/>
      <c r="C12" s="42"/>
      <c r="D12" s="42"/>
      <c r="E12" s="42"/>
      <c r="F12" s="44"/>
      <c r="G12" s="44"/>
      <c r="H12" s="29"/>
      <c r="I12" s="44"/>
      <c r="J12" s="44"/>
      <c r="K12" s="44"/>
      <c r="L12" s="52" t="str">
        <f aca="true">IF(OR($B12="",$K12=""),"",$K12-TODAY())</f>
        <v/>
      </c>
      <c r="M12" s="53" t="str">
        <f aca="false">IF($B12="","",IF($K12="","Vitalício / sem prazo",IF($L12&lt;0,"Vencido",IF($L12&lt;=Listas!$G$4,"Vence em breve","Ativo"))))</f>
        <v/>
      </c>
      <c r="N12" s="54"/>
      <c r="O12" s="54"/>
      <c r="P12" s="33" t="str">
        <f aca="false">IF($B12="","",IF(N($N12)=0,0,MIN(1,N($O12)/$N12)))</f>
        <v/>
      </c>
      <c r="Q12" s="43"/>
      <c r="R12" s="43"/>
      <c r="S12" s="42"/>
      <c r="T12" s="42"/>
      <c r="U12" s="42"/>
      <c r="V12" s="5"/>
    </row>
    <row r="13" customFormat="false" ht="21" hidden="false" customHeight="true" outlineLevel="0" collapsed="false">
      <c r="A13" s="31" t="str">
        <f aca="false">IF($B13="","","CO-"&amp;TEXT(ROW()-7,"00"))</f>
        <v/>
      </c>
      <c r="B13" s="42"/>
      <c r="C13" s="42"/>
      <c r="D13" s="42"/>
      <c r="E13" s="42"/>
      <c r="F13" s="44"/>
      <c r="G13" s="44"/>
      <c r="H13" s="29"/>
      <c r="I13" s="44"/>
      <c r="J13" s="44"/>
      <c r="K13" s="44"/>
      <c r="L13" s="52" t="str">
        <f aca="true">IF(OR($B13="",$K13=""),"",$K13-TODAY())</f>
        <v/>
      </c>
      <c r="M13" s="53" t="str">
        <f aca="false">IF($B13="","",IF($K13="","Vitalício / sem prazo",IF($L13&lt;0,"Vencido",IF($L13&lt;=Listas!$G$4,"Vence em breve","Ativo"))))</f>
        <v/>
      </c>
      <c r="N13" s="54"/>
      <c r="O13" s="54"/>
      <c r="P13" s="33" t="str">
        <f aca="false">IF($B13="","",IF(N($N13)=0,0,MIN(1,N($O13)/$N13)))</f>
        <v/>
      </c>
      <c r="Q13" s="43"/>
      <c r="R13" s="43"/>
      <c r="S13" s="42"/>
      <c r="T13" s="42"/>
      <c r="U13" s="42"/>
      <c r="V13" s="5"/>
    </row>
    <row r="14" customFormat="false" ht="21" hidden="false" customHeight="true" outlineLevel="0" collapsed="false">
      <c r="A14" s="31" t="str">
        <f aca="false">IF($B14="","","CO-"&amp;TEXT(ROW()-7,"00"))</f>
        <v/>
      </c>
      <c r="B14" s="42"/>
      <c r="C14" s="42"/>
      <c r="D14" s="42"/>
      <c r="E14" s="42"/>
      <c r="F14" s="44"/>
      <c r="G14" s="44"/>
      <c r="H14" s="29"/>
      <c r="I14" s="44"/>
      <c r="J14" s="44"/>
      <c r="K14" s="44"/>
      <c r="L14" s="52" t="str">
        <f aca="true">IF(OR($B14="",$K14=""),"",$K14-TODAY())</f>
        <v/>
      </c>
      <c r="M14" s="53" t="str">
        <f aca="false">IF($B14="","",IF($K14="","Vitalício / sem prazo",IF($L14&lt;0,"Vencido",IF($L14&lt;=Listas!$G$4,"Vence em breve","Ativo"))))</f>
        <v/>
      </c>
      <c r="N14" s="54"/>
      <c r="O14" s="54"/>
      <c r="P14" s="33" t="str">
        <f aca="false">IF($B14="","",IF(N($N14)=0,0,MIN(1,N($O14)/$N14)))</f>
        <v/>
      </c>
      <c r="Q14" s="43"/>
      <c r="R14" s="43"/>
      <c r="S14" s="42"/>
      <c r="T14" s="42"/>
      <c r="U14" s="42"/>
      <c r="V14" s="5"/>
    </row>
    <row r="15" customFormat="false" ht="21" hidden="false" customHeight="true" outlineLevel="0" collapsed="false">
      <c r="A15" s="31" t="str">
        <f aca="false">IF($B15="","","CO-"&amp;TEXT(ROW()-7,"00"))</f>
        <v/>
      </c>
      <c r="B15" s="42"/>
      <c r="C15" s="42"/>
      <c r="D15" s="42"/>
      <c r="E15" s="42"/>
      <c r="F15" s="44"/>
      <c r="G15" s="44"/>
      <c r="H15" s="29"/>
      <c r="I15" s="44"/>
      <c r="J15" s="44"/>
      <c r="K15" s="44"/>
      <c r="L15" s="52" t="str">
        <f aca="true">IF(OR($B15="",$K15=""),"",$K15-TODAY())</f>
        <v/>
      </c>
      <c r="M15" s="53" t="str">
        <f aca="false">IF($B15="","",IF($K15="","Vitalício / sem prazo",IF($L15&lt;0,"Vencido",IF($L15&lt;=Listas!$G$4,"Vence em breve","Ativo"))))</f>
        <v/>
      </c>
      <c r="N15" s="54"/>
      <c r="O15" s="54"/>
      <c r="P15" s="33" t="str">
        <f aca="false">IF($B15="","",IF(N($N15)=0,0,MIN(1,N($O15)/$N15)))</f>
        <v/>
      </c>
      <c r="Q15" s="43"/>
      <c r="R15" s="43"/>
      <c r="S15" s="42"/>
      <c r="T15" s="42"/>
      <c r="U15" s="42"/>
      <c r="V15" s="5"/>
    </row>
    <row r="16" customFormat="false" ht="21" hidden="false" customHeight="true" outlineLevel="0" collapsed="false">
      <c r="A16" s="31" t="str">
        <f aca="false">IF($B16="","","CO-"&amp;TEXT(ROW()-7,"00"))</f>
        <v/>
      </c>
      <c r="B16" s="42"/>
      <c r="C16" s="42"/>
      <c r="D16" s="42"/>
      <c r="E16" s="42"/>
      <c r="F16" s="44"/>
      <c r="G16" s="44"/>
      <c r="H16" s="29"/>
      <c r="I16" s="44"/>
      <c r="J16" s="44"/>
      <c r="K16" s="44"/>
      <c r="L16" s="52" t="str">
        <f aca="true">IF(OR($B16="",$K16=""),"",$K16-TODAY())</f>
        <v/>
      </c>
      <c r="M16" s="53" t="str">
        <f aca="false">IF($B16="","",IF($K16="","Vitalício / sem prazo",IF($L16&lt;0,"Vencido",IF($L16&lt;=Listas!$G$4,"Vence em breve","Ativo"))))</f>
        <v/>
      </c>
      <c r="N16" s="54"/>
      <c r="O16" s="54"/>
      <c r="P16" s="33" t="str">
        <f aca="false">IF($B16="","",IF(N($N16)=0,0,MIN(1,N($O16)/$N16)))</f>
        <v/>
      </c>
      <c r="Q16" s="43"/>
      <c r="R16" s="43"/>
      <c r="S16" s="42"/>
      <c r="T16" s="42"/>
      <c r="U16" s="42"/>
      <c r="V16" s="5"/>
    </row>
    <row r="17" customFormat="false" ht="21" hidden="false" customHeight="true" outlineLevel="0" collapsed="false">
      <c r="A17" s="31" t="str">
        <f aca="false">IF($B17="","","CO-"&amp;TEXT(ROW()-7,"00"))</f>
        <v/>
      </c>
      <c r="B17" s="42"/>
      <c r="C17" s="42"/>
      <c r="D17" s="42"/>
      <c r="E17" s="42"/>
      <c r="F17" s="44"/>
      <c r="G17" s="44"/>
      <c r="H17" s="29"/>
      <c r="I17" s="44"/>
      <c r="J17" s="44"/>
      <c r="K17" s="44"/>
      <c r="L17" s="52" t="str">
        <f aca="true">IF(OR($B17="",$K17=""),"",$K17-TODAY())</f>
        <v/>
      </c>
      <c r="M17" s="53" t="str">
        <f aca="false">IF($B17="","",IF($K17="","Vitalício / sem prazo",IF($L17&lt;0,"Vencido",IF($L17&lt;=Listas!$G$4,"Vence em breve","Ativo"))))</f>
        <v/>
      </c>
      <c r="N17" s="54"/>
      <c r="O17" s="54"/>
      <c r="P17" s="33" t="str">
        <f aca="false">IF($B17="","",IF(N($N17)=0,0,MIN(1,N($O17)/$N17)))</f>
        <v/>
      </c>
      <c r="Q17" s="43"/>
      <c r="R17" s="43"/>
      <c r="S17" s="42"/>
      <c r="T17" s="42"/>
      <c r="U17" s="42"/>
      <c r="V17" s="5"/>
    </row>
    <row r="18" customFormat="false" ht="21" hidden="false" customHeight="true" outlineLevel="0" collapsed="false">
      <c r="A18" s="31" t="str">
        <f aca="false">IF($B18="","","CO-"&amp;TEXT(ROW()-7,"00"))</f>
        <v/>
      </c>
      <c r="B18" s="42"/>
      <c r="C18" s="42"/>
      <c r="D18" s="42"/>
      <c r="E18" s="42"/>
      <c r="F18" s="44"/>
      <c r="G18" s="44"/>
      <c r="H18" s="29"/>
      <c r="I18" s="44"/>
      <c r="J18" s="44"/>
      <c r="K18" s="44"/>
      <c r="L18" s="52" t="str">
        <f aca="true">IF(OR($B18="",$K18=""),"",$K18-TODAY())</f>
        <v/>
      </c>
      <c r="M18" s="53" t="str">
        <f aca="false">IF($B18="","",IF($K18="","Vitalício / sem prazo",IF($L18&lt;0,"Vencido",IF($L18&lt;=Listas!$G$4,"Vence em breve","Ativo"))))</f>
        <v/>
      </c>
      <c r="N18" s="54"/>
      <c r="O18" s="54"/>
      <c r="P18" s="33" t="str">
        <f aca="false">IF($B18="","",IF(N($N18)=0,0,MIN(1,N($O18)/$N18)))</f>
        <v/>
      </c>
      <c r="Q18" s="43"/>
      <c r="R18" s="43"/>
      <c r="S18" s="42"/>
      <c r="T18" s="42"/>
      <c r="U18" s="42"/>
      <c r="V18" s="5"/>
    </row>
    <row r="19" customFormat="false" ht="21" hidden="false" customHeight="true" outlineLevel="0" collapsed="false">
      <c r="A19" s="31" t="str">
        <f aca="false">IF($B19="","","CO-"&amp;TEXT(ROW()-7,"00"))</f>
        <v/>
      </c>
      <c r="B19" s="42"/>
      <c r="C19" s="42"/>
      <c r="D19" s="42"/>
      <c r="E19" s="42"/>
      <c r="F19" s="44"/>
      <c r="G19" s="44"/>
      <c r="H19" s="29"/>
      <c r="I19" s="44"/>
      <c r="J19" s="44"/>
      <c r="K19" s="44"/>
      <c r="L19" s="52" t="str">
        <f aca="true">IF(OR($B19="",$K19=""),"",$K19-TODAY())</f>
        <v/>
      </c>
      <c r="M19" s="53" t="str">
        <f aca="false">IF($B19="","",IF($K19="","Vitalício / sem prazo",IF($L19&lt;0,"Vencido",IF($L19&lt;=Listas!$G$4,"Vence em breve","Ativo"))))</f>
        <v/>
      </c>
      <c r="N19" s="54"/>
      <c r="O19" s="54"/>
      <c r="P19" s="33" t="str">
        <f aca="false">IF($B19="","",IF(N($N19)=0,0,MIN(1,N($O19)/$N19)))</f>
        <v/>
      </c>
      <c r="Q19" s="43"/>
      <c r="R19" s="43"/>
      <c r="S19" s="42"/>
      <c r="T19" s="42"/>
      <c r="U19" s="42"/>
      <c r="V19" s="5"/>
    </row>
    <row r="20" customFormat="false" ht="21" hidden="false" customHeight="true" outlineLevel="0" collapsed="false">
      <c r="A20" s="31" t="str">
        <f aca="false">IF($B20="","","CO-"&amp;TEXT(ROW()-7,"00"))</f>
        <v/>
      </c>
      <c r="B20" s="42"/>
      <c r="C20" s="42"/>
      <c r="D20" s="42"/>
      <c r="E20" s="42"/>
      <c r="F20" s="44"/>
      <c r="G20" s="44"/>
      <c r="H20" s="29"/>
      <c r="I20" s="44"/>
      <c r="J20" s="44"/>
      <c r="K20" s="44"/>
      <c r="L20" s="52" t="str">
        <f aca="true">IF(OR($B20="",$K20=""),"",$K20-TODAY())</f>
        <v/>
      </c>
      <c r="M20" s="53" t="str">
        <f aca="false">IF($B20="","",IF($K20="","Vitalício / sem prazo",IF($L20&lt;0,"Vencido",IF($L20&lt;=Listas!$G$4,"Vence em breve","Ativo"))))</f>
        <v/>
      </c>
      <c r="N20" s="54"/>
      <c r="O20" s="54"/>
      <c r="P20" s="33" t="str">
        <f aca="false">IF($B20="","",IF(N($N20)=0,0,MIN(1,N($O20)/$N20)))</f>
        <v/>
      </c>
      <c r="Q20" s="43"/>
      <c r="R20" s="43"/>
      <c r="S20" s="42"/>
      <c r="T20" s="42"/>
      <c r="U20" s="42"/>
      <c r="V20" s="5"/>
    </row>
    <row r="21" customFormat="false" ht="21" hidden="false" customHeight="true" outlineLevel="0" collapsed="false">
      <c r="A21" s="31" t="str">
        <f aca="false">IF($B21="","","CO-"&amp;TEXT(ROW()-7,"00"))</f>
        <v/>
      </c>
      <c r="B21" s="42"/>
      <c r="C21" s="42"/>
      <c r="D21" s="42"/>
      <c r="E21" s="42"/>
      <c r="F21" s="44"/>
      <c r="G21" s="44"/>
      <c r="H21" s="29"/>
      <c r="I21" s="44"/>
      <c r="J21" s="44"/>
      <c r="K21" s="44"/>
      <c r="L21" s="52" t="str">
        <f aca="true">IF(OR($B21="",$K21=""),"",$K21-TODAY())</f>
        <v/>
      </c>
      <c r="M21" s="53" t="str">
        <f aca="false">IF($B21="","",IF($K21="","Vitalício / sem prazo",IF($L21&lt;0,"Vencido",IF($L21&lt;=Listas!$G$4,"Vence em breve","Ativo"))))</f>
        <v/>
      </c>
      <c r="N21" s="54"/>
      <c r="O21" s="54"/>
      <c r="P21" s="33" t="str">
        <f aca="false">IF($B21="","",IF(N($N21)=0,0,MIN(1,N($O21)/$N21)))</f>
        <v/>
      </c>
      <c r="Q21" s="43"/>
      <c r="R21" s="43"/>
      <c r="S21" s="42"/>
      <c r="T21" s="42"/>
      <c r="U21" s="42"/>
      <c r="V21" s="5"/>
    </row>
    <row r="22" customFormat="false" ht="21" hidden="false" customHeight="true" outlineLevel="0" collapsed="false">
      <c r="A22" s="31" t="str">
        <f aca="false">IF($B22="","","CO-"&amp;TEXT(ROW()-7,"00"))</f>
        <v/>
      </c>
      <c r="B22" s="42"/>
      <c r="C22" s="42"/>
      <c r="D22" s="42"/>
      <c r="E22" s="42"/>
      <c r="F22" s="44"/>
      <c r="G22" s="44"/>
      <c r="H22" s="29"/>
      <c r="I22" s="44"/>
      <c r="J22" s="44"/>
      <c r="K22" s="44"/>
      <c r="L22" s="52" t="str">
        <f aca="true">IF(OR($B22="",$K22=""),"",$K22-TODAY())</f>
        <v/>
      </c>
      <c r="M22" s="53" t="str">
        <f aca="false">IF($B22="","",IF($K22="","Vitalício / sem prazo",IF($L22&lt;0,"Vencido",IF($L22&lt;=Listas!$G$4,"Vence em breve","Ativo"))))</f>
        <v/>
      </c>
      <c r="N22" s="54"/>
      <c r="O22" s="54"/>
      <c r="P22" s="33" t="str">
        <f aca="false">IF($B22="","",IF(N($N22)=0,0,MIN(1,N($O22)/$N22)))</f>
        <v/>
      </c>
      <c r="Q22" s="43"/>
      <c r="R22" s="43"/>
      <c r="S22" s="42"/>
      <c r="T22" s="42"/>
      <c r="U22" s="42"/>
      <c r="V22" s="5"/>
    </row>
    <row r="23" customFormat="false" ht="21" hidden="false" customHeight="true" outlineLevel="0" collapsed="false">
      <c r="A23" s="31" t="str">
        <f aca="false">IF($B23="","","CO-"&amp;TEXT(ROW()-7,"00"))</f>
        <v/>
      </c>
      <c r="B23" s="42"/>
      <c r="C23" s="42"/>
      <c r="D23" s="42"/>
      <c r="E23" s="42"/>
      <c r="F23" s="44"/>
      <c r="G23" s="44"/>
      <c r="H23" s="29"/>
      <c r="I23" s="44"/>
      <c r="J23" s="44"/>
      <c r="K23" s="44"/>
      <c r="L23" s="52" t="str">
        <f aca="true">IF(OR($B23="",$K23=""),"",$K23-TODAY())</f>
        <v/>
      </c>
      <c r="M23" s="53" t="str">
        <f aca="false">IF($B23="","",IF($K23="","Vitalício / sem prazo",IF($L23&lt;0,"Vencido",IF($L23&lt;=Listas!$G$4,"Vence em breve","Ativo"))))</f>
        <v/>
      </c>
      <c r="N23" s="54"/>
      <c r="O23" s="54"/>
      <c r="P23" s="33" t="str">
        <f aca="false">IF($B23="","",IF(N($N23)=0,0,MIN(1,N($O23)/$N23)))</f>
        <v/>
      </c>
      <c r="Q23" s="43"/>
      <c r="R23" s="43"/>
      <c r="S23" s="42"/>
      <c r="T23" s="42"/>
      <c r="U23" s="42"/>
      <c r="V23" s="5"/>
    </row>
    <row r="24" customFormat="false" ht="21" hidden="false" customHeight="true" outlineLevel="0" collapsed="false">
      <c r="A24" s="31" t="str">
        <f aca="false">IF($B24="","","CO-"&amp;TEXT(ROW()-7,"00"))</f>
        <v/>
      </c>
      <c r="B24" s="42"/>
      <c r="C24" s="42"/>
      <c r="D24" s="42"/>
      <c r="E24" s="42"/>
      <c r="F24" s="44"/>
      <c r="G24" s="44"/>
      <c r="H24" s="29"/>
      <c r="I24" s="44"/>
      <c r="J24" s="44"/>
      <c r="K24" s="44"/>
      <c r="L24" s="52" t="str">
        <f aca="true">IF(OR($B24="",$K24=""),"",$K24-TODAY())</f>
        <v/>
      </c>
      <c r="M24" s="53" t="str">
        <f aca="false">IF($B24="","",IF($K24="","Vitalício / sem prazo",IF($L24&lt;0,"Vencido",IF($L24&lt;=Listas!$G$4,"Vence em breve","Ativo"))))</f>
        <v/>
      </c>
      <c r="N24" s="54"/>
      <c r="O24" s="54"/>
      <c r="P24" s="33" t="str">
        <f aca="false">IF($B24="","",IF(N($N24)=0,0,MIN(1,N($O24)/$N24)))</f>
        <v/>
      </c>
      <c r="Q24" s="43"/>
      <c r="R24" s="43"/>
      <c r="S24" s="42"/>
      <c r="T24" s="42"/>
      <c r="U24" s="42"/>
      <c r="V24" s="5"/>
    </row>
    <row r="25" customFormat="false" ht="21" hidden="false" customHeight="true" outlineLevel="0" collapsed="false">
      <c r="A25" s="31" t="str">
        <f aca="false">IF($B25="","","CO-"&amp;TEXT(ROW()-7,"00"))</f>
        <v/>
      </c>
      <c r="B25" s="42"/>
      <c r="C25" s="42"/>
      <c r="D25" s="42"/>
      <c r="E25" s="42"/>
      <c r="F25" s="44"/>
      <c r="G25" s="44"/>
      <c r="H25" s="29"/>
      <c r="I25" s="44"/>
      <c r="J25" s="44"/>
      <c r="K25" s="44"/>
      <c r="L25" s="52" t="str">
        <f aca="true">IF(OR($B25="",$K25=""),"",$K25-TODAY())</f>
        <v/>
      </c>
      <c r="M25" s="53" t="str">
        <f aca="false">IF($B25="","",IF($K25="","Vitalício / sem prazo",IF($L25&lt;0,"Vencido",IF($L25&lt;=Listas!$G$4,"Vence em breve","Ativo"))))</f>
        <v/>
      </c>
      <c r="N25" s="54"/>
      <c r="O25" s="54"/>
      <c r="P25" s="33" t="str">
        <f aca="false">IF($B25="","",IF(N($N25)=0,0,MIN(1,N($O25)/$N25)))</f>
        <v/>
      </c>
      <c r="Q25" s="43"/>
      <c r="R25" s="43"/>
      <c r="S25" s="42"/>
      <c r="T25" s="42"/>
      <c r="U25" s="42"/>
      <c r="V25" s="5"/>
    </row>
    <row r="26" customFormat="false" ht="21" hidden="false" customHeight="true" outlineLevel="0" collapsed="false">
      <c r="A26" s="31" t="str">
        <f aca="false">IF($B26="","","CO-"&amp;TEXT(ROW()-7,"00"))</f>
        <v/>
      </c>
      <c r="B26" s="42"/>
      <c r="C26" s="42"/>
      <c r="D26" s="42"/>
      <c r="E26" s="42"/>
      <c r="F26" s="44"/>
      <c r="G26" s="44"/>
      <c r="H26" s="29"/>
      <c r="I26" s="44"/>
      <c r="J26" s="44"/>
      <c r="K26" s="44"/>
      <c r="L26" s="52" t="str">
        <f aca="true">IF(OR($B26="",$K26=""),"",$K26-TODAY())</f>
        <v/>
      </c>
      <c r="M26" s="53" t="str">
        <f aca="false">IF($B26="","",IF($K26="","Vitalício / sem prazo",IF($L26&lt;0,"Vencido",IF($L26&lt;=Listas!$G$4,"Vence em breve","Ativo"))))</f>
        <v/>
      </c>
      <c r="N26" s="54"/>
      <c r="O26" s="54"/>
      <c r="P26" s="33" t="str">
        <f aca="false">IF($B26="","",IF(N($N26)=0,0,MIN(1,N($O26)/$N26)))</f>
        <v/>
      </c>
      <c r="Q26" s="43"/>
      <c r="R26" s="43"/>
      <c r="S26" s="42"/>
      <c r="T26" s="42"/>
      <c r="U26" s="42"/>
      <c r="V26" s="5"/>
    </row>
    <row r="27" customFormat="false" ht="21" hidden="false" customHeight="true" outlineLevel="0" collapsed="false">
      <c r="A27" s="31" t="str">
        <f aca="false">IF($B27="","","CO-"&amp;TEXT(ROW()-7,"00"))</f>
        <v/>
      </c>
      <c r="B27" s="42"/>
      <c r="C27" s="42"/>
      <c r="D27" s="42"/>
      <c r="E27" s="42"/>
      <c r="F27" s="44"/>
      <c r="G27" s="44"/>
      <c r="H27" s="29"/>
      <c r="I27" s="44"/>
      <c r="J27" s="44"/>
      <c r="K27" s="44"/>
      <c r="L27" s="52" t="str">
        <f aca="true">IF(OR($B27="",$K27=""),"",$K27-TODAY())</f>
        <v/>
      </c>
      <c r="M27" s="53" t="str">
        <f aca="false">IF($B27="","",IF($K27="","Vitalício / sem prazo",IF($L27&lt;0,"Vencido",IF($L27&lt;=Listas!$G$4,"Vence em breve","Ativo"))))</f>
        <v/>
      </c>
      <c r="N27" s="54"/>
      <c r="O27" s="54"/>
      <c r="P27" s="33" t="str">
        <f aca="false">IF($B27="","",IF(N($N27)=0,0,MIN(1,N($O27)/$N27)))</f>
        <v/>
      </c>
      <c r="Q27" s="43"/>
      <c r="R27" s="43"/>
      <c r="S27" s="42"/>
      <c r="T27" s="42"/>
      <c r="U27" s="42"/>
      <c r="V27" s="5"/>
    </row>
    <row r="28" customFormat="false" ht="21" hidden="false" customHeight="true" outlineLevel="0" collapsed="false">
      <c r="A28" s="31" t="str">
        <f aca="false">IF($B28="","","CO-"&amp;TEXT(ROW()-7,"00"))</f>
        <v/>
      </c>
      <c r="B28" s="42"/>
      <c r="C28" s="42"/>
      <c r="D28" s="42"/>
      <c r="E28" s="42"/>
      <c r="F28" s="44"/>
      <c r="G28" s="44"/>
      <c r="H28" s="29"/>
      <c r="I28" s="44"/>
      <c r="J28" s="44"/>
      <c r="K28" s="44"/>
      <c r="L28" s="52" t="str">
        <f aca="true">IF(OR($B28="",$K28=""),"",$K28-TODAY())</f>
        <v/>
      </c>
      <c r="M28" s="53" t="str">
        <f aca="false">IF($B28="","",IF($K28="","Vitalício / sem prazo",IF($L28&lt;0,"Vencido",IF($L28&lt;=Listas!$G$4,"Vence em breve","Ativo"))))</f>
        <v/>
      </c>
      <c r="N28" s="54"/>
      <c r="O28" s="54"/>
      <c r="P28" s="33" t="str">
        <f aca="false">IF($B28="","",IF(N($N28)=0,0,MIN(1,N($O28)/$N28)))</f>
        <v/>
      </c>
      <c r="Q28" s="43"/>
      <c r="R28" s="43"/>
      <c r="S28" s="42"/>
      <c r="T28" s="42"/>
      <c r="U28" s="42"/>
      <c r="V28" s="5"/>
    </row>
    <row r="29" customFormat="false" ht="21" hidden="false" customHeight="true" outlineLevel="0" collapsed="false">
      <c r="A29" s="31" t="str">
        <f aca="false">IF($B29="","","CO-"&amp;TEXT(ROW()-7,"00"))</f>
        <v/>
      </c>
      <c r="B29" s="42"/>
      <c r="C29" s="42"/>
      <c r="D29" s="42"/>
      <c r="E29" s="42"/>
      <c r="F29" s="44"/>
      <c r="G29" s="44"/>
      <c r="H29" s="29"/>
      <c r="I29" s="44"/>
      <c r="J29" s="44"/>
      <c r="K29" s="44"/>
      <c r="L29" s="52" t="str">
        <f aca="true">IF(OR($B29="",$K29=""),"",$K29-TODAY())</f>
        <v/>
      </c>
      <c r="M29" s="53" t="str">
        <f aca="false">IF($B29="","",IF($K29="","Vitalício / sem prazo",IF($L29&lt;0,"Vencido",IF($L29&lt;=Listas!$G$4,"Vence em breve","Ativo"))))</f>
        <v/>
      </c>
      <c r="N29" s="54"/>
      <c r="O29" s="54"/>
      <c r="P29" s="33" t="str">
        <f aca="false">IF($B29="","",IF(N($N29)=0,0,MIN(1,N($O29)/$N29)))</f>
        <v/>
      </c>
      <c r="Q29" s="43"/>
      <c r="R29" s="43"/>
      <c r="S29" s="42"/>
      <c r="T29" s="42"/>
      <c r="U29" s="42"/>
      <c r="V29" s="5"/>
    </row>
    <row r="30" customFormat="false" ht="21" hidden="false" customHeight="true" outlineLevel="0" collapsed="false">
      <c r="A30" s="31" t="str">
        <f aca="false">IF($B30="","","CO-"&amp;TEXT(ROW()-7,"00"))</f>
        <v/>
      </c>
      <c r="B30" s="42"/>
      <c r="C30" s="42"/>
      <c r="D30" s="42"/>
      <c r="E30" s="42"/>
      <c r="F30" s="44"/>
      <c r="G30" s="44"/>
      <c r="H30" s="29"/>
      <c r="I30" s="44"/>
      <c r="J30" s="44"/>
      <c r="K30" s="44"/>
      <c r="L30" s="52" t="str">
        <f aca="true">IF(OR($B30="",$K30=""),"",$K30-TODAY())</f>
        <v/>
      </c>
      <c r="M30" s="53" t="str">
        <f aca="false">IF($B30="","",IF($K30="","Vitalício / sem prazo",IF($L30&lt;0,"Vencido",IF($L30&lt;=Listas!$G$4,"Vence em breve","Ativo"))))</f>
        <v/>
      </c>
      <c r="N30" s="54"/>
      <c r="O30" s="54"/>
      <c r="P30" s="33" t="str">
        <f aca="false">IF($B30="","",IF(N($N30)=0,0,MIN(1,N($O30)/$N30)))</f>
        <v/>
      </c>
      <c r="Q30" s="43"/>
      <c r="R30" s="43"/>
      <c r="S30" s="42"/>
      <c r="T30" s="42"/>
      <c r="U30" s="42"/>
      <c r="V30" s="5"/>
    </row>
    <row r="31" customFormat="false" ht="21" hidden="false" customHeight="true" outlineLevel="0" collapsed="false">
      <c r="A31" s="31" t="str">
        <f aca="false">IF($B31="","","CO-"&amp;TEXT(ROW()-7,"00"))</f>
        <v/>
      </c>
      <c r="B31" s="42"/>
      <c r="C31" s="42"/>
      <c r="D31" s="42"/>
      <c r="E31" s="42"/>
      <c r="F31" s="44"/>
      <c r="G31" s="44"/>
      <c r="H31" s="29"/>
      <c r="I31" s="44"/>
      <c r="J31" s="44"/>
      <c r="K31" s="44"/>
      <c r="L31" s="52" t="str">
        <f aca="true">IF(OR($B31="",$K31=""),"",$K31-TODAY())</f>
        <v/>
      </c>
      <c r="M31" s="53" t="str">
        <f aca="false">IF($B31="","",IF($K31="","Vitalício / sem prazo",IF($L31&lt;0,"Vencido",IF($L31&lt;=Listas!$G$4,"Vence em breve","Ativo"))))</f>
        <v/>
      </c>
      <c r="N31" s="54"/>
      <c r="O31" s="54"/>
      <c r="P31" s="33" t="str">
        <f aca="false">IF($B31="","",IF(N($N31)=0,0,MIN(1,N($O31)/$N31)))</f>
        <v/>
      </c>
      <c r="Q31" s="43"/>
      <c r="R31" s="43"/>
      <c r="S31" s="42"/>
      <c r="T31" s="42"/>
      <c r="U31" s="42"/>
      <c r="V31" s="5"/>
    </row>
    <row r="32" customFormat="false" ht="21" hidden="false" customHeight="true" outlineLevel="0" collapsed="false">
      <c r="A32" s="31" t="str">
        <f aca="false">IF($B32="","","CO-"&amp;TEXT(ROW()-7,"00"))</f>
        <v/>
      </c>
      <c r="B32" s="42"/>
      <c r="C32" s="42"/>
      <c r="D32" s="42"/>
      <c r="E32" s="42"/>
      <c r="F32" s="44"/>
      <c r="G32" s="44"/>
      <c r="H32" s="29"/>
      <c r="I32" s="44"/>
      <c r="J32" s="44"/>
      <c r="K32" s="44"/>
      <c r="L32" s="52" t="str">
        <f aca="true">IF(OR($B32="",$K32=""),"",$K32-TODAY())</f>
        <v/>
      </c>
      <c r="M32" s="53" t="str">
        <f aca="false">IF($B32="","",IF($K32="","Vitalício / sem prazo",IF($L32&lt;0,"Vencido",IF($L32&lt;=Listas!$G$4,"Vence em breve","Ativo"))))</f>
        <v/>
      </c>
      <c r="N32" s="54"/>
      <c r="O32" s="54"/>
      <c r="P32" s="33" t="str">
        <f aca="false">IF($B32="","",IF(N($N32)=0,0,MIN(1,N($O32)/$N32)))</f>
        <v/>
      </c>
      <c r="Q32" s="43"/>
      <c r="R32" s="43"/>
      <c r="S32" s="42"/>
      <c r="T32" s="42"/>
      <c r="U32" s="42"/>
      <c r="V32" s="5"/>
    </row>
    <row r="33" customFormat="false" ht="21" hidden="false" customHeight="true" outlineLevel="0" collapsed="false">
      <c r="A33" s="31" t="str">
        <f aca="false">IF($B33="","","CO-"&amp;TEXT(ROW()-7,"00"))</f>
        <v/>
      </c>
      <c r="B33" s="42"/>
      <c r="C33" s="42"/>
      <c r="D33" s="42"/>
      <c r="E33" s="42"/>
      <c r="F33" s="44"/>
      <c r="G33" s="44"/>
      <c r="H33" s="29"/>
      <c r="I33" s="44"/>
      <c r="J33" s="44"/>
      <c r="K33" s="44"/>
      <c r="L33" s="52" t="str">
        <f aca="true">IF(OR($B33="",$K33=""),"",$K33-TODAY())</f>
        <v/>
      </c>
      <c r="M33" s="53" t="str">
        <f aca="false">IF($B33="","",IF($K33="","Vitalício / sem prazo",IF($L33&lt;0,"Vencido",IF($L33&lt;=Listas!$G$4,"Vence em breve","Ativo"))))</f>
        <v/>
      </c>
      <c r="N33" s="54"/>
      <c r="O33" s="54"/>
      <c r="P33" s="33" t="str">
        <f aca="false">IF($B33="","",IF(N($N33)=0,0,MIN(1,N($O33)/$N33)))</f>
        <v/>
      </c>
      <c r="Q33" s="43"/>
      <c r="R33" s="43"/>
      <c r="S33" s="42"/>
      <c r="T33" s="42"/>
      <c r="U33" s="42"/>
      <c r="V33" s="5"/>
    </row>
    <row r="34" customFormat="false" ht="21" hidden="false" customHeight="true" outlineLevel="0" collapsed="false">
      <c r="A34" s="31" t="str">
        <f aca="false">IF($B34="","","CO-"&amp;TEXT(ROW()-7,"00"))</f>
        <v/>
      </c>
      <c r="B34" s="42"/>
      <c r="C34" s="42"/>
      <c r="D34" s="42"/>
      <c r="E34" s="42"/>
      <c r="F34" s="44"/>
      <c r="G34" s="44"/>
      <c r="H34" s="29"/>
      <c r="I34" s="44"/>
      <c r="J34" s="44"/>
      <c r="K34" s="44"/>
      <c r="L34" s="52" t="str">
        <f aca="true">IF(OR($B34="",$K34=""),"",$K34-TODAY())</f>
        <v/>
      </c>
      <c r="M34" s="53" t="str">
        <f aca="false">IF($B34="","",IF($K34="","Vitalício / sem prazo",IF($L34&lt;0,"Vencido",IF($L34&lt;=Listas!$G$4,"Vence em breve","Ativo"))))</f>
        <v/>
      </c>
      <c r="N34" s="54"/>
      <c r="O34" s="54"/>
      <c r="P34" s="33" t="str">
        <f aca="false">IF($B34="","",IF(N($N34)=0,0,MIN(1,N($O34)/$N34)))</f>
        <v/>
      </c>
      <c r="Q34" s="43"/>
      <c r="R34" s="43"/>
      <c r="S34" s="42"/>
      <c r="T34" s="42"/>
      <c r="U34" s="42"/>
      <c r="V34" s="5"/>
    </row>
    <row r="35" customFormat="false" ht="21" hidden="false" customHeight="true" outlineLevel="0" collapsed="false">
      <c r="A35" s="31" t="str">
        <f aca="false">IF($B35="","","CO-"&amp;TEXT(ROW()-7,"00"))</f>
        <v/>
      </c>
      <c r="B35" s="42"/>
      <c r="C35" s="42"/>
      <c r="D35" s="42"/>
      <c r="E35" s="42"/>
      <c r="F35" s="44"/>
      <c r="G35" s="44"/>
      <c r="H35" s="29"/>
      <c r="I35" s="44"/>
      <c r="J35" s="44"/>
      <c r="K35" s="44"/>
      <c r="L35" s="52" t="str">
        <f aca="true">IF(OR($B35="",$K35=""),"",$K35-TODAY())</f>
        <v/>
      </c>
      <c r="M35" s="53" t="str">
        <f aca="false">IF($B35="","",IF($K35="","Vitalício / sem prazo",IF($L35&lt;0,"Vencido",IF($L35&lt;=Listas!$G$4,"Vence em breve","Ativo"))))</f>
        <v/>
      </c>
      <c r="N35" s="54"/>
      <c r="O35" s="54"/>
      <c r="P35" s="33" t="str">
        <f aca="false">IF($B35="","",IF(N($N35)=0,0,MIN(1,N($O35)/$N35)))</f>
        <v/>
      </c>
      <c r="Q35" s="43"/>
      <c r="R35" s="43"/>
      <c r="S35" s="42"/>
      <c r="T35" s="42"/>
      <c r="U35" s="42"/>
      <c r="V35" s="5"/>
    </row>
    <row r="36" customFormat="false" ht="21" hidden="false" customHeight="true" outlineLevel="0" collapsed="false">
      <c r="A36" s="31" t="str">
        <f aca="false">IF($B36="","","CO-"&amp;TEXT(ROW()-7,"00"))</f>
        <v/>
      </c>
      <c r="B36" s="42"/>
      <c r="C36" s="42"/>
      <c r="D36" s="42"/>
      <c r="E36" s="42"/>
      <c r="F36" s="44"/>
      <c r="G36" s="44"/>
      <c r="H36" s="29"/>
      <c r="I36" s="44"/>
      <c r="J36" s="44"/>
      <c r="K36" s="44"/>
      <c r="L36" s="52" t="str">
        <f aca="true">IF(OR($B36="",$K36=""),"",$K36-TODAY())</f>
        <v/>
      </c>
      <c r="M36" s="53" t="str">
        <f aca="false">IF($B36="","",IF($K36="","Vitalício / sem prazo",IF($L36&lt;0,"Vencido",IF($L36&lt;=Listas!$G$4,"Vence em breve","Ativo"))))</f>
        <v/>
      </c>
      <c r="N36" s="54"/>
      <c r="O36" s="54"/>
      <c r="P36" s="33" t="str">
        <f aca="false">IF($B36="","",IF(N($N36)=0,0,MIN(1,N($O36)/$N36)))</f>
        <v/>
      </c>
      <c r="Q36" s="43"/>
      <c r="R36" s="43"/>
      <c r="S36" s="42"/>
      <c r="T36" s="42"/>
      <c r="U36" s="42"/>
      <c r="V36" s="5"/>
    </row>
    <row r="37" customFormat="false" ht="21" hidden="false" customHeight="true" outlineLevel="0" collapsed="false">
      <c r="A37" s="31" t="str">
        <f aca="false">IF($B37="","","CO-"&amp;TEXT(ROW()-7,"00"))</f>
        <v/>
      </c>
      <c r="B37" s="42"/>
      <c r="C37" s="42"/>
      <c r="D37" s="42"/>
      <c r="E37" s="42"/>
      <c r="F37" s="44"/>
      <c r="G37" s="44"/>
      <c r="H37" s="29"/>
      <c r="I37" s="44"/>
      <c r="J37" s="44"/>
      <c r="K37" s="44"/>
      <c r="L37" s="52" t="str">
        <f aca="true">IF(OR($B37="",$K37=""),"",$K37-TODAY())</f>
        <v/>
      </c>
      <c r="M37" s="53" t="str">
        <f aca="false">IF($B37="","",IF($K37="","Vitalício / sem prazo",IF($L37&lt;0,"Vencido",IF($L37&lt;=Listas!$G$4,"Vence em breve","Ativo"))))</f>
        <v/>
      </c>
      <c r="N37" s="54"/>
      <c r="O37" s="54"/>
      <c r="P37" s="33" t="str">
        <f aca="false">IF($B37="","",IF(N($N37)=0,0,MIN(1,N($O37)/$N37)))</f>
        <v/>
      </c>
      <c r="Q37" s="43"/>
      <c r="R37" s="43"/>
      <c r="S37" s="42"/>
      <c r="T37" s="42"/>
      <c r="U37" s="42"/>
      <c r="V37" s="5"/>
    </row>
    <row r="38" customFormat="false" ht="21" hidden="false" customHeight="true" outlineLevel="0" collapsed="false">
      <c r="A38" s="31" t="str">
        <f aca="false">IF($B38="","","CO-"&amp;TEXT(ROW()-7,"00"))</f>
        <v/>
      </c>
      <c r="B38" s="42"/>
      <c r="C38" s="42"/>
      <c r="D38" s="42"/>
      <c r="E38" s="42"/>
      <c r="F38" s="44"/>
      <c r="G38" s="44"/>
      <c r="H38" s="29"/>
      <c r="I38" s="44"/>
      <c r="J38" s="44"/>
      <c r="K38" s="44"/>
      <c r="L38" s="52" t="str">
        <f aca="true">IF(OR($B38="",$K38=""),"",$K38-TODAY())</f>
        <v/>
      </c>
      <c r="M38" s="53" t="str">
        <f aca="false">IF($B38="","",IF($K38="","Vitalício / sem prazo",IF($L38&lt;0,"Vencido",IF($L38&lt;=Listas!$G$4,"Vence em breve","Ativo"))))</f>
        <v/>
      </c>
      <c r="N38" s="54"/>
      <c r="O38" s="54"/>
      <c r="P38" s="33" t="str">
        <f aca="false">IF($B38="","",IF(N($N38)=0,0,MIN(1,N($O38)/$N38)))</f>
        <v/>
      </c>
      <c r="Q38" s="43"/>
      <c r="R38" s="43"/>
      <c r="S38" s="42"/>
      <c r="T38" s="42"/>
      <c r="U38" s="42"/>
      <c r="V38" s="5"/>
    </row>
    <row r="39" customFormat="false" ht="21" hidden="false" customHeight="true" outlineLevel="0" collapsed="false">
      <c r="A39" s="31" t="str">
        <f aca="false">IF($B39="","","CO-"&amp;TEXT(ROW()-7,"00"))</f>
        <v/>
      </c>
      <c r="B39" s="42"/>
      <c r="C39" s="42"/>
      <c r="D39" s="42"/>
      <c r="E39" s="42"/>
      <c r="F39" s="44"/>
      <c r="G39" s="44"/>
      <c r="H39" s="29"/>
      <c r="I39" s="44"/>
      <c r="J39" s="44"/>
      <c r="K39" s="44"/>
      <c r="L39" s="52" t="str">
        <f aca="true">IF(OR($B39="",$K39=""),"",$K39-TODAY())</f>
        <v/>
      </c>
      <c r="M39" s="53" t="str">
        <f aca="false">IF($B39="","",IF($K39="","Vitalício / sem prazo",IF($L39&lt;0,"Vencido",IF($L39&lt;=Listas!$G$4,"Vence em breve","Ativo"))))</f>
        <v/>
      </c>
      <c r="N39" s="54"/>
      <c r="O39" s="54"/>
      <c r="P39" s="33" t="str">
        <f aca="false">IF($B39="","",IF(N($N39)=0,0,MIN(1,N($O39)/$N39)))</f>
        <v/>
      </c>
      <c r="Q39" s="43"/>
      <c r="R39" s="43"/>
      <c r="S39" s="42"/>
      <c r="T39" s="42"/>
      <c r="U39" s="42"/>
      <c r="V39" s="5"/>
    </row>
    <row r="40" customFormat="false" ht="21" hidden="false" customHeight="true" outlineLevel="0" collapsed="false">
      <c r="A40" s="31" t="str">
        <f aca="false">IF($B40="","","CO-"&amp;TEXT(ROW()-7,"00"))</f>
        <v/>
      </c>
      <c r="B40" s="42"/>
      <c r="C40" s="42"/>
      <c r="D40" s="42"/>
      <c r="E40" s="42"/>
      <c r="F40" s="44"/>
      <c r="G40" s="44"/>
      <c r="H40" s="29"/>
      <c r="I40" s="44"/>
      <c r="J40" s="44"/>
      <c r="K40" s="44"/>
      <c r="L40" s="52" t="str">
        <f aca="true">IF(OR($B40="",$K40=""),"",$K40-TODAY())</f>
        <v/>
      </c>
      <c r="M40" s="53" t="str">
        <f aca="false">IF($B40="","",IF($K40="","Vitalício / sem prazo",IF($L40&lt;0,"Vencido",IF($L40&lt;=Listas!$G$4,"Vence em breve","Ativo"))))</f>
        <v/>
      </c>
      <c r="N40" s="54"/>
      <c r="O40" s="54"/>
      <c r="P40" s="33" t="str">
        <f aca="false">IF($B40="","",IF(N($N40)=0,0,MIN(1,N($O40)/$N40)))</f>
        <v/>
      </c>
      <c r="Q40" s="43"/>
      <c r="R40" s="43"/>
      <c r="S40" s="42"/>
      <c r="T40" s="42"/>
      <c r="U40" s="42"/>
      <c r="V40" s="5"/>
    </row>
    <row r="41" customFormat="false" ht="21" hidden="false" customHeight="true" outlineLevel="0" collapsed="false">
      <c r="A41" s="31" t="str">
        <f aca="false">IF($B41="","","CO-"&amp;TEXT(ROW()-7,"00"))</f>
        <v/>
      </c>
      <c r="B41" s="42"/>
      <c r="C41" s="42"/>
      <c r="D41" s="42"/>
      <c r="E41" s="42"/>
      <c r="F41" s="44"/>
      <c r="G41" s="44"/>
      <c r="H41" s="29"/>
      <c r="I41" s="44"/>
      <c r="J41" s="44"/>
      <c r="K41" s="44"/>
      <c r="L41" s="52" t="str">
        <f aca="true">IF(OR($B41="",$K41=""),"",$K41-TODAY())</f>
        <v/>
      </c>
      <c r="M41" s="53" t="str">
        <f aca="false">IF($B41="","",IF($K41="","Vitalício / sem prazo",IF($L41&lt;0,"Vencido",IF($L41&lt;=Listas!$G$4,"Vence em breve","Ativo"))))</f>
        <v/>
      </c>
      <c r="N41" s="54"/>
      <c r="O41" s="54"/>
      <c r="P41" s="33" t="str">
        <f aca="false">IF($B41="","",IF(N($N41)=0,0,MIN(1,N($O41)/$N41)))</f>
        <v/>
      </c>
      <c r="Q41" s="43"/>
      <c r="R41" s="43"/>
      <c r="S41" s="42"/>
      <c r="T41" s="42"/>
      <c r="U41" s="42"/>
      <c r="V41" s="5"/>
    </row>
    <row r="42" customFormat="false" ht="21" hidden="false" customHeight="true" outlineLevel="0" collapsed="false">
      <c r="A42" s="31" t="str">
        <f aca="false">IF($B42="","","CO-"&amp;TEXT(ROW()-7,"00"))</f>
        <v/>
      </c>
      <c r="B42" s="42"/>
      <c r="C42" s="42"/>
      <c r="D42" s="42"/>
      <c r="E42" s="42"/>
      <c r="F42" s="44"/>
      <c r="G42" s="44"/>
      <c r="H42" s="29"/>
      <c r="I42" s="44"/>
      <c r="J42" s="44"/>
      <c r="K42" s="44"/>
      <c r="L42" s="52" t="str">
        <f aca="true">IF(OR($B42="",$K42=""),"",$K42-TODAY())</f>
        <v/>
      </c>
      <c r="M42" s="53" t="str">
        <f aca="false">IF($B42="","",IF($K42="","Vitalício / sem prazo",IF($L42&lt;0,"Vencido",IF($L42&lt;=Listas!$G$4,"Vence em breve","Ativo"))))</f>
        <v/>
      </c>
      <c r="N42" s="54"/>
      <c r="O42" s="54"/>
      <c r="P42" s="33" t="str">
        <f aca="false">IF($B42="","",IF(N($N42)=0,0,MIN(1,N($O42)/$N42)))</f>
        <v/>
      </c>
      <c r="Q42" s="43"/>
      <c r="R42" s="43"/>
      <c r="S42" s="42"/>
      <c r="T42" s="42"/>
      <c r="U42" s="42"/>
      <c r="V42" s="5"/>
    </row>
    <row r="43" customFormat="false" ht="21" hidden="false" customHeight="true" outlineLevel="0" collapsed="false">
      <c r="A43" s="31" t="str">
        <f aca="false">IF($B43="","","CO-"&amp;TEXT(ROW()-7,"00"))</f>
        <v/>
      </c>
      <c r="B43" s="42"/>
      <c r="C43" s="42"/>
      <c r="D43" s="42"/>
      <c r="E43" s="42"/>
      <c r="F43" s="44"/>
      <c r="G43" s="44"/>
      <c r="H43" s="29"/>
      <c r="I43" s="44"/>
      <c r="J43" s="44"/>
      <c r="K43" s="44"/>
      <c r="L43" s="52" t="str">
        <f aca="true">IF(OR($B43="",$K43=""),"",$K43-TODAY())</f>
        <v/>
      </c>
      <c r="M43" s="53" t="str">
        <f aca="false">IF($B43="","",IF($K43="","Vitalício / sem prazo",IF($L43&lt;0,"Vencido",IF($L43&lt;=Listas!$G$4,"Vence em breve","Ativo"))))</f>
        <v/>
      </c>
      <c r="N43" s="54"/>
      <c r="O43" s="54"/>
      <c r="P43" s="33" t="str">
        <f aca="false">IF($B43="","",IF(N($N43)=0,0,MIN(1,N($O43)/$N43)))</f>
        <v/>
      </c>
      <c r="Q43" s="43"/>
      <c r="R43" s="43"/>
      <c r="S43" s="42"/>
      <c r="T43" s="42"/>
      <c r="U43" s="42"/>
      <c r="V43" s="5"/>
    </row>
    <row r="44" customFormat="false" ht="21" hidden="false" customHeight="true" outlineLevel="0" collapsed="false">
      <c r="A44" s="31" t="str">
        <f aca="false">IF($B44="","","CO-"&amp;TEXT(ROW()-7,"00"))</f>
        <v/>
      </c>
      <c r="B44" s="42"/>
      <c r="C44" s="42"/>
      <c r="D44" s="42"/>
      <c r="E44" s="42"/>
      <c r="F44" s="44"/>
      <c r="G44" s="44"/>
      <c r="H44" s="29"/>
      <c r="I44" s="44"/>
      <c r="J44" s="44"/>
      <c r="K44" s="44"/>
      <c r="L44" s="52" t="str">
        <f aca="true">IF(OR($B44="",$K44=""),"",$K44-TODAY())</f>
        <v/>
      </c>
      <c r="M44" s="53" t="str">
        <f aca="false">IF($B44="","",IF($K44="","Vitalício / sem prazo",IF($L44&lt;0,"Vencido",IF($L44&lt;=Listas!$G$4,"Vence em breve","Ativo"))))</f>
        <v/>
      </c>
      <c r="N44" s="54"/>
      <c r="O44" s="54"/>
      <c r="P44" s="33" t="str">
        <f aca="false">IF($B44="","",IF(N($N44)=0,0,MIN(1,N($O44)/$N44)))</f>
        <v/>
      </c>
      <c r="Q44" s="43"/>
      <c r="R44" s="43"/>
      <c r="S44" s="42"/>
      <c r="T44" s="42"/>
      <c r="U44" s="42"/>
      <c r="V44" s="5"/>
    </row>
    <row r="45" customFormat="false" ht="21" hidden="false" customHeight="true" outlineLevel="0" collapsed="false">
      <c r="A45" s="31" t="str">
        <f aca="false">IF($B45="","","CO-"&amp;TEXT(ROW()-7,"00"))</f>
        <v/>
      </c>
      <c r="B45" s="42"/>
      <c r="C45" s="42"/>
      <c r="D45" s="42"/>
      <c r="E45" s="42"/>
      <c r="F45" s="44"/>
      <c r="G45" s="44"/>
      <c r="H45" s="29"/>
      <c r="I45" s="44"/>
      <c r="J45" s="44"/>
      <c r="K45" s="44"/>
      <c r="L45" s="52" t="str">
        <f aca="true">IF(OR($B45="",$K45=""),"",$K45-TODAY())</f>
        <v/>
      </c>
      <c r="M45" s="53" t="str">
        <f aca="false">IF($B45="","",IF($K45="","Vitalício / sem prazo",IF($L45&lt;0,"Vencido",IF($L45&lt;=Listas!$G$4,"Vence em breve","Ativo"))))</f>
        <v/>
      </c>
      <c r="N45" s="54"/>
      <c r="O45" s="54"/>
      <c r="P45" s="33" t="str">
        <f aca="false">IF($B45="","",IF(N($N45)=0,0,MIN(1,N($O45)/$N45)))</f>
        <v/>
      </c>
      <c r="Q45" s="43"/>
      <c r="R45" s="43"/>
      <c r="S45" s="42"/>
      <c r="T45" s="42"/>
      <c r="U45" s="42"/>
      <c r="V45" s="5"/>
    </row>
    <row r="46" customFormat="false" ht="21" hidden="false" customHeight="true" outlineLevel="0" collapsed="false">
      <c r="A46" s="31" t="str">
        <f aca="false">IF($B46="","","CO-"&amp;TEXT(ROW()-7,"00"))</f>
        <v/>
      </c>
      <c r="B46" s="42"/>
      <c r="C46" s="42"/>
      <c r="D46" s="42"/>
      <c r="E46" s="42"/>
      <c r="F46" s="44"/>
      <c r="G46" s="44"/>
      <c r="H46" s="29"/>
      <c r="I46" s="44"/>
      <c r="J46" s="44"/>
      <c r="K46" s="44"/>
      <c r="L46" s="52" t="str">
        <f aca="true">IF(OR($B46="",$K46=""),"",$K46-TODAY())</f>
        <v/>
      </c>
      <c r="M46" s="53" t="str">
        <f aca="false">IF($B46="","",IF($K46="","Vitalício / sem prazo",IF($L46&lt;0,"Vencido",IF($L46&lt;=Listas!$G$4,"Vence em breve","Ativo"))))</f>
        <v/>
      </c>
      <c r="N46" s="54"/>
      <c r="O46" s="54"/>
      <c r="P46" s="33" t="str">
        <f aca="false">IF($B46="","",IF(N($N46)=0,0,MIN(1,N($O46)/$N46)))</f>
        <v/>
      </c>
      <c r="Q46" s="43"/>
      <c r="R46" s="43"/>
      <c r="S46" s="42"/>
      <c r="T46" s="42"/>
      <c r="U46" s="42"/>
      <c r="V46" s="5"/>
    </row>
    <row r="47" customFormat="false" ht="21" hidden="false" customHeight="true" outlineLevel="0" collapsed="false">
      <c r="A47" s="31" t="str">
        <f aca="false">IF($B47="","","CO-"&amp;TEXT(ROW()-7,"00"))</f>
        <v/>
      </c>
      <c r="B47" s="42"/>
      <c r="C47" s="42"/>
      <c r="D47" s="42"/>
      <c r="E47" s="42"/>
      <c r="F47" s="44"/>
      <c r="G47" s="44"/>
      <c r="H47" s="29"/>
      <c r="I47" s="44"/>
      <c r="J47" s="44"/>
      <c r="K47" s="44"/>
      <c r="L47" s="52" t="str">
        <f aca="true">IF(OR($B47="",$K47=""),"",$K47-TODAY())</f>
        <v/>
      </c>
      <c r="M47" s="53" t="str">
        <f aca="false">IF($B47="","",IF($K47="","Vitalício / sem prazo",IF($L47&lt;0,"Vencido",IF($L47&lt;=Listas!$G$4,"Vence em breve","Ativo"))))</f>
        <v/>
      </c>
      <c r="N47" s="54"/>
      <c r="O47" s="54"/>
      <c r="P47" s="33" t="str">
        <f aca="false">IF($B47="","",IF(N($N47)=0,0,MIN(1,N($O47)/$N47)))</f>
        <v/>
      </c>
      <c r="Q47" s="43"/>
      <c r="R47" s="43"/>
      <c r="S47" s="42"/>
      <c r="T47" s="42"/>
      <c r="U47" s="42"/>
      <c r="V47" s="5"/>
    </row>
  </sheetData>
  <autoFilter ref="A7:V47"/>
  <mergeCells count="16">
    <mergeCell ref="A1:V1"/>
    <mergeCell ref="A2:S2"/>
    <mergeCell ref="T2:V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A6:L6"/>
  </mergeCells>
  <conditionalFormatting sqref="Q8:Q47">
    <cfRule type="cellIs" priority="2" operator="equal" aboveAverage="0" equalAverage="0" bottom="0" percent="0" rank="0" text="" dxfId="11">
      <formula>"Concluído"</formula>
    </cfRule>
    <cfRule type="cellIs" priority="3" operator="equal" aboveAverage="0" equalAverage="0" bottom="0" percent="0" rank="0" text="" dxfId="12">
      <formula>"Em andamento"</formula>
    </cfRule>
    <cfRule type="cellIs" priority="4" operator="equal" aboveAverage="0" equalAverage="0" bottom="0" percent="0" rank="0" text="" dxfId="13">
      <formula>"Pausado"</formula>
    </cfRule>
  </conditionalFormatting>
  <conditionalFormatting sqref="R8:R47">
    <cfRule type="cellIs" priority="5" operator="equal" aboveAverage="0" equalAverage="0" bottom="0" percent="0" rank="0" text="" dxfId="14">
      <formula>"Alta"</formula>
    </cfRule>
  </conditionalFormatting>
  <conditionalFormatting sqref="P8:P47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{4051B819-954F-49FE-88BB-23ACBF83D25E}</x14:id>
        </ext>
      </extLst>
    </cfRule>
  </conditionalFormatting>
  <conditionalFormatting sqref="L8:M47">
    <cfRule type="expression" priority="7" aboveAverage="0" equalAverage="0" bottom="0" percent="0" rank="0" text="" dxfId="15">
      <formula>$M8="Vencido"</formula>
    </cfRule>
    <cfRule type="expression" priority="8" aboveAverage="0" equalAverage="0" bottom="0" percent="0" rank="0" text="" dxfId="16">
      <formula>$M8="Vence em breve"</formula>
    </cfRule>
    <cfRule type="expression" priority="9" aboveAverage="0" equalAverage="0" bottom="0" percent="0" rank="0" text="" dxfId="17">
      <formula>$M8="Ativo"</formula>
    </cfRule>
  </conditionalFormatting>
  <dataValidations count="4">
    <dataValidation allowBlank="true" error="Valor inválido para esta coluna." errorStyle="stop" errorTitle="Atenção" operator="greaterThan" showDropDown="false" showErrorMessage="true" showInputMessage="false" sqref="F8:G47 I8:K47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H8:H47 N8:O47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Q8:Q47" type="list">
      <formula1>Listas!$A$4:$A$7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R8:R47" type="list">
      <formula1>Listas!$B$4:$B$6</formula1>
      <formula2>0</formula2>
    </dataValidation>
  </dataValidations>
  <hyperlinks>
    <hyperlink ref="T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1B819-954F-49FE-88BB-23ACBF83D25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P8:P47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9A0"/>
    <pageSetUpPr fitToPage="true"/>
  </sheetPr>
  <dimension ref="A1:R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28"/>
    <col collapsed="false" customWidth="true" hidden="false" outlineLevel="0" max="18" min="18" style="0" width="36"/>
  </cols>
  <sheetData>
    <row r="1" customFormat="false" ht="37.5" hidden="false" customHeight="true" outlineLevel="0" collapsed="false">
      <c r="A1" s="17" t="s">
        <v>83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customFormat="false" ht="21.75" hidden="false" customHeight="true" outlineLevel="0" collapsed="false">
      <c r="A2" s="18" t="s">
        <v>130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 t="s">
        <v>52</v>
      </c>
      <c r="Q2" s="19"/>
      <c r="R2" s="19"/>
    </row>
    <row r="3" customFormat="false" ht="7.5" hidden="false" customHeight="true" outlineLevel="0" collapsed="false"/>
    <row r="4" customFormat="false" ht="19.5" hidden="false" customHeight="true" outlineLevel="0" collapsed="false">
      <c r="B4" s="20" t="s">
        <v>61</v>
      </c>
      <c r="C4" s="20"/>
      <c r="D4" s="20" t="s">
        <v>39</v>
      </c>
      <c r="E4" s="20"/>
      <c r="F4" s="20" t="s">
        <v>54</v>
      </c>
      <c r="G4" s="20"/>
      <c r="H4" s="20" t="s">
        <v>87</v>
      </c>
      <c r="I4" s="20"/>
      <c r="J4" s="20" t="s">
        <v>56</v>
      </c>
      <c r="K4" s="20"/>
      <c r="L4" s="20" t="s">
        <v>131</v>
      </c>
      <c r="M4" s="20"/>
    </row>
    <row r="5" customFormat="false" ht="30" hidden="false" customHeight="true" outlineLevel="0" collapsed="false">
      <c r="B5" s="48" t="n">
        <f aca="false">COUNTA(B8:B47)</f>
        <v>1</v>
      </c>
      <c r="C5" s="48"/>
      <c r="D5" s="48" t="n">
        <f aca="false">COUNTIF(N8:N47,"Em andamento")</f>
        <v>1</v>
      </c>
      <c r="E5" s="48"/>
      <c r="F5" s="48" t="n">
        <f aca="false">COUNTIF(N8:N47,"Concluído")</f>
        <v>0</v>
      </c>
      <c r="G5" s="48"/>
      <c r="H5" s="49" t="n">
        <f aca="false">SUM(H8:H47)</f>
        <v>49.9</v>
      </c>
      <c r="I5" s="49"/>
      <c r="J5" s="50" t="n">
        <f aca="false">IFERROR(AVERAGE(M8:M47),0)</f>
        <v>0.375</v>
      </c>
      <c r="K5" s="50"/>
      <c r="L5" s="55" t="n">
        <f aca="false">SUM(L8:L47)</f>
        <v>120</v>
      </c>
      <c r="M5" s="55"/>
    </row>
    <row r="6" customFormat="false" ht="18" hidden="false" customHeight="true" outlineLevel="0" collapsed="false">
      <c r="A6" s="51" t="s">
        <v>88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customFormat="false" ht="37.5" hidden="false" customHeight="true" outlineLevel="0" collapsed="false">
      <c r="A7" s="34" t="s">
        <v>89</v>
      </c>
      <c r="B7" s="27" t="s">
        <v>132</v>
      </c>
      <c r="C7" s="27" t="s">
        <v>133</v>
      </c>
      <c r="D7" s="27" t="s">
        <v>134</v>
      </c>
      <c r="E7" s="27" t="s">
        <v>135</v>
      </c>
      <c r="F7" s="27" t="s">
        <v>136</v>
      </c>
      <c r="G7" s="27" t="s">
        <v>93</v>
      </c>
      <c r="H7" s="27" t="s">
        <v>94</v>
      </c>
      <c r="I7" s="27" t="s">
        <v>95</v>
      </c>
      <c r="J7" s="27" t="s">
        <v>96</v>
      </c>
      <c r="K7" s="27" t="s">
        <v>137</v>
      </c>
      <c r="L7" s="27" t="s">
        <v>131</v>
      </c>
      <c r="M7" s="34" t="s">
        <v>102</v>
      </c>
      <c r="N7" s="27" t="s">
        <v>76</v>
      </c>
      <c r="O7" s="27" t="s">
        <v>103</v>
      </c>
      <c r="P7" s="27" t="s">
        <v>138</v>
      </c>
      <c r="Q7" s="27" t="s">
        <v>139</v>
      </c>
      <c r="R7" s="27" t="s">
        <v>107</v>
      </c>
    </row>
    <row r="8" customFormat="false" ht="21" hidden="false" customHeight="true" outlineLevel="0" collapsed="false">
      <c r="A8" s="31" t="str">
        <f aca="false">IF($B8="","","LV-"&amp;TEXT(ROW()-7,"00"))</f>
        <v>LV-01</v>
      </c>
      <c r="B8" s="42" t="s">
        <v>140</v>
      </c>
      <c r="C8" s="42" t="s">
        <v>141</v>
      </c>
      <c r="D8" s="42" t="s">
        <v>142</v>
      </c>
      <c r="E8" s="42" t="s">
        <v>143</v>
      </c>
      <c r="F8" s="43" t="s">
        <v>144</v>
      </c>
      <c r="G8" s="44" t="n">
        <v>46285</v>
      </c>
      <c r="H8" s="29" t="n">
        <v>49.9</v>
      </c>
      <c r="I8" s="44" t="n">
        <v>46290</v>
      </c>
      <c r="J8" s="44" t="n">
        <v>46341</v>
      </c>
      <c r="K8" s="54" t="n">
        <v>320</v>
      </c>
      <c r="L8" s="54" t="n">
        <v>120</v>
      </c>
      <c r="M8" s="33" t="n">
        <f aca="false">IF($B8="","",IF(N($K8)=0,0,MIN(1,N($L8)/$K8)))</f>
        <v>0.375</v>
      </c>
      <c r="N8" s="43" t="s">
        <v>39</v>
      </c>
      <c r="O8" s="43" t="s">
        <v>145</v>
      </c>
      <c r="P8" s="54"/>
      <c r="Q8" s="42" t="s">
        <v>146</v>
      </c>
      <c r="R8" s="5" t="s">
        <v>115</v>
      </c>
    </row>
    <row r="9" customFormat="false" ht="21" hidden="false" customHeight="true" outlineLevel="0" collapsed="false">
      <c r="A9" s="31" t="str">
        <f aca="false">IF($B9="","","LV-"&amp;TEXT(ROW()-7,"00"))</f>
        <v/>
      </c>
      <c r="B9" s="42"/>
      <c r="C9" s="42"/>
      <c r="D9" s="42"/>
      <c r="E9" s="42"/>
      <c r="F9" s="43"/>
      <c r="G9" s="44"/>
      <c r="H9" s="29"/>
      <c r="I9" s="44"/>
      <c r="J9" s="44"/>
      <c r="K9" s="54"/>
      <c r="L9" s="54"/>
      <c r="M9" s="33" t="str">
        <f aca="false">IF($B9="","",IF(N($K9)=0,0,MIN(1,N($L9)/$K9)))</f>
        <v/>
      </c>
      <c r="N9" s="43"/>
      <c r="O9" s="43"/>
      <c r="P9" s="54"/>
      <c r="Q9" s="42"/>
      <c r="R9" s="5"/>
    </row>
    <row r="10" customFormat="false" ht="21" hidden="false" customHeight="true" outlineLevel="0" collapsed="false">
      <c r="A10" s="31" t="str">
        <f aca="false">IF($B10="","","LV-"&amp;TEXT(ROW()-7,"00"))</f>
        <v/>
      </c>
      <c r="B10" s="42"/>
      <c r="C10" s="42"/>
      <c r="D10" s="42"/>
      <c r="E10" s="42"/>
      <c r="F10" s="43"/>
      <c r="G10" s="44"/>
      <c r="H10" s="29"/>
      <c r="I10" s="44"/>
      <c r="J10" s="44"/>
      <c r="K10" s="54"/>
      <c r="L10" s="54"/>
      <c r="M10" s="33" t="str">
        <f aca="false">IF($B10="","",IF(N($K10)=0,0,MIN(1,N($L10)/$K10)))</f>
        <v/>
      </c>
      <c r="N10" s="43"/>
      <c r="O10" s="43"/>
      <c r="P10" s="54"/>
      <c r="Q10" s="42"/>
      <c r="R10" s="5"/>
    </row>
    <row r="11" customFormat="false" ht="21" hidden="false" customHeight="true" outlineLevel="0" collapsed="false">
      <c r="A11" s="31" t="str">
        <f aca="false">IF($B11="","","LV-"&amp;TEXT(ROW()-7,"00"))</f>
        <v/>
      </c>
      <c r="B11" s="42"/>
      <c r="C11" s="42"/>
      <c r="D11" s="42"/>
      <c r="E11" s="42"/>
      <c r="F11" s="43"/>
      <c r="G11" s="44"/>
      <c r="H11" s="29"/>
      <c r="I11" s="44"/>
      <c r="J11" s="44"/>
      <c r="K11" s="54"/>
      <c r="L11" s="54"/>
      <c r="M11" s="33" t="str">
        <f aca="false">IF($B11="","",IF(N($K11)=0,0,MIN(1,N($L11)/$K11)))</f>
        <v/>
      </c>
      <c r="N11" s="43"/>
      <c r="O11" s="43"/>
      <c r="P11" s="54"/>
      <c r="Q11" s="42"/>
      <c r="R11" s="5"/>
    </row>
    <row r="12" customFormat="false" ht="21" hidden="false" customHeight="true" outlineLevel="0" collapsed="false">
      <c r="A12" s="31" t="str">
        <f aca="false">IF($B12="","","LV-"&amp;TEXT(ROW()-7,"00"))</f>
        <v/>
      </c>
      <c r="B12" s="42"/>
      <c r="C12" s="42"/>
      <c r="D12" s="42"/>
      <c r="E12" s="42"/>
      <c r="F12" s="43"/>
      <c r="G12" s="44"/>
      <c r="H12" s="29"/>
      <c r="I12" s="44"/>
      <c r="J12" s="44"/>
      <c r="K12" s="54"/>
      <c r="L12" s="54"/>
      <c r="M12" s="33" t="str">
        <f aca="false">IF($B12="","",IF(N($K12)=0,0,MIN(1,N($L12)/$K12)))</f>
        <v/>
      </c>
      <c r="N12" s="43"/>
      <c r="O12" s="43"/>
      <c r="P12" s="54"/>
      <c r="Q12" s="42"/>
      <c r="R12" s="5"/>
    </row>
    <row r="13" customFormat="false" ht="21" hidden="false" customHeight="true" outlineLevel="0" collapsed="false">
      <c r="A13" s="31" t="str">
        <f aca="false">IF($B13="","","LV-"&amp;TEXT(ROW()-7,"00"))</f>
        <v/>
      </c>
      <c r="B13" s="42"/>
      <c r="C13" s="42"/>
      <c r="D13" s="42"/>
      <c r="E13" s="42"/>
      <c r="F13" s="43"/>
      <c r="G13" s="44"/>
      <c r="H13" s="29"/>
      <c r="I13" s="44"/>
      <c r="J13" s="44"/>
      <c r="K13" s="54"/>
      <c r="L13" s="54"/>
      <c r="M13" s="33" t="str">
        <f aca="false">IF($B13="","",IF(N($K13)=0,0,MIN(1,N($L13)/$K13)))</f>
        <v/>
      </c>
      <c r="N13" s="43"/>
      <c r="O13" s="43"/>
      <c r="P13" s="54"/>
      <c r="Q13" s="42"/>
      <c r="R13" s="5"/>
    </row>
    <row r="14" customFormat="false" ht="21" hidden="false" customHeight="true" outlineLevel="0" collapsed="false">
      <c r="A14" s="31" t="str">
        <f aca="false">IF($B14="","","LV-"&amp;TEXT(ROW()-7,"00"))</f>
        <v/>
      </c>
      <c r="B14" s="42"/>
      <c r="C14" s="42"/>
      <c r="D14" s="42"/>
      <c r="E14" s="42"/>
      <c r="F14" s="43"/>
      <c r="G14" s="44"/>
      <c r="H14" s="29"/>
      <c r="I14" s="44"/>
      <c r="J14" s="44"/>
      <c r="K14" s="54"/>
      <c r="L14" s="54"/>
      <c r="M14" s="33" t="str">
        <f aca="false">IF($B14="","",IF(N($K14)=0,0,MIN(1,N($L14)/$K14)))</f>
        <v/>
      </c>
      <c r="N14" s="43"/>
      <c r="O14" s="43"/>
      <c r="P14" s="54"/>
      <c r="Q14" s="42"/>
      <c r="R14" s="5"/>
    </row>
    <row r="15" customFormat="false" ht="21" hidden="false" customHeight="true" outlineLevel="0" collapsed="false">
      <c r="A15" s="31" t="str">
        <f aca="false">IF($B15="","","LV-"&amp;TEXT(ROW()-7,"00"))</f>
        <v/>
      </c>
      <c r="B15" s="42"/>
      <c r="C15" s="42"/>
      <c r="D15" s="42"/>
      <c r="E15" s="42"/>
      <c r="F15" s="43"/>
      <c r="G15" s="44"/>
      <c r="H15" s="29"/>
      <c r="I15" s="44"/>
      <c r="J15" s="44"/>
      <c r="K15" s="54"/>
      <c r="L15" s="54"/>
      <c r="M15" s="33" t="str">
        <f aca="false">IF($B15="","",IF(N($K15)=0,0,MIN(1,N($L15)/$K15)))</f>
        <v/>
      </c>
      <c r="N15" s="43"/>
      <c r="O15" s="43"/>
      <c r="P15" s="54"/>
      <c r="Q15" s="42"/>
      <c r="R15" s="5"/>
    </row>
    <row r="16" customFormat="false" ht="21" hidden="false" customHeight="true" outlineLevel="0" collapsed="false">
      <c r="A16" s="31" t="str">
        <f aca="false">IF($B16="","","LV-"&amp;TEXT(ROW()-7,"00"))</f>
        <v/>
      </c>
      <c r="B16" s="42"/>
      <c r="C16" s="42"/>
      <c r="D16" s="42"/>
      <c r="E16" s="42"/>
      <c r="F16" s="43"/>
      <c r="G16" s="44"/>
      <c r="H16" s="29"/>
      <c r="I16" s="44"/>
      <c r="J16" s="44"/>
      <c r="K16" s="54"/>
      <c r="L16" s="54"/>
      <c r="M16" s="33" t="str">
        <f aca="false">IF($B16="","",IF(N($K16)=0,0,MIN(1,N($L16)/$K16)))</f>
        <v/>
      </c>
      <c r="N16" s="43"/>
      <c r="O16" s="43"/>
      <c r="P16" s="54"/>
      <c r="Q16" s="42"/>
      <c r="R16" s="5"/>
    </row>
    <row r="17" customFormat="false" ht="21" hidden="false" customHeight="true" outlineLevel="0" collapsed="false">
      <c r="A17" s="31" t="str">
        <f aca="false">IF($B17="","","LV-"&amp;TEXT(ROW()-7,"00"))</f>
        <v/>
      </c>
      <c r="B17" s="42"/>
      <c r="C17" s="42"/>
      <c r="D17" s="42"/>
      <c r="E17" s="42"/>
      <c r="F17" s="43"/>
      <c r="G17" s="44"/>
      <c r="H17" s="29"/>
      <c r="I17" s="44"/>
      <c r="J17" s="44"/>
      <c r="K17" s="54"/>
      <c r="L17" s="54"/>
      <c r="M17" s="33" t="str">
        <f aca="false">IF($B17="","",IF(N($K17)=0,0,MIN(1,N($L17)/$K17)))</f>
        <v/>
      </c>
      <c r="N17" s="43"/>
      <c r="O17" s="43"/>
      <c r="P17" s="54"/>
      <c r="Q17" s="42"/>
      <c r="R17" s="5"/>
    </row>
    <row r="18" customFormat="false" ht="21" hidden="false" customHeight="true" outlineLevel="0" collapsed="false">
      <c r="A18" s="31" t="str">
        <f aca="false">IF($B18="","","LV-"&amp;TEXT(ROW()-7,"00"))</f>
        <v/>
      </c>
      <c r="B18" s="42"/>
      <c r="C18" s="42"/>
      <c r="D18" s="42"/>
      <c r="E18" s="42"/>
      <c r="F18" s="43"/>
      <c r="G18" s="44"/>
      <c r="H18" s="29"/>
      <c r="I18" s="44"/>
      <c r="J18" s="44"/>
      <c r="K18" s="54"/>
      <c r="L18" s="54"/>
      <c r="M18" s="33" t="str">
        <f aca="false">IF($B18="","",IF(N($K18)=0,0,MIN(1,N($L18)/$K18)))</f>
        <v/>
      </c>
      <c r="N18" s="43"/>
      <c r="O18" s="43"/>
      <c r="P18" s="54"/>
      <c r="Q18" s="42"/>
      <c r="R18" s="5"/>
    </row>
    <row r="19" customFormat="false" ht="21" hidden="false" customHeight="true" outlineLevel="0" collapsed="false">
      <c r="A19" s="31" t="str">
        <f aca="false">IF($B19="","","LV-"&amp;TEXT(ROW()-7,"00"))</f>
        <v/>
      </c>
      <c r="B19" s="42"/>
      <c r="C19" s="42"/>
      <c r="D19" s="42"/>
      <c r="E19" s="42"/>
      <c r="F19" s="43"/>
      <c r="G19" s="44"/>
      <c r="H19" s="29"/>
      <c r="I19" s="44"/>
      <c r="J19" s="44"/>
      <c r="K19" s="54"/>
      <c r="L19" s="54"/>
      <c r="M19" s="33" t="str">
        <f aca="false">IF($B19="","",IF(N($K19)=0,0,MIN(1,N($L19)/$K19)))</f>
        <v/>
      </c>
      <c r="N19" s="43"/>
      <c r="O19" s="43"/>
      <c r="P19" s="54"/>
      <c r="Q19" s="42"/>
      <c r="R19" s="5"/>
    </row>
    <row r="20" customFormat="false" ht="21" hidden="false" customHeight="true" outlineLevel="0" collapsed="false">
      <c r="A20" s="31" t="str">
        <f aca="false">IF($B20="","","LV-"&amp;TEXT(ROW()-7,"00"))</f>
        <v/>
      </c>
      <c r="B20" s="42"/>
      <c r="C20" s="42"/>
      <c r="D20" s="42"/>
      <c r="E20" s="42"/>
      <c r="F20" s="43"/>
      <c r="G20" s="44"/>
      <c r="H20" s="29"/>
      <c r="I20" s="44"/>
      <c r="J20" s="44"/>
      <c r="K20" s="54"/>
      <c r="L20" s="54"/>
      <c r="M20" s="33" t="str">
        <f aca="false">IF($B20="","",IF(N($K20)=0,0,MIN(1,N($L20)/$K20)))</f>
        <v/>
      </c>
      <c r="N20" s="43"/>
      <c r="O20" s="43"/>
      <c r="P20" s="54"/>
      <c r="Q20" s="42"/>
      <c r="R20" s="5"/>
    </row>
    <row r="21" customFormat="false" ht="21" hidden="false" customHeight="true" outlineLevel="0" collapsed="false">
      <c r="A21" s="31" t="str">
        <f aca="false">IF($B21="","","LV-"&amp;TEXT(ROW()-7,"00"))</f>
        <v/>
      </c>
      <c r="B21" s="42"/>
      <c r="C21" s="42"/>
      <c r="D21" s="42"/>
      <c r="E21" s="42"/>
      <c r="F21" s="43"/>
      <c r="G21" s="44"/>
      <c r="H21" s="29"/>
      <c r="I21" s="44"/>
      <c r="J21" s="44"/>
      <c r="K21" s="54"/>
      <c r="L21" s="54"/>
      <c r="M21" s="33" t="str">
        <f aca="false">IF($B21="","",IF(N($K21)=0,0,MIN(1,N($L21)/$K21)))</f>
        <v/>
      </c>
      <c r="N21" s="43"/>
      <c r="O21" s="43"/>
      <c r="P21" s="54"/>
      <c r="Q21" s="42"/>
      <c r="R21" s="5"/>
    </row>
    <row r="22" customFormat="false" ht="21" hidden="false" customHeight="true" outlineLevel="0" collapsed="false">
      <c r="A22" s="31" t="str">
        <f aca="false">IF($B22="","","LV-"&amp;TEXT(ROW()-7,"00"))</f>
        <v/>
      </c>
      <c r="B22" s="42"/>
      <c r="C22" s="42"/>
      <c r="D22" s="42"/>
      <c r="E22" s="42"/>
      <c r="F22" s="43"/>
      <c r="G22" s="44"/>
      <c r="H22" s="29"/>
      <c r="I22" s="44"/>
      <c r="J22" s="44"/>
      <c r="K22" s="54"/>
      <c r="L22" s="54"/>
      <c r="M22" s="33" t="str">
        <f aca="false">IF($B22="","",IF(N($K22)=0,0,MIN(1,N($L22)/$K22)))</f>
        <v/>
      </c>
      <c r="N22" s="43"/>
      <c r="O22" s="43"/>
      <c r="P22" s="54"/>
      <c r="Q22" s="42"/>
      <c r="R22" s="5"/>
    </row>
    <row r="23" customFormat="false" ht="21" hidden="false" customHeight="true" outlineLevel="0" collapsed="false">
      <c r="A23" s="31" t="str">
        <f aca="false">IF($B23="","","LV-"&amp;TEXT(ROW()-7,"00"))</f>
        <v/>
      </c>
      <c r="B23" s="42"/>
      <c r="C23" s="42"/>
      <c r="D23" s="42"/>
      <c r="E23" s="42"/>
      <c r="F23" s="43"/>
      <c r="G23" s="44"/>
      <c r="H23" s="29"/>
      <c r="I23" s="44"/>
      <c r="J23" s="44"/>
      <c r="K23" s="54"/>
      <c r="L23" s="54"/>
      <c r="M23" s="33" t="str">
        <f aca="false">IF($B23="","",IF(N($K23)=0,0,MIN(1,N($L23)/$K23)))</f>
        <v/>
      </c>
      <c r="N23" s="43"/>
      <c r="O23" s="43"/>
      <c r="P23" s="54"/>
      <c r="Q23" s="42"/>
      <c r="R23" s="5"/>
    </row>
    <row r="24" customFormat="false" ht="21" hidden="false" customHeight="true" outlineLevel="0" collapsed="false">
      <c r="A24" s="31" t="str">
        <f aca="false">IF($B24="","","LV-"&amp;TEXT(ROW()-7,"00"))</f>
        <v/>
      </c>
      <c r="B24" s="42"/>
      <c r="C24" s="42"/>
      <c r="D24" s="42"/>
      <c r="E24" s="42"/>
      <c r="F24" s="43"/>
      <c r="G24" s="44"/>
      <c r="H24" s="29"/>
      <c r="I24" s="44"/>
      <c r="J24" s="44"/>
      <c r="K24" s="54"/>
      <c r="L24" s="54"/>
      <c r="M24" s="33" t="str">
        <f aca="false">IF($B24="","",IF(N($K24)=0,0,MIN(1,N($L24)/$K24)))</f>
        <v/>
      </c>
      <c r="N24" s="43"/>
      <c r="O24" s="43"/>
      <c r="P24" s="54"/>
      <c r="Q24" s="42"/>
      <c r="R24" s="5"/>
    </row>
    <row r="25" customFormat="false" ht="21" hidden="false" customHeight="true" outlineLevel="0" collapsed="false">
      <c r="A25" s="31" t="str">
        <f aca="false">IF($B25="","","LV-"&amp;TEXT(ROW()-7,"00"))</f>
        <v/>
      </c>
      <c r="B25" s="42"/>
      <c r="C25" s="42"/>
      <c r="D25" s="42"/>
      <c r="E25" s="42"/>
      <c r="F25" s="43"/>
      <c r="G25" s="44"/>
      <c r="H25" s="29"/>
      <c r="I25" s="44"/>
      <c r="J25" s="44"/>
      <c r="K25" s="54"/>
      <c r="L25" s="54"/>
      <c r="M25" s="33" t="str">
        <f aca="false">IF($B25="","",IF(N($K25)=0,0,MIN(1,N($L25)/$K25)))</f>
        <v/>
      </c>
      <c r="N25" s="43"/>
      <c r="O25" s="43"/>
      <c r="P25" s="54"/>
      <c r="Q25" s="42"/>
      <c r="R25" s="5"/>
    </row>
    <row r="26" customFormat="false" ht="21" hidden="false" customHeight="true" outlineLevel="0" collapsed="false">
      <c r="A26" s="31" t="str">
        <f aca="false">IF($B26="","","LV-"&amp;TEXT(ROW()-7,"00"))</f>
        <v/>
      </c>
      <c r="B26" s="42"/>
      <c r="C26" s="42"/>
      <c r="D26" s="42"/>
      <c r="E26" s="42"/>
      <c r="F26" s="43"/>
      <c r="G26" s="44"/>
      <c r="H26" s="29"/>
      <c r="I26" s="44"/>
      <c r="J26" s="44"/>
      <c r="K26" s="54"/>
      <c r="L26" s="54"/>
      <c r="M26" s="33" t="str">
        <f aca="false">IF($B26="","",IF(N($K26)=0,0,MIN(1,N($L26)/$K26)))</f>
        <v/>
      </c>
      <c r="N26" s="43"/>
      <c r="O26" s="43"/>
      <c r="P26" s="54"/>
      <c r="Q26" s="42"/>
      <c r="R26" s="5"/>
    </row>
    <row r="27" customFormat="false" ht="21" hidden="false" customHeight="true" outlineLevel="0" collapsed="false">
      <c r="A27" s="31" t="str">
        <f aca="false">IF($B27="","","LV-"&amp;TEXT(ROW()-7,"00"))</f>
        <v/>
      </c>
      <c r="B27" s="42"/>
      <c r="C27" s="42"/>
      <c r="D27" s="42"/>
      <c r="E27" s="42"/>
      <c r="F27" s="43"/>
      <c r="G27" s="44"/>
      <c r="H27" s="29"/>
      <c r="I27" s="44"/>
      <c r="J27" s="44"/>
      <c r="K27" s="54"/>
      <c r="L27" s="54"/>
      <c r="M27" s="33" t="str">
        <f aca="false">IF($B27="","",IF(N($K27)=0,0,MIN(1,N($L27)/$K27)))</f>
        <v/>
      </c>
      <c r="N27" s="43"/>
      <c r="O27" s="43"/>
      <c r="P27" s="54"/>
      <c r="Q27" s="42"/>
      <c r="R27" s="5"/>
    </row>
    <row r="28" customFormat="false" ht="21" hidden="false" customHeight="true" outlineLevel="0" collapsed="false">
      <c r="A28" s="31" t="str">
        <f aca="false">IF($B28="","","LV-"&amp;TEXT(ROW()-7,"00"))</f>
        <v/>
      </c>
      <c r="B28" s="42"/>
      <c r="C28" s="42"/>
      <c r="D28" s="42"/>
      <c r="E28" s="42"/>
      <c r="F28" s="43"/>
      <c r="G28" s="44"/>
      <c r="H28" s="29"/>
      <c r="I28" s="44"/>
      <c r="J28" s="44"/>
      <c r="K28" s="54"/>
      <c r="L28" s="54"/>
      <c r="M28" s="33" t="str">
        <f aca="false">IF($B28="","",IF(N($K28)=0,0,MIN(1,N($L28)/$K28)))</f>
        <v/>
      </c>
      <c r="N28" s="43"/>
      <c r="O28" s="43"/>
      <c r="P28" s="54"/>
      <c r="Q28" s="42"/>
      <c r="R28" s="5"/>
    </row>
    <row r="29" customFormat="false" ht="21" hidden="false" customHeight="true" outlineLevel="0" collapsed="false">
      <c r="A29" s="31" t="str">
        <f aca="false">IF($B29="","","LV-"&amp;TEXT(ROW()-7,"00"))</f>
        <v/>
      </c>
      <c r="B29" s="42"/>
      <c r="C29" s="42"/>
      <c r="D29" s="42"/>
      <c r="E29" s="42"/>
      <c r="F29" s="43"/>
      <c r="G29" s="44"/>
      <c r="H29" s="29"/>
      <c r="I29" s="44"/>
      <c r="J29" s="44"/>
      <c r="K29" s="54"/>
      <c r="L29" s="54"/>
      <c r="M29" s="33" t="str">
        <f aca="false">IF($B29="","",IF(N($K29)=0,0,MIN(1,N($L29)/$K29)))</f>
        <v/>
      </c>
      <c r="N29" s="43"/>
      <c r="O29" s="43"/>
      <c r="P29" s="54"/>
      <c r="Q29" s="42"/>
      <c r="R29" s="5"/>
    </row>
    <row r="30" customFormat="false" ht="21" hidden="false" customHeight="true" outlineLevel="0" collapsed="false">
      <c r="A30" s="31" t="str">
        <f aca="false">IF($B30="","","LV-"&amp;TEXT(ROW()-7,"00"))</f>
        <v/>
      </c>
      <c r="B30" s="42"/>
      <c r="C30" s="42"/>
      <c r="D30" s="42"/>
      <c r="E30" s="42"/>
      <c r="F30" s="43"/>
      <c r="G30" s="44"/>
      <c r="H30" s="29"/>
      <c r="I30" s="44"/>
      <c r="J30" s="44"/>
      <c r="K30" s="54"/>
      <c r="L30" s="54"/>
      <c r="M30" s="33" t="str">
        <f aca="false">IF($B30="","",IF(N($K30)=0,0,MIN(1,N($L30)/$K30)))</f>
        <v/>
      </c>
      <c r="N30" s="43"/>
      <c r="O30" s="43"/>
      <c r="P30" s="54"/>
      <c r="Q30" s="42"/>
      <c r="R30" s="5"/>
    </row>
    <row r="31" customFormat="false" ht="21" hidden="false" customHeight="true" outlineLevel="0" collapsed="false">
      <c r="A31" s="31" t="str">
        <f aca="false">IF($B31="","","LV-"&amp;TEXT(ROW()-7,"00"))</f>
        <v/>
      </c>
      <c r="B31" s="42"/>
      <c r="C31" s="42"/>
      <c r="D31" s="42"/>
      <c r="E31" s="42"/>
      <c r="F31" s="43"/>
      <c r="G31" s="44"/>
      <c r="H31" s="29"/>
      <c r="I31" s="44"/>
      <c r="J31" s="44"/>
      <c r="K31" s="54"/>
      <c r="L31" s="54"/>
      <c r="M31" s="33" t="str">
        <f aca="false">IF($B31="","",IF(N($K31)=0,0,MIN(1,N($L31)/$K31)))</f>
        <v/>
      </c>
      <c r="N31" s="43"/>
      <c r="O31" s="43"/>
      <c r="P31" s="54"/>
      <c r="Q31" s="42"/>
      <c r="R31" s="5"/>
    </row>
    <row r="32" customFormat="false" ht="21" hidden="false" customHeight="true" outlineLevel="0" collapsed="false">
      <c r="A32" s="31" t="str">
        <f aca="false">IF($B32="","","LV-"&amp;TEXT(ROW()-7,"00"))</f>
        <v/>
      </c>
      <c r="B32" s="42"/>
      <c r="C32" s="42"/>
      <c r="D32" s="42"/>
      <c r="E32" s="42"/>
      <c r="F32" s="43"/>
      <c r="G32" s="44"/>
      <c r="H32" s="29"/>
      <c r="I32" s="44"/>
      <c r="J32" s="44"/>
      <c r="K32" s="54"/>
      <c r="L32" s="54"/>
      <c r="M32" s="33" t="str">
        <f aca="false">IF($B32="","",IF(N($K32)=0,0,MIN(1,N($L32)/$K32)))</f>
        <v/>
      </c>
      <c r="N32" s="43"/>
      <c r="O32" s="43"/>
      <c r="P32" s="54"/>
      <c r="Q32" s="42"/>
      <c r="R32" s="5"/>
    </row>
    <row r="33" customFormat="false" ht="21" hidden="false" customHeight="true" outlineLevel="0" collapsed="false">
      <c r="A33" s="31" t="str">
        <f aca="false">IF($B33="","","LV-"&amp;TEXT(ROW()-7,"00"))</f>
        <v/>
      </c>
      <c r="B33" s="42"/>
      <c r="C33" s="42"/>
      <c r="D33" s="42"/>
      <c r="E33" s="42"/>
      <c r="F33" s="43"/>
      <c r="G33" s="44"/>
      <c r="H33" s="29"/>
      <c r="I33" s="44"/>
      <c r="J33" s="44"/>
      <c r="K33" s="54"/>
      <c r="L33" s="54"/>
      <c r="M33" s="33" t="str">
        <f aca="false">IF($B33="","",IF(N($K33)=0,0,MIN(1,N($L33)/$K33)))</f>
        <v/>
      </c>
      <c r="N33" s="43"/>
      <c r="O33" s="43"/>
      <c r="P33" s="54"/>
      <c r="Q33" s="42"/>
      <c r="R33" s="5"/>
    </row>
    <row r="34" customFormat="false" ht="21" hidden="false" customHeight="true" outlineLevel="0" collapsed="false">
      <c r="A34" s="31" t="str">
        <f aca="false">IF($B34="","","LV-"&amp;TEXT(ROW()-7,"00"))</f>
        <v/>
      </c>
      <c r="B34" s="42"/>
      <c r="C34" s="42"/>
      <c r="D34" s="42"/>
      <c r="E34" s="42"/>
      <c r="F34" s="43"/>
      <c r="G34" s="44"/>
      <c r="H34" s="29"/>
      <c r="I34" s="44"/>
      <c r="J34" s="44"/>
      <c r="K34" s="54"/>
      <c r="L34" s="54"/>
      <c r="M34" s="33" t="str">
        <f aca="false">IF($B34="","",IF(N($K34)=0,0,MIN(1,N($L34)/$K34)))</f>
        <v/>
      </c>
      <c r="N34" s="43"/>
      <c r="O34" s="43"/>
      <c r="P34" s="54"/>
      <c r="Q34" s="42"/>
      <c r="R34" s="5"/>
    </row>
    <row r="35" customFormat="false" ht="21" hidden="false" customHeight="true" outlineLevel="0" collapsed="false">
      <c r="A35" s="31" t="str">
        <f aca="false">IF($B35="","","LV-"&amp;TEXT(ROW()-7,"00"))</f>
        <v/>
      </c>
      <c r="B35" s="42"/>
      <c r="C35" s="42"/>
      <c r="D35" s="42"/>
      <c r="E35" s="42"/>
      <c r="F35" s="43"/>
      <c r="G35" s="44"/>
      <c r="H35" s="29"/>
      <c r="I35" s="44"/>
      <c r="J35" s="44"/>
      <c r="K35" s="54"/>
      <c r="L35" s="54"/>
      <c r="M35" s="33" t="str">
        <f aca="false">IF($B35="","",IF(N($K35)=0,0,MIN(1,N($L35)/$K35)))</f>
        <v/>
      </c>
      <c r="N35" s="43"/>
      <c r="O35" s="43"/>
      <c r="P35" s="54"/>
      <c r="Q35" s="42"/>
      <c r="R35" s="5"/>
    </row>
    <row r="36" customFormat="false" ht="21" hidden="false" customHeight="true" outlineLevel="0" collapsed="false">
      <c r="A36" s="31" t="str">
        <f aca="false">IF($B36="","","LV-"&amp;TEXT(ROW()-7,"00"))</f>
        <v/>
      </c>
      <c r="B36" s="42"/>
      <c r="C36" s="42"/>
      <c r="D36" s="42"/>
      <c r="E36" s="42"/>
      <c r="F36" s="43"/>
      <c r="G36" s="44"/>
      <c r="H36" s="29"/>
      <c r="I36" s="44"/>
      <c r="J36" s="44"/>
      <c r="K36" s="54"/>
      <c r="L36" s="54"/>
      <c r="M36" s="33" t="str">
        <f aca="false">IF($B36="","",IF(N($K36)=0,0,MIN(1,N($L36)/$K36)))</f>
        <v/>
      </c>
      <c r="N36" s="43"/>
      <c r="O36" s="43"/>
      <c r="P36" s="54"/>
      <c r="Q36" s="42"/>
      <c r="R36" s="5"/>
    </row>
    <row r="37" customFormat="false" ht="21" hidden="false" customHeight="true" outlineLevel="0" collapsed="false">
      <c r="A37" s="31" t="str">
        <f aca="false">IF($B37="","","LV-"&amp;TEXT(ROW()-7,"00"))</f>
        <v/>
      </c>
      <c r="B37" s="42"/>
      <c r="C37" s="42"/>
      <c r="D37" s="42"/>
      <c r="E37" s="42"/>
      <c r="F37" s="43"/>
      <c r="G37" s="44"/>
      <c r="H37" s="29"/>
      <c r="I37" s="44"/>
      <c r="J37" s="44"/>
      <c r="K37" s="54"/>
      <c r="L37" s="54"/>
      <c r="M37" s="33" t="str">
        <f aca="false">IF($B37="","",IF(N($K37)=0,0,MIN(1,N($L37)/$K37)))</f>
        <v/>
      </c>
      <c r="N37" s="43"/>
      <c r="O37" s="43"/>
      <c r="P37" s="54"/>
      <c r="Q37" s="42"/>
      <c r="R37" s="5"/>
    </row>
    <row r="38" customFormat="false" ht="21" hidden="false" customHeight="true" outlineLevel="0" collapsed="false">
      <c r="A38" s="31" t="str">
        <f aca="false">IF($B38="","","LV-"&amp;TEXT(ROW()-7,"00"))</f>
        <v/>
      </c>
      <c r="B38" s="42"/>
      <c r="C38" s="42"/>
      <c r="D38" s="42"/>
      <c r="E38" s="42"/>
      <c r="F38" s="43"/>
      <c r="G38" s="44"/>
      <c r="H38" s="29"/>
      <c r="I38" s="44"/>
      <c r="J38" s="44"/>
      <c r="K38" s="54"/>
      <c r="L38" s="54"/>
      <c r="M38" s="33" t="str">
        <f aca="false">IF($B38="","",IF(N($K38)=0,0,MIN(1,N($L38)/$K38)))</f>
        <v/>
      </c>
      <c r="N38" s="43"/>
      <c r="O38" s="43"/>
      <c r="P38" s="54"/>
      <c r="Q38" s="42"/>
      <c r="R38" s="5"/>
    </row>
    <row r="39" customFormat="false" ht="21" hidden="false" customHeight="true" outlineLevel="0" collapsed="false">
      <c r="A39" s="31" t="str">
        <f aca="false">IF($B39="","","LV-"&amp;TEXT(ROW()-7,"00"))</f>
        <v/>
      </c>
      <c r="B39" s="42"/>
      <c r="C39" s="42"/>
      <c r="D39" s="42"/>
      <c r="E39" s="42"/>
      <c r="F39" s="43"/>
      <c r="G39" s="44"/>
      <c r="H39" s="29"/>
      <c r="I39" s="44"/>
      <c r="J39" s="44"/>
      <c r="K39" s="54"/>
      <c r="L39" s="54"/>
      <c r="M39" s="33" t="str">
        <f aca="false">IF($B39="","",IF(N($K39)=0,0,MIN(1,N($L39)/$K39)))</f>
        <v/>
      </c>
      <c r="N39" s="43"/>
      <c r="O39" s="43"/>
      <c r="P39" s="54"/>
      <c r="Q39" s="42"/>
      <c r="R39" s="5"/>
    </row>
    <row r="40" customFormat="false" ht="21" hidden="false" customHeight="true" outlineLevel="0" collapsed="false">
      <c r="A40" s="31" t="str">
        <f aca="false">IF($B40="","","LV-"&amp;TEXT(ROW()-7,"00"))</f>
        <v/>
      </c>
      <c r="B40" s="42"/>
      <c r="C40" s="42"/>
      <c r="D40" s="42"/>
      <c r="E40" s="42"/>
      <c r="F40" s="43"/>
      <c r="G40" s="44"/>
      <c r="H40" s="29"/>
      <c r="I40" s="44"/>
      <c r="J40" s="44"/>
      <c r="K40" s="54"/>
      <c r="L40" s="54"/>
      <c r="M40" s="33" t="str">
        <f aca="false">IF($B40="","",IF(N($K40)=0,0,MIN(1,N($L40)/$K40)))</f>
        <v/>
      </c>
      <c r="N40" s="43"/>
      <c r="O40" s="43"/>
      <c r="P40" s="54"/>
      <c r="Q40" s="42"/>
      <c r="R40" s="5"/>
    </row>
    <row r="41" customFormat="false" ht="21" hidden="false" customHeight="true" outlineLevel="0" collapsed="false">
      <c r="A41" s="31" t="str">
        <f aca="false">IF($B41="","","LV-"&amp;TEXT(ROW()-7,"00"))</f>
        <v/>
      </c>
      <c r="B41" s="42"/>
      <c r="C41" s="42"/>
      <c r="D41" s="42"/>
      <c r="E41" s="42"/>
      <c r="F41" s="43"/>
      <c r="G41" s="44"/>
      <c r="H41" s="29"/>
      <c r="I41" s="44"/>
      <c r="J41" s="44"/>
      <c r="K41" s="54"/>
      <c r="L41" s="54"/>
      <c r="M41" s="33" t="str">
        <f aca="false">IF($B41="","",IF(N($K41)=0,0,MIN(1,N($L41)/$K41)))</f>
        <v/>
      </c>
      <c r="N41" s="43"/>
      <c r="O41" s="43"/>
      <c r="P41" s="54"/>
      <c r="Q41" s="42"/>
      <c r="R41" s="5"/>
    </row>
    <row r="42" customFormat="false" ht="21" hidden="false" customHeight="true" outlineLevel="0" collapsed="false">
      <c r="A42" s="31" t="str">
        <f aca="false">IF($B42="","","LV-"&amp;TEXT(ROW()-7,"00"))</f>
        <v/>
      </c>
      <c r="B42" s="42"/>
      <c r="C42" s="42"/>
      <c r="D42" s="42"/>
      <c r="E42" s="42"/>
      <c r="F42" s="43"/>
      <c r="G42" s="44"/>
      <c r="H42" s="29"/>
      <c r="I42" s="44"/>
      <c r="J42" s="44"/>
      <c r="K42" s="54"/>
      <c r="L42" s="54"/>
      <c r="M42" s="33" t="str">
        <f aca="false">IF($B42="","",IF(N($K42)=0,0,MIN(1,N($L42)/$K42)))</f>
        <v/>
      </c>
      <c r="N42" s="43"/>
      <c r="O42" s="43"/>
      <c r="P42" s="54"/>
      <c r="Q42" s="42"/>
      <c r="R42" s="5"/>
    </row>
    <row r="43" customFormat="false" ht="21" hidden="false" customHeight="true" outlineLevel="0" collapsed="false">
      <c r="A43" s="31" t="str">
        <f aca="false">IF($B43="","","LV-"&amp;TEXT(ROW()-7,"00"))</f>
        <v/>
      </c>
      <c r="B43" s="42"/>
      <c r="C43" s="42"/>
      <c r="D43" s="42"/>
      <c r="E43" s="42"/>
      <c r="F43" s="43"/>
      <c r="G43" s="44"/>
      <c r="H43" s="29"/>
      <c r="I43" s="44"/>
      <c r="J43" s="44"/>
      <c r="K43" s="54"/>
      <c r="L43" s="54"/>
      <c r="M43" s="33" t="str">
        <f aca="false">IF($B43="","",IF(N($K43)=0,0,MIN(1,N($L43)/$K43)))</f>
        <v/>
      </c>
      <c r="N43" s="43"/>
      <c r="O43" s="43"/>
      <c r="P43" s="54"/>
      <c r="Q43" s="42"/>
      <c r="R43" s="5"/>
    </row>
    <row r="44" customFormat="false" ht="21" hidden="false" customHeight="true" outlineLevel="0" collapsed="false">
      <c r="A44" s="31" t="str">
        <f aca="false">IF($B44="","","LV-"&amp;TEXT(ROW()-7,"00"))</f>
        <v/>
      </c>
      <c r="B44" s="42"/>
      <c r="C44" s="42"/>
      <c r="D44" s="42"/>
      <c r="E44" s="42"/>
      <c r="F44" s="43"/>
      <c r="G44" s="44"/>
      <c r="H44" s="29"/>
      <c r="I44" s="44"/>
      <c r="J44" s="44"/>
      <c r="K44" s="54"/>
      <c r="L44" s="54"/>
      <c r="M44" s="33" t="str">
        <f aca="false">IF($B44="","",IF(N($K44)=0,0,MIN(1,N($L44)/$K44)))</f>
        <v/>
      </c>
      <c r="N44" s="43"/>
      <c r="O44" s="43"/>
      <c r="P44" s="54"/>
      <c r="Q44" s="42"/>
      <c r="R44" s="5"/>
    </row>
    <row r="45" customFormat="false" ht="21" hidden="false" customHeight="true" outlineLevel="0" collapsed="false">
      <c r="A45" s="31" t="str">
        <f aca="false">IF($B45="","","LV-"&amp;TEXT(ROW()-7,"00"))</f>
        <v/>
      </c>
      <c r="B45" s="42"/>
      <c r="C45" s="42"/>
      <c r="D45" s="42"/>
      <c r="E45" s="42"/>
      <c r="F45" s="43"/>
      <c r="G45" s="44"/>
      <c r="H45" s="29"/>
      <c r="I45" s="44"/>
      <c r="J45" s="44"/>
      <c r="K45" s="54"/>
      <c r="L45" s="54"/>
      <c r="M45" s="33" t="str">
        <f aca="false">IF($B45="","",IF(N($K45)=0,0,MIN(1,N($L45)/$K45)))</f>
        <v/>
      </c>
      <c r="N45" s="43"/>
      <c r="O45" s="43"/>
      <c r="P45" s="54"/>
      <c r="Q45" s="42"/>
      <c r="R45" s="5"/>
    </row>
    <row r="46" customFormat="false" ht="21" hidden="false" customHeight="true" outlineLevel="0" collapsed="false">
      <c r="A46" s="31" t="str">
        <f aca="false">IF($B46="","","LV-"&amp;TEXT(ROW()-7,"00"))</f>
        <v/>
      </c>
      <c r="B46" s="42"/>
      <c r="C46" s="42"/>
      <c r="D46" s="42"/>
      <c r="E46" s="42"/>
      <c r="F46" s="43"/>
      <c r="G46" s="44"/>
      <c r="H46" s="29"/>
      <c r="I46" s="44"/>
      <c r="J46" s="44"/>
      <c r="K46" s="54"/>
      <c r="L46" s="54"/>
      <c r="M46" s="33" t="str">
        <f aca="false">IF($B46="","",IF(N($K46)=0,0,MIN(1,N($L46)/$K46)))</f>
        <v/>
      </c>
      <c r="N46" s="43"/>
      <c r="O46" s="43"/>
      <c r="P46" s="54"/>
      <c r="Q46" s="42"/>
      <c r="R46" s="5"/>
    </row>
    <row r="47" customFormat="false" ht="21" hidden="false" customHeight="true" outlineLevel="0" collapsed="false">
      <c r="A47" s="31" t="str">
        <f aca="false">IF($B47="","","LV-"&amp;TEXT(ROW()-7,"00"))</f>
        <v/>
      </c>
      <c r="B47" s="42"/>
      <c r="C47" s="42"/>
      <c r="D47" s="42"/>
      <c r="E47" s="42"/>
      <c r="F47" s="43"/>
      <c r="G47" s="44"/>
      <c r="H47" s="29"/>
      <c r="I47" s="44"/>
      <c r="J47" s="44"/>
      <c r="K47" s="54"/>
      <c r="L47" s="54"/>
      <c r="M47" s="33" t="str">
        <f aca="false">IF($B47="","",IF(N($K47)=0,0,MIN(1,N($L47)/$K47)))</f>
        <v/>
      </c>
      <c r="N47" s="43"/>
      <c r="O47" s="43"/>
      <c r="P47" s="54"/>
      <c r="Q47" s="42"/>
      <c r="R47" s="5"/>
    </row>
  </sheetData>
  <autoFilter ref="A7:R47"/>
  <mergeCells count="16">
    <mergeCell ref="A1:R1"/>
    <mergeCell ref="A2:O2"/>
    <mergeCell ref="P2:R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A6:L6"/>
  </mergeCells>
  <conditionalFormatting sqref="N8:N47">
    <cfRule type="cellIs" priority="2" operator="equal" aboveAverage="0" equalAverage="0" bottom="0" percent="0" rank="0" text="" dxfId="11">
      <formula>"Concluído"</formula>
    </cfRule>
    <cfRule type="cellIs" priority="3" operator="equal" aboveAverage="0" equalAverage="0" bottom="0" percent="0" rank="0" text="" dxfId="12">
      <formula>"Em andamento"</formula>
    </cfRule>
    <cfRule type="cellIs" priority="4" operator="equal" aboveAverage="0" equalAverage="0" bottom="0" percent="0" rank="0" text="" dxfId="13">
      <formula>"Pausado"</formula>
    </cfRule>
  </conditionalFormatting>
  <conditionalFormatting sqref="O8:O47">
    <cfRule type="cellIs" priority="5" operator="equal" aboveAverage="0" equalAverage="0" bottom="0" percent="0" rank="0" text="" dxfId="14">
      <formula>"Alta"</formula>
    </cfRule>
  </conditionalFormatting>
  <conditionalFormatting sqref="M8:M47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{00A0F685-40A6-4710-9199-C1969CD2D0D0}</x14:id>
        </ext>
      </extLst>
    </cfRule>
  </conditionalFormatting>
  <dataValidations count="6">
    <dataValidation allowBlank="true" error="Valor inválido para esta coluna." errorStyle="stop" errorTitle="Atenção" operator="greaterThan" showDropDown="false" showErrorMessage="true" showInputMessage="false" sqref="G8:G47 I8:J47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H8:H47 K8:L47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F8:F47" type="list">
      <formula1>Listas!$D$4:$D$7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N8:N47" type="list">
      <formula1>Listas!$A$4:$A$7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8:O47" type="list">
      <formula1>Listas!$B$4:$B$6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8:P47" type="whole">
      <formula1>1</formula1>
      <formula2>5</formula2>
    </dataValidation>
  </dataValidations>
  <hyperlinks>
    <hyperlink ref="P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A0F685-40A6-4710-9199-C1969CD2D0D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M8:M47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T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22"/>
    <col collapsed="false" customWidth="true" hidden="false" outlineLevel="0" max="19" min="19" style="0" width="30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7" t="s">
        <v>147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customFormat="false" ht="21.75" hidden="false" customHeight="true" outlineLevel="0" collapsed="false">
      <c r="A2" s="18" t="s">
        <v>148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 t="s">
        <v>52</v>
      </c>
      <c r="S2" s="19"/>
      <c r="T2" s="19"/>
    </row>
    <row r="3" customFormat="false" ht="7.5" hidden="false" customHeight="true" outlineLevel="0" collapsed="false"/>
    <row r="4" customFormat="false" ht="19.5" hidden="false" customHeight="true" outlineLevel="0" collapsed="false">
      <c r="B4" s="20" t="s">
        <v>61</v>
      </c>
      <c r="C4" s="20"/>
      <c r="D4" s="20" t="s">
        <v>39</v>
      </c>
      <c r="E4" s="20"/>
      <c r="F4" s="20" t="s">
        <v>54</v>
      </c>
      <c r="G4" s="20"/>
      <c r="H4" s="20" t="s">
        <v>87</v>
      </c>
      <c r="I4" s="20"/>
      <c r="J4" s="20" t="s">
        <v>56</v>
      </c>
      <c r="K4" s="20"/>
      <c r="L4" s="20" t="s">
        <v>57</v>
      </c>
      <c r="M4" s="20"/>
    </row>
    <row r="5" customFormat="false" ht="30" hidden="false" customHeight="true" outlineLevel="0" collapsed="false">
      <c r="B5" s="48" t="n">
        <f aca="false">COUNTA(B8:B47)</f>
        <v>1</v>
      </c>
      <c r="C5" s="48"/>
      <c r="D5" s="48" t="n">
        <f aca="false">COUNTIF(O8:O47,"Em andamento")</f>
        <v>1</v>
      </c>
      <c r="E5" s="48"/>
      <c r="F5" s="48" t="n">
        <f aca="false">COUNTIF(O8:O47,"Concluído")</f>
        <v>0</v>
      </c>
      <c r="G5" s="48"/>
      <c r="H5" s="49" t="n">
        <f aca="false">SUM(F8:F47)</f>
        <v>497</v>
      </c>
      <c r="I5" s="49"/>
      <c r="J5" s="50" t="n">
        <f aca="false">IFERROR(AVERAGE(N8:N47),0)</f>
        <v>0.3</v>
      </c>
      <c r="K5" s="50"/>
      <c r="L5" s="48" t="n">
        <f aca="false">COUNTIF(K8:K47,"Vence em breve")</f>
        <v>0</v>
      </c>
      <c r="M5" s="48"/>
    </row>
    <row r="6" customFormat="false" ht="18" hidden="false" customHeight="true" outlineLevel="0" collapsed="false">
      <c r="A6" s="51" t="s">
        <v>88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customFormat="false" ht="37.5" hidden="false" customHeight="true" outlineLevel="0" collapsed="false">
      <c r="A7" s="34" t="s">
        <v>89</v>
      </c>
      <c r="B7" s="27" t="s">
        <v>149</v>
      </c>
      <c r="C7" s="27" t="s">
        <v>150</v>
      </c>
      <c r="D7" s="27" t="s">
        <v>151</v>
      </c>
      <c r="E7" s="27" t="s">
        <v>93</v>
      </c>
      <c r="F7" s="27" t="s">
        <v>94</v>
      </c>
      <c r="G7" s="27" t="s">
        <v>95</v>
      </c>
      <c r="H7" s="27" t="s">
        <v>96</v>
      </c>
      <c r="I7" s="27" t="s">
        <v>97</v>
      </c>
      <c r="J7" s="34" t="s">
        <v>98</v>
      </c>
      <c r="K7" s="34" t="s">
        <v>99</v>
      </c>
      <c r="L7" s="27" t="s">
        <v>152</v>
      </c>
      <c r="M7" s="27" t="s">
        <v>153</v>
      </c>
      <c r="N7" s="34" t="s">
        <v>102</v>
      </c>
      <c r="O7" s="27" t="s">
        <v>76</v>
      </c>
      <c r="P7" s="27" t="s">
        <v>103</v>
      </c>
      <c r="Q7" s="27" t="s">
        <v>104</v>
      </c>
      <c r="R7" s="27" t="s">
        <v>105</v>
      </c>
      <c r="S7" s="27" t="s">
        <v>106</v>
      </c>
      <c r="T7" s="27" t="s">
        <v>107</v>
      </c>
    </row>
    <row r="8" customFormat="false" ht="21" hidden="false" customHeight="true" outlineLevel="0" collapsed="false">
      <c r="A8" s="31" t="str">
        <f aca="false">IF($B8="","","IA-"&amp;TEXT(ROW()-7,"00"))</f>
        <v>IA-01</v>
      </c>
      <c r="B8" s="42" t="s">
        <v>154</v>
      </c>
      <c r="C8" s="42" t="s">
        <v>126</v>
      </c>
      <c r="D8" s="42" t="s">
        <v>155</v>
      </c>
      <c r="E8" s="44" t="n">
        <v>46277</v>
      </c>
      <c r="F8" s="29" t="n">
        <v>497</v>
      </c>
      <c r="G8" s="44" t="n">
        <v>46285</v>
      </c>
      <c r="H8" s="44" t="n">
        <v>46376</v>
      </c>
      <c r="I8" s="44" t="n">
        <v>46642</v>
      </c>
      <c r="J8" s="52" t="n">
        <f aca="true">IF(OR($B8="",$I8=""),"",$I8-TODAY())</f>
        <v>344</v>
      </c>
      <c r="K8" s="53" t="str">
        <f aca="false">IF($B8="","",IF($I8="","Vitalício / sem prazo",IF($J8&lt;0,"Vencido",IF($J8&lt;=Listas!$G$4,"Vence em breve","Ativo"))))</f>
        <v>Ativo</v>
      </c>
      <c r="L8" s="54" t="n">
        <v>60</v>
      </c>
      <c r="M8" s="54" t="n">
        <v>18</v>
      </c>
      <c r="N8" s="33" t="n">
        <f aca="false">IF($B8="","",IF(N($L8)=0,0,MIN(1,N($M8)/$L8)))</f>
        <v>0.3</v>
      </c>
      <c r="O8" s="43" t="s">
        <v>39</v>
      </c>
      <c r="P8" s="43" t="s">
        <v>111</v>
      </c>
      <c r="Q8" s="42" t="s">
        <v>112</v>
      </c>
      <c r="R8" s="42" t="s">
        <v>113</v>
      </c>
      <c r="S8" s="42" t="s">
        <v>129</v>
      </c>
      <c r="T8" s="5" t="s">
        <v>115</v>
      </c>
    </row>
    <row r="9" customFormat="false" ht="21" hidden="false" customHeight="true" outlineLevel="0" collapsed="false">
      <c r="A9" s="31" t="str">
        <f aca="false">IF($B9="","","IA-"&amp;TEXT(ROW()-7,"00"))</f>
        <v/>
      </c>
      <c r="B9" s="42"/>
      <c r="C9" s="42"/>
      <c r="D9" s="42"/>
      <c r="E9" s="44"/>
      <c r="F9" s="29"/>
      <c r="G9" s="44"/>
      <c r="H9" s="44"/>
      <c r="I9" s="44"/>
      <c r="J9" s="52" t="str">
        <f aca="true">IF(OR($B9="",$I9=""),"",$I9-TODAY())</f>
        <v/>
      </c>
      <c r="K9" s="53" t="str">
        <f aca="false">IF($B9="","",IF($I9="","Vitalício / sem prazo",IF($J9&lt;0,"Vencido",IF($J9&lt;=Listas!$G$4,"Vence em breve","Ativo"))))</f>
        <v/>
      </c>
      <c r="L9" s="54"/>
      <c r="M9" s="54"/>
      <c r="N9" s="33" t="str">
        <f aca="false">IF($B9="","",IF(N($L9)=0,0,MIN(1,N($M9)/$L9)))</f>
        <v/>
      </c>
      <c r="O9" s="43"/>
      <c r="P9" s="43"/>
      <c r="Q9" s="42"/>
      <c r="R9" s="42"/>
      <c r="S9" s="42"/>
      <c r="T9" s="5"/>
    </row>
    <row r="10" customFormat="false" ht="21" hidden="false" customHeight="true" outlineLevel="0" collapsed="false">
      <c r="A10" s="31" t="str">
        <f aca="false">IF($B10="","","IA-"&amp;TEXT(ROW()-7,"00"))</f>
        <v/>
      </c>
      <c r="B10" s="42"/>
      <c r="C10" s="42"/>
      <c r="D10" s="42"/>
      <c r="E10" s="44"/>
      <c r="F10" s="29"/>
      <c r="G10" s="44"/>
      <c r="H10" s="44"/>
      <c r="I10" s="44"/>
      <c r="J10" s="52" t="str">
        <f aca="true">IF(OR($B10="",$I10=""),"",$I10-TODAY())</f>
        <v/>
      </c>
      <c r="K10" s="53" t="str">
        <f aca="false">IF($B10="","",IF($I10="","Vitalício / sem prazo",IF($J10&lt;0,"Vencido",IF($J10&lt;=Listas!$G$4,"Vence em breve","Ativo"))))</f>
        <v/>
      </c>
      <c r="L10" s="54"/>
      <c r="M10" s="54"/>
      <c r="N10" s="33" t="str">
        <f aca="false">IF($B10="","",IF(N($L10)=0,0,MIN(1,N($M10)/$L10)))</f>
        <v/>
      </c>
      <c r="O10" s="43"/>
      <c r="P10" s="43"/>
      <c r="Q10" s="42"/>
      <c r="R10" s="42"/>
      <c r="S10" s="42"/>
      <c r="T10" s="5"/>
    </row>
    <row r="11" customFormat="false" ht="21" hidden="false" customHeight="true" outlineLevel="0" collapsed="false">
      <c r="A11" s="31" t="str">
        <f aca="false">IF($B11="","","IA-"&amp;TEXT(ROW()-7,"00"))</f>
        <v/>
      </c>
      <c r="B11" s="42"/>
      <c r="C11" s="42"/>
      <c r="D11" s="42"/>
      <c r="E11" s="44"/>
      <c r="F11" s="29"/>
      <c r="G11" s="44"/>
      <c r="H11" s="44"/>
      <c r="I11" s="44"/>
      <c r="J11" s="52" t="str">
        <f aca="true">IF(OR($B11="",$I11=""),"",$I11-TODAY())</f>
        <v/>
      </c>
      <c r="K11" s="53" t="str">
        <f aca="false">IF($B11="","",IF($I11="","Vitalício / sem prazo",IF($J11&lt;0,"Vencido",IF($J11&lt;=Listas!$G$4,"Vence em breve","Ativo"))))</f>
        <v/>
      </c>
      <c r="L11" s="54"/>
      <c r="M11" s="54"/>
      <c r="N11" s="33" t="str">
        <f aca="false">IF($B11="","",IF(N($L11)=0,0,MIN(1,N($M11)/$L11)))</f>
        <v/>
      </c>
      <c r="O11" s="43"/>
      <c r="P11" s="43"/>
      <c r="Q11" s="42"/>
      <c r="R11" s="42"/>
      <c r="S11" s="42"/>
      <c r="T11" s="5"/>
    </row>
    <row r="12" customFormat="false" ht="21" hidden="false" customHeight="true" outlineLevel="0" collapsed="false">
      <c r="A12" s="31" t="str">
        <f aca="false">IF($B12="","","IA-"&amp;TEXT(ROW()-7,"00"))</f>
        <v/>
      </c>
      <c r="B12" s="42"/>
      <c r="C12" s="42"/>
      <c r="D12" s="42"/>
      <c r="E12" s="44"/>
      <c r="F12" s="29"/>
      <c r="G12" s="44"/>
      <c r="H12" s="44"/>
      <c r="I12" s="44"/>
      <c r="J12" s="52" t="str">
        <f aca="true">IF(OR($B12="",$I12=""),"",$I12-TODAY())</f>
        <v/>
      </c>
      <c r="K12" s="53" t="str">
        <f aca="false">IF($B12="","",IF($I12="","Vitalício / sem prazo",IF($J12&lt;0,"Vencido",IF($J12&lt;=Listas!$G$4,"Vence em breve","Ativo"))))</f>
        <v/>
      </c>
      <c r="L12" s="54"/>
      <c r="M12" s="54"/>
      <c r="N12" s="33" t="str">
        <f aca="false">IF($B12="","",IF(N($L12)=0,0,MIN(1,N($M12)/$L12)))</f>
        <v/>
      </c>
      <c r="O12" s="43"/>
      <c r="P12" s="43"/>
      <c r="Q12" s="42"/>
      <c r="R12" s="42"/>
      <c r="S12" s="42"/>
      <c r="T12" s="5"/>
    </row>
    <row r="13" customFormat="false" ht="21" hidden="false" customHeight="true" outlineLevel="0" collapsed="false">
      <c r="A13" s="31" t="str">
        <f aca="false">IF($B13="","","IA-"&amp;TEXT(ROW()-7,"00"))</f>
        <v/>
      </c>
      <c r="B13" s="42"/>
      <c r="C13" s="42"/>
      <c r="D13" s="42"/>
      <c r="E13" s="44"/>
      <c r="F13" s="29"/>
      <c r="G13" s="44"/>
      <c r="H13" s="44"/>
      <c r="I13" s="44"/>
      <c r="J13" s="52" t="str">
        <f aca="true">IF(OR($B13="",$I13=""),"",$I13-TODAY())</f>
        <v/>
      </c>
      <c r="K13" s="53" t="str">
        <f aca="false">IF($B13="","",IF($I13="","Vitalício / sem prazo",IF($J13&lt;0,"Vencido",IF($J13&lt;=Listas!$G$4,"Vence em breve","Ativo"))))</f>
        <v/>
      </c>
      <c r="L13" s="54"/>
      <c r="M13" s="54"/>
      <c r="N13" s="33" t="str">
        <f aca="false">IF($B13="","",IF(N($L13)=0,0,MIN(1,N($M13)/$L13)))</f>
        <v/>
      </c>
      <c r="O13" s="43"/>
      <c r="P13" s="43"/>
      <c r="Q13" s="42"/>
      <c r="R13" s="42"/>
      <c r="S13" s="42"/>
      <c r="T13" s="5"/>
    </row>
    <row r="14" customFormat="false" ht="21" hidden="false" customHeight="true" outlineLevel="0" collapsed="false">
      <c r="A14" s="31" t="str">
        <f aca="false">IF($B14="","","IA-"&amp;TEXT(ROW()-7,"00"))</f>
        <v/>
      </c>
      <c r="B14" s="42"/>
      <c r="C14" s="42"/>
      <c r="D14" s="42"/>
      <c r="E14" s="44"/>
      <c r="F14" s="29"/>
      <c r="G14" s="44"/>
      <c r="H14" s="44"/>
      <c r="I14" s="44"/>
      <c r="J14" s="52" t="str">
        <f aca="true">IF(OR($B14="",$I14=""),"",$I14-TODAY())</f>
        <v/>
      </c>
      <c r="K14" s="53" t="str">
        <f aca="false">IF($B14="","",IF($I14="","Vitalício / sem prazo",IF($J14&lt;0,"Vencido",IF($J14&lt;=Listas!$G$4,"Vence em breve","Ativo"))))</f>
        <v/>
      </c>
      <c r="L14" s="54"/>
      <c r="M14" s="54"/>
      <c r="N14" s="33" t="str">
        <f aca="false">IF($B14="","",IF(N($L14)=0,0,MIN(1,N($M14)/$L14)))</f>
        <v/>
      </c>
      <c r="O14" s="43"/>
      <c r="P14" s="43"/>
      <c r="Q14" s="42"/>
      <c r="R14" s="42"/>
      <c r="S14" s="42"/>
      <c r="T14" s="5"/>
    </row>
    <row r="15" customFormat="false" ht="21" hidden="false" customHeight="true" outlineLevel="0" collapsed="false">
      <c r="A15" s="31" t="str">
        <f aca="false">IF($B15="","","IA-"&amp;TEXT(ROW()-7,"00"))</f>
        <v/>
      </c>
      <c r="B15" s="42"/>
      <c r="C15" s="42"/>
      <c r="D15" s="42"/>
      <c r="E15" s="44"/>
      <c r="F15" s="29"/>
      <c r="G15" s="44"/>
      <c r="H15" s="44"/>
      <c r="I15" s="44"/>
      <c r="J15" s="52" t="str">
        <f aca="true">IF(OR($B15="",$I15=""),"",$I15-TODAY())</f>
        <v/>
      </c>
      <c r="K15" s="53" t="str">
        <f aca="false">IF($B15="","",IF($I15="","Vitalício / sem prazo",IF($J15&lt;0,"Vencido",IF($J15&lt;=Listas!$G$4,"Vence em breve","Ativo"))))</f>
        <v/>
      </c>
      <c r="L15" s="54"/>
      <c r="M15" s="54"/>
      <c r="N15" s="33" t="str">
        <f aca="false">IF($B15="","",IF(N($L15)=0,0,MIN(1,N($M15)/$L15)))</f>
        <v/>
      </c>
      <c r="O15" s="43"/>
      <c r="P15" s="43"/>
      <c r="Q15" s="42"/>
      <c r="R15" s="42"/>
      <c r="S15" s="42"/>
      <c r="T15" s="5"/>
    </row>
    <row r="16" customFormat="false" ht="21" hidden="false" customHeight="true" outlineLevel="0" collapsed="false">
      <c r="A16" s="31" t="str">
        <f aca="false">IF($B16="","","IA-"&amp;TEXT(ROW()-7,"00"))</f>
        <v/>
      </c>
      <c r="B16" s="42"/>
      <c r="C16" s="42"/>
      <c r="D16" s="42"/>
      <c r="E16" s="44"/>
      <c r="F16" s="29"/>
      <c r="G16" s="44"/>
      <c r="H16" s="44"/>
      <c r="I16" s="44"/>
      <c r="J16" s="52" t="str">
        <f aca="true">IF(OR($B16="",$I16=""),"",$I16-TODAY())</f>
        <v/>
      </c>
      <c r="K16" s="53" t="str">
        <f aca="false">IF($B16="","",IF($I16="","Vitalício / sem prazo",IF($J16&lt;0,"Vencido",IF($J16&lt;=Listas!$G$4,"Vence em breve","Ativo"))))</f>
        <v/>
      </c>
      <c r="L16" s="54"/>
      <c r="M16" s="54"/>
      <c r="N16" s="33" t="str">
        <f aca="false">IF($B16="","",IF(N($L16)=0,0,MIN(1,N($M16)/$L16)))</f>
        <v/>
      </c>
      <c r="O16" s="43"/>
      <c r="P16" s="43"/>
      <c r="Q16" s="42"/>
      <c r="R16" s="42"/>
      <c r="S16" s="42"/>
      <c r="T16" s="5"/>
    </row>
    <row r="17" customFormat="false" ht="21" hidden="false" customHeight="true" outlineLevel="0" collapsed="false">
      <c r="A17" s="31" t="str">
        <f aca="false">IF($B17="","","IA-"&amp;TEXT(ROW()-7,"00"))</f>
        <v/>
      </c>
      <c r="B17" s="42"/>
      <c r="C17" s="42"/>
      <c r="D17" s="42"/>
      <c r="E17" s="44"/>
      <c r="F17" s="29"/>
      <c r="G17" s="44"/>
      <c r="H17" s="44"/>
      <c r="I17" s="44"/>
      <c r="J17" s="52" t="str">
        <f aca="true">IF(OR($B17="",$I17=""),"",$I17-TODAY())</f>
        <v/>
      </c>
      <c r="K17" s="53" t="str">
        <f aca="false">IF($B17="","",IF($I17="","Vitalício / sem prazo",IF($J17&lt;0,"Vencido",IF($J17&lt;=Listas!$G$4,"Vence em breve","Ativo"))))</f>
        <v/>
      </c>
      <c r="L17" s="54"/>
      <c r="M17" s="54"/>
      <c r="N17" s="33" t="str">
        <f aca="false">IF($B17="","",IF(N($L17)=0,0,MIN(1,N($M17)/$L17)))</f>
        <v/>
      </c>
      <c r="O17" s="43"/>
      <c r="P17" s="43"/>
      <c r="Q17" s="42"/>
      <c r="R17" s="42"/>
      <c r="S17" s="42"/>
      <c r="T17" s="5"/>
    </row>
    <row r="18" customFormat="false" ht="21" hidden="false" customHeight="true" outlineLevel="0" collapsed="false">
      <c r="A18" s="31" t="str">
        <f aca="false">IF($B18="","","IA-"&amp;TEXT(ROW()-7,"00"))</f>
        <v/>
      </c>
      <c r="B18" s="42"/>
      <c r="C18" s="42"/>
      <c r="D18" s="42"/>
      <c r="E18" s="44"/>
      <c r="F18" s="29"/>
      <c r="G18" s="44"/>
      <c r="H18" s="44"/>
      <c r="I18" s="44"/>
      <c r="J18" s="52" t="str">
        <f aca="true">IF(OR($B18="",$I18=""),"",$I18-TODAY())</f>
        <v/>
      </c>
      <c r="K18" s="53" t="str">
        <f aca="false">IF($B18="","",IF($I18="","Vitalício / sem prazo",IF($J18&lt;0,"Vencido",IF($J18&lt;=Listas!$G$4,"Vence em breve","Ativo"))))</f>
        <v/>
      </c>
      <c r="L18" s="54"/>
      <c r="M18" s="54"/>
      <c r="N18" s="33" t="str">
        <f aca="false">IF($B18="","",IF(N($L18)=0,0,MIN(1,N($M18)/$L18)))</f>
        <v/>
      </c>
      <c r="O18" s="43"/>
      <c r="P18" s="43"/>
      <c r="Q18" s="42"/>
      <c r="R18" s="42"/>
      <c r="S18" s="42"/>
      <c r="T18" s="5"/>
    </row>
    <row r="19" customFormat="false" ht="21" hidden="false" customHeight="true" outlineLevel="0" collapsed="false">
      <c r="A19" s="31" t="str">
        <f aca="false">IF($B19="","","IA-"&amp;TEXT(ROW()-7,"00"))</f>
        <v/>
      </c>
      <c r="B19" s="42"/>
      <c r="C19" s="42"/>
      <c r="D19" s="42"/>
      <c r="E19" s="44"/>
      <c r="F19" s="29"/>
      <c r="G19" s="44"/>
      <c r="H19" s="44"/>
      <c r="I19" s="44"/>
      <c r="J19" s="52" t="str">
        <f aca="true">IF(OR($B19="",$I19=""),"",$I19-TODAY())</f>
        <v/>
      </c>
      <c r="K19" s="53" t="str">
        <f aca="false">IF($B19="","",IF($I19="","Vitalício / sem prazo",IF($J19&lt;0,"Vencido",IF($J19&lt;=Listas!$G$4,"Vence em breve","Ativo"))))</f>
        <v/>
      </c>
      <c r="L19" s="54"/>
      <c r="M19" s="54"/>
      <c r="N19" s="33" t="str">
        <f aca="false">IF($B19="","",IF(N($L19)=0,0,MIN(1,N($M19)/$L19)))</f>
        <v/>
      </c>
      <c r="O19" s="43"/>
      <c r="P19" s="43"/>
      <c r="Q19" s="42"/>
      <c r="R19" s="42"/>
      <c r="S19" s="42"/>
      <c r="T19" s="5"/>
    </row>
    <row r="20" customFormat="false" ht="21" hidden="false" customHeight="true" outlineLevel="0" collapsed="false">
      <c r="A20" s="31" t="str">
        <f aca="false">IF($B20="","","IA-"&amp;TEXT(ROW()-7,"00"))</f>
        <v/>
      </c>
      <c r="B20" s="42"/>
      <c r="C20" s="42"/>
      <c r="D20" s="42"/>
      <c r="E20" s="44"/>
      <c r="F20" s="29"/>
      <c r="G20" s="44"/>
      <c r="H20" s="44"/>
      <c r="I20" s="44"/>
      <c r="J20" s="52" t="str">
        <f aca="true">IF(OR($B20="",$I20=""),"",$I20-TODAY())</f>
        <v/>
      </c>
      <c r="K20" s="53" t="str">
        <f aca="false">IF($B20="","",IF($I20="","Vitalício / sem prazo",IF($J20&lt;0,"Vencido",IF($J20&lt;=Listas!$G$4,"Vence em breve","Ativo"))))</f>
        <v/>
      </c>
      <c r="L20" s="54"/>
      <c r="M20" s="54"/>
      <c r="N20" s="33" t="str">
        <f aca="false">IF($B20="","",IF(N($L20)=0,0,MIN(1,N($M20)/$L20)))</f>
        <v/>
      </c>
      <c r="O20" s="43"/>
      <c r="P20" s="43"/>
      <c r="Q20" s="42"/>
      <c r="R20" s="42"/>
      <c r="S20" s="42"/>
      <c r="T20" s="5"/>
    </row>
    <row r="21" customFormat="false" ht="21" hidden="false" customHeight="true" outlineLevel="0" collapsed="false">
      <c r="A21" s="31" t="str">
        <f aca="false">IF($B21="","","IA-"&amp;TEXT(ROW()-7,"00"))</f>
        <v/>
      </c>
      <c r="B21" s="42"/>
      <c r="C21" s="42"/>
      <c r="D21" s="42"/>
      <c r="E21" s="44"/>
      <c r="F21" s="29"/>
      <c r="G21" s="44"/>
      <c r="H21" s="44"/>
      <c r="I21" s="44"/>
      <c r="J21" s="52" t="str">
        <f aca="true">IF(OR($B21="",$I21=""),"",$I21-TODAY())</f>
        <v/>
      </c>
      <c r="K21" s="53" t="str">
        <f aca="false">IF($B21="","",IF($I21="","Vitalício / sem prazo",IF($J21&lt;0,"Vencido",IF($J21&lt;=Listas!$G$4,"Vence em breve","Ativo"))))</f>
        <v/>
      </c>
      <c r="L21" s="54"/>
      <c r="M21" s="54"/>
      <c r="N21" s="33" t="str">
        <f aca="false">IF($B21="","",IF(N($L21)=0,0,MIN(1,N($M21)/$L21)))</f>
        <v/>
      </c>
      <c r="O21" s="43"/>
      <c r="P21" s="43"/>
      <c r="Q21" s="42"/>
      <c r="R21" s="42"/>
      <c r="S21" s="42"/>
      <c r="T21" s="5"/>
    </row>
    <row r="22" customFormat="false" ht="21" hidden="false" customHeight="true" outlineLevel="0" collapsed="false">
      <c r="A22" s="31" t="str">
        <f aca="false">IF($B22="","","IA-"&amp;TEXT(ROW()-7,"00"))</f>
        <v/>
      </c>
      <c r="B22" s="42"/>
      <c r="C22" s="42"/>
      <c r="D22" s="42"/>
      <c r="E22" s="44"/>
      <c r="F22" s="29"/>
      <c r="G22" s="44"/>
      <c r="H22" s="44"/>
      <c r="I22" s="44"/>
      <c r="J22" s="52" t="str">
        <f aca="true">IF(OR($B22="",$I22=""),"",$I22-TODAY())</f>
        <v/>
      </c>
      <c r="K22" s="53" t="str">
        <f aca="false">IF($B22="","",IF($I22="","Vitalício / sem prazo",IF($J22&lt;0,"Vencido",IF($J22&lt;=Listas!$G$4,"Vence em breve","Ativo"))))</f>
        <v/>
      </c>
      <c r="L22" s="54"/>
      <c r="M22" s="54"/>
      <c r="N22" s="33" t="str">
        <f aca="false">IF($B22="","",IF(N($L22)=0,0,MIN(1,N($M22)/$L22)))</f>
        <v/>
      </c>
      <c r="O22" s="43"/>
      <c r="P22" s="43"/>
      <c r="Q22" s="42"/>
      <c r="R22" s="42"/>
      <c r="S22" s="42"/>
      <c r="T22" s="5"/>
    </row>
    <row r="23" customFormat="false" ht="21" hidden="false" customHeight="true" outlineLevel="0" collapsed="false">
      <c r="A23" s="31" t="str">
        <f aca="false">IF($B23="","","IA-"&amp;TEXT(ROW()-7,"00"))</f>
        <v/>
      </c>
      <c r="B23" s="42"/>
      <c r="C23" s="42"/>
      <c r="D23" s="42"/>
      <c r="E23" s="44"/>
      <c r="F23" s="29"/>
      <c r="G23" s="44"/>
      <c r="H23" s="44"/>
      <c r="I23" s="44"/>
      <c r="J23" s="52" t="str">
        <f aca="true">IF(OR($B23="",$I23=""),"",$I23-TODAY())</f>
        <v/>
      </c>
      <c r="K23" s="53" t="str">
        <f aca="false">IF($B23="","",IF($I23="","Vitalício / sem prazo",IF($J23&lt;0,"Vencido",IF($J23&lt;=Listas!$G$4,"Vence em breve","Ativo"))))</f>
        <v/>
      </c>
      <c r="L23" s="54"/>
      <c r="M23" s="54"/>
      <c r="N23" s="33" t="str">
        <f aca="false">IF($B23="","",IF(N($L23)=0,0,MIN(1,N($M23)/$L23)))</f>
        <v/>
      </c>
      <c r="O23" s="43"/>
      <c r="P23" s="43"/>
      <c r="Q23" s="42"/>
      <c r="R23" s="42"/>
      <c r="S23" s="42"/>
      <c r="T23" s="5"/>
    </row>
    <row r="24" customFormat="false" ht="21" hidden="false" customHeight="true" outlineLevel="0" collapsed="false">
      <c r="A24" s="31" t="str">
        <f aca="false">IF($B24="","","IA-"&amp;TEXT(ROW()-7,"00"))</f>
        <v/>
      </c>
      <c r="B24" s="42"/>
      <c r="C24" s="42"/>
      <c r="D24" s="42"/>
      <c r="E24" s="44"/>
      <c r="F24" s="29"/>
      <c r="G24" s="44"/>
      <c r="H24" s="44"/>
      <c r="I24" s="44"/>
      <c r="J24" s="52" t="str">
        <f aca="true">IF(OR($B24="",$I24=""),"",$I24-TODAY())</f>
        <v/>
      </c>
      <c r="K24" s="53" t="str">
        <f aca="false">IF($B24="","",IF($I24="","Vitalício / sem prazo",IF($J24&lt;0,"Vencido",IF($J24&lt;=Listas!$G$4,"Vence em breve","Ativo"))))</f>
        <v/>
      </c>
      <c r="L24" s="54"/>
      <c r="M24" s="54"/>
      <c r="N24" s="33" t="str">
        <f aca="false">IF($B24="","",IF(N($L24)=0,0,MIN(1,N($M24)/$L24)))</f>
        <v/>
      </c>
      <c r="O24" s="43"/>
      <c r="P24" s="43"/>
      <c r="Q24" s="42"/>
      <c r="R24" s="42"/>
      <c r="S24" s="42"/>
      <c r="T24" s="5"/>
    </row>
    <row r="25" customFormat="false" ht="21" hidden="false" customHeight="true" outlineLevel="0" collapsed="false">
      <c r="A25" s="31" t="str">
        <f aca="false">IF($B25="","","IA-"&amp;TEXT(ROW()-7,"00"))</f>
        <v/>
      </c>
      <c r="B25" s="42"/>
      <c r="C25" s="42"/>
      <c r="D25" s="42"/>
      <c r="E25" s="44"/>
      <c r="F25" s="29"/>
      <c r="G25" s="44"/>
      <c r="H25" s="44"/>
      <c r="I25" s="44"/>
      <c r="J25" s="52" t="str">
        <f aca="true">IF(OR($B25="",$I25=""),"",$I25-TODAY())</f>
        <v/>
      </c>
      <c r="K25" s="53" t="str">
        <f aca="false">IF($B25="","",IF($I25="","Vitalício / sem prazo",IF($J25&lt;0,"Vencido",IF($J25&lt;=Listas!$G$4,"Vence em breve","Ativo"))))</f>
        <v/>
      </c>
      <c r="L25" s="54"/>
      <c r="M25" s="54"/>
      <c r="N25" s="33" t="str">
        <f aca="false">IF($B25="","",IF(N($L25)=0,0,MIN(1,N($M25)/$L25)))</f>
        <v/>
      </c>
      <c r="O25" s="43"/>
      <c r="P25" s="43"/>
      <c r="Q25" s="42"/>
      <c r="R25" s="42"/>
      <c r="S25" s="42"/>
      <c r="T25" s="5"/>
    </row>
    <row r="26" customFormat="false" ht="21" hidden="false" customHeight="true" outlineLevel="0" collapsed="false">
      <c r="A26" s="31" t="str">
        <f aca="false">IF($B26="","","IA-"&amp;TEXT(ROW()-7,"00"))</f>
        <v/>
      </c>
      <c r="B26" s="42"/>
      <c r="C26" s="42"/>
      <c r="D26" s="42"/>
      <c r="E26" s="44"/>
      <c r="F26" s="29"/>
      <c r="G26" s="44"/>
      <c r="H26" s="44"/>
      <c r="I26" s="44"/>
      <c r="J26" s="52" t="str">
        <f aca="true">IF(OR($B26="",$I26=""),"",$I26-TODAY())</f>
        <v/>
      </c>
      <c r="K26" s="53" t="str">
        <f aca="false">IF($B26="","",IF($I26="","Vitalício / sem prazo",IF($J26&lt;0,"Vencido",IF($J26&lt;=Listas!$G$4,"Vence em breve","Ativo"))))</f>
        <v/>
      </c>
      <c r="L26" s="54"/>
      <c r="M26" s="54"/>
      <c r="N26" s="33" t="str">
        <f aca="false">IF($B26="","",IF(N($L26)=0,0,MIN(1,N($M26)/$L26)))</f>
        <v/>
      </c>
      <c r="O26" s="43"/>
      <c r="P26" s="43"/>
      <c r="Q26" s="42"/>
      <c r="R26" s="42"/>
      <c r="S26" s="42"/>
      <c r="T26" s="5"/>
    </row>
    <row r="27" customFormat="false" ht="21" hidden="false" customHeight="true" outlineLevel="0" collapsed="false">
      <c r="A27" s="31" t="str">
        <f aca="false">IF($B27="","","IA-"&amp;TEXT(ROW()-7,"00"))</f>
        <v/>
      </c>
      <c r="B27" s="42"/>
      <c r="C27" s="42"/>
      <c r="D27" s="42"/>
      <c r="E27" s="44"/>
      <c r="F27" s="29"/>
      <c r="G27" s="44"/>
      <c r="H27" s="44"/>
      <c r="I27" s="44"/>
      <c r="J27" s="52" t="str">
        <f aca="true">IF(OR($B27="",$I27=""),"",$I27-TODAY())</f>
        <v/>
      </c>
      <c r="K27" s="53" t="str">
        <f aca="false">IF($B27="","",IF($I27="","Vitalício / sem prazo",IF($J27&lt;0,"Vencido",IF($J27&lt;=Listas!$G$4,"Vence em breve","Ativo"))))</f>
        <v/>
      </c>
      <c r="L27" s="54"/>
      <c r="M27" s="54"/>
      <c r="N27" s="33" t="str">
        <f aca="false">IF($B27="","",IF(N($L27)=0,0,MIN(1,N($M27)/$L27)))</f>
        <v/>
      </c>
      <c r="O27" s="43"/>
      <c r="P27" s="43"/>
      <c r="Q27" s="42"/>
      <c r="R27" s="42"/>
      <c r="S27" s="42"/>
      <c r="T27" s="5"/>
    </row>
    <row r="28" customFormat="false" ht="21" hidden="false" customHeight="true" outlineLevel="0" collapsed="false">
      <c r="A28" s="31" t="str">
        <f aca="false">IF($B28="","","IA-"&amp;TEXT(ROW()-7,"00"))</f>
        <v/>
      </c>
      <c r="B28" s="42"/>
      <c r="C28" s="42"/>
      <c r="D28" s="42"/>
      <c r="E28" s="44"/>
      <c r="F28" s="29"/>
      <c r="G28" s="44"/>
      <c r="H28" s="44"/>
      <c r="I28" s="44"/>
      <c r="J28" s="52" t="str">
        <f aca="true">IF(OR($B28="",$I28=""),"",$I28-TODAY())</f>
        <v/>
      </c>
      <c r="K28" s="53" t="str">
        <f aca="false">IF($B28="","",IF($I28="","Vitalício / sem prazo",IF($J28&lt;0,"Vencido",IF($J28&lt;=Listas!$G$4,"Vence em breve","Ativo"))))</f>
        <v/>
      </c>
      <c r="L28" s="54"/>
      <c r="M28" s="54"/>
      <c r="N28" s="33" t="str">
        <f aca="false">IF($B28="","",IF(N($L28)=0,0,MIN(1,N($M28)/$L28)))</f>
        <v/>
      </c>
      <c r="O28" s="43"/>
      <c r="P28" s="43"/>
      <c r="Q28" s="42"/>
      <c r="R28" s="42"/>
      <c r="S28" s="42"/>
      <c r="T28" s="5"/>
    </row>
    <row r="29" customFormat="false" ht="21" hidden="false" customHeight="true" outlineLevel="0" collapsed="false">
      <c r="A29" s="31" t="str">
        <f aca="false">IF($B29="","","IA-"&amp;TEXT(ROW()-7,"00"))</f>
        <v/>
      </c>
      <c r="B29" s="42"/>
      <c r="C29" s="42"/>
      <c r="D29" s="42"/>
      <c r="E29" s="44"/>
      <c r="F29" s="29"/>
      <c r="G29" s="44"/>
      <c r="H29" s="44"/>
      <c r="I29" s="44"/>
      <c r="J29" s="52" t="str">
        <f aca="true">IF(OR($B29="",$I29=""),"",$I29-TODAY())</f>
        <v/>
      </c>
      <c r="K29" s="53" t="str">
        <f aca="false">IF($B29="","",IF($I29="","Vitalício / sem prazo",IF($J29&lt;0,"Vencido",IF($J29&lt;=Listas!$G$4,"Vence em breve","Ativo"))))</f>
        <v/>
      </c>
      <c r="L29" s="54"/>
      <c r="M29" s="54"/>
      <c r="N29" s="33" t="str">
        <f aca="false">IF($B29="","",IF(N($L29)=0,0,MIN(1,N($M29)/$L29)))</f>
        <v/>
      </c>
      <c r="O29" s="43"/>
      <c r="P29" s="43"/>
      <c r="Q29" s="42"/>
      <c r="R29" s="42"/>
      <c r="S29" s="42"/>
      <c r="T29" s="5"/>
    </row>
    <row r="30" customFormat="false" ht="21" hidden="false" customHeight="true" outlineLevel="0" collapsed="false">
      <c r="A30" s="31" t="str">
        <f aca="false">IF($B30="","","IA-"&amp;TEXT(ROW()-7,"00"))</f>
        <v/>
      </c>
      <c r="B30" s="42"/>
      <c r="C30" s="42"/>
      <c r="D30" s="42"/>
      <c r="E30" s="44"/>
      <c r="F30" s="29"/>
      <c r="G30" s="44"/>
      <c r="H30" s="44"/>
      <c r="I30" s="44"/>
      <c r="J30" s="52" t="str">
        <f aca="true">IF(OR($B30="",$I30=""),"",$I30-TODAY())</f>
        <v/>
      </c>
      <c r="K30" s="53" t="str">
        <f aca="false">IF($B30="","",IF($I30="","Vitalício / sem prazo",IF($J30&lt;0,"Vencido",IF($J30&lt;=Listas!$G$4,"Vence em breve","Ativo"))))</f>
        <v/>
      </c>
      <c r="L30" s="54"/>
      <c r="M30" s="54"/>
      <c r="N30" s="33" t="str">
        <f aca="false">IF($B30="","",IF(N($L30)=0,0,MIN(1,N($M30)/$L30)))</f>
        <v/>
      </c>
      <c r="O30" s="43"/>
      <c r="P30" s="43"/>
      <c r="Q30" s="42"/>
      <c r="R30" s="42"/>
      <c r="S30" s="42"/>
      <c r="T30" s="5"/>
    </row>
    <row r="31" customFormat="false" ht="21" hidden="false" customHeight="true" outlineLevel="0" collapsed="false">
      <c r="A31" s="31" t="str">
        <f aca="false">IF($B31="","","IA-"&amp;TEXT(ROW()-7,"00"))</f>
        <v/>
      </c>
      <c r="B31" s="42"/>
      <c r="C31" s="42"/>
      <c r="D31" s="42"/>
      <c r="E31" s="44"/>
      <c r="F31" s="29"/>
      <c r="G31" s="44"/>
      <c r="H31" s="44"/>
      <c r="I31" s="44"/>
      <c r="J31" s="52" t="str">
        <f aca="true">IF(OR($B31="",$I31=""),"",$I31-TODAY())</f>
        <v/>
      </c>
      <c r="K31" s="53" t="str">
        <f aca="false">IF($B31="","",IF($I31="","Vitalício / sem prazo",IF($J31&lt;0,"Vencido",IF($J31&lt;=Listas!$G$4,"Vence em breve","Ativo"))))</f>
        <v/>
      </c>
      <c r="L31" s="54"/>
      <c r="M31" s="54"/>
      <c r="N31" s="33" t="str">
        <f aca="false">IF($B31="","",IF(N($L31)=0,0,MIN(1,N($M31)/$L31)))</f>
        <v/>
      </c>
      <c r="O31" s="43"/>
      <c r="P31" s="43"/>
      <c r="Q31" s="42"/>
      <c r="R31" s="42"/>
      <c r="S31" s="42"/>
      <c r="T31" s="5"/>
    </row>
    <row r="32" customFormat="false" ht="21" hidden="false" customHeight="true" outlineLevel="0" collapsed="false">
      <c r="A32" s="31" t="str">
        <f aca="false">IF($B32="","","IA-"&amp;TEXT(ROW()-7,"00"))</f>
        <v/>
      </c>
      <c r="B32" s="42"/>
      <c r="C32" s="42"/>
      <c r="D32" s="42"/>
      <c r="E32" s="44"/>
      <c r="F32" s="29"/>
      <c r="G32" s="44"/>
      <c r="H32" s="44"/>
      <c r="I32" s="44"/>
      <c r="J32" s="52" t="str">
        <f aca="true">IF(OR($B32="",$I32=""),"",$I32-TODAY())</f>
        <v/>
      </c>
      <c r="K32" s="53" t="str">
        <f aca="false">IF($B32="","",IF($I32="","Vitalício / sem prazo",IF($J32&lt;0,"Vencido",IF($J32&lt;=Listas!$G$4,"Vence em breve","Ativo"))))</f>
        <v/>
      </c>
      <c r="L32" s="54"/>
      <c r="M32" s="54"/>
      <c r="N32" s="33" t="str">
        <f aca="false">IF($B32="","",IF(N($L32)=0,0,MIN(1,N($M32)/$L32)))</f>
        <v/>
      </c>
      <c r="O32" s="43"/>
      <c r="P32" s="43"/>
      <c r="Q32" s="42"/>
      <c r="R32" s="42"/>
      <c r="S32" s="42"/>
      <c r="T32" s="5"/>
    </row>
    <row r="33" customFormat="false" ht="21" hidden="false" customHeight="true" outlineLevel="0" collapsed="false">
      <c r="A33" s="31" t="str">
        <f aca="false">IF($B33="","","IA-"&amp;TEXT(ROW()-7,"00"))</f>
        <v/>
      </c>
      <c r="B33" s="42"/>
      <c r="C33" s="42"/>
      <c r="D33" s="42"/>
      <c r="E33" s="44"/>
      <c r="F33" s="29"/>
      <c r="G33" s="44"/>
      <c r="H33" s="44"/>
      <c r="I33" s="44"/>
      <c r="J33" s="52" t="str">
        <f aca="true">IF(OR($B33="",$I33=""),"",$I33-TODAY())</f>
        <v/>
      </c>
      <c r="K33" s="53" t="str">
        <f aca="false">IF($B33="","",IF($I33="","Vitalício / sem prazo",IF($J33&lt;0,"Vencido",IF($J33&lt;=Listas!$G$4,"Vence em breve","Ativo"))))</f>
        <v/>
      </c>
      <c r="L33" s="54"/>
      <c r="M33" s="54"/>
      <c r="N33" s="33" t="str">
        <f aca="false">IF($B33="","",IF(N($L33)=0,0,MIN(1,N($M33)/$L33)))</f>
        <v/>
      </c>
      <c r="O33" s="43"/>
      <c r="P33" s="43"/>
      <c r="Q33" s="42"/>
      <c r="R33" s="42"/>
      <c r="S33" s="42"/>
      <c r="T33" s="5"/>
    </row>
    <row r="34" customFormat="false" ht="21" hidden="false" customHeight="true" outlineLevel="0" collapsed="false">
      <c r="A34" s="31" t="str">
        <f aca="false">IF($B34="","","IA-"&amp;TEXT(ROW()-7,"00"))</f>
        <v/>
      </c>
      <c r="B34" s="42"/>
      <c r="C34" s="42"/>
      <c r="D34" s="42"/>
      <c r="E34" s="44"/>
      <c r="F34" s="29"/>
      <c r="G34" s="44"/>
      <c r="H34" s="44"/>
      <c r="I34" s="44"/>
      <c r="J34" s="52" t="str">
        <f aca="true">IF(OR($B34="",$I34=""),"",$I34-TODAY())</f>
        <v/>
      </c>
      <c r="K34" s="53" t="str">
        <f aca="false">IF($B34="","",IF($I34="","Vitalício / sem prazo",IF($J34&lt;0,"Vencido",IF($J34&lt;=Listas!$G$4,"Vence em breve","Ativo"))))</f>
        <v/>
      </c>
      <c r="L34" s="54"/>
      <c r="M34" s="54"/>
      <c r="N34" s="33" t="str">
        <f aca="false">IF($B34="","",IF(N($L34)=0,0,MIN(1,N($M34)/$L34)))</f>
        <v/>
      </c>
      <c r="O34" s="43"/>
      <c r="P34" s="43"/>
      <c r="Q34" s="42"/>
      <c r="R34" s="42"/>
      <c r="S34" s="42"/>
      <c r="T34" s="5"/>
    </row>
    <row r="35" customFormat="false" ht="21" hidden="false" customHeight="true" outlineLevel="0" collapsed="false">
      <c r="A35" s="31" t="str">
        <f aca="false">IF($B35="","","IA-"&amp;TEXT(ROW()-7,"00"))</f>
        <v/>
      </c>
      <c r="B35" s="42"/>
      <c r="C35" s="42"/>
      <c r="D35" s="42"/>
      <c r="E35" s="44"/>
      <c r="F35" s="29"/>
      <c r="G35" s="44"/>
      <c r="H35" s="44"/>
      <c r="I35" s="44"/>
      <c r="J35" s="52" t="str">
        <f aca="true">IF(OR($B35="",$I35=""),"",$I35-TODAY())</f>
        <v/>
      </c>
      <c r="K35" s="53" t="str">
        <f aca="false">IF($B35="","",IF($I35="","Vitalício / sem prazo",IF($J35&lt;0,"Vencido",IF($J35&lt;=Listas!$G$4,"Vence em breve","Ativo"))))</f>
        <v/>
      </c>
      <c r="L35" s="54"/>
      <c r="M35" s="54"/>
      <c r="N35" s="33" t="str">
        <f aca="false">IF($B35="","",IF(N($L35)=0,0,MIN(1,N($M35)/$L35)))</f>
        <v/>
      </c>
      <c r="O35" s="43"/>
      <c r="P35" s="43"/>
      <c r="Q35" s="42"/>
      <c r="R35" s="42"/>
      <c r="S35" s="42"/>
      <c r="T35" s="5"/>
    </row>
    <row r="36" customFormat="false" ht="21" hidden="false" customHeight="true" outlineLevel="0" collapsed="false">
      <c r="A36" s="31" t="str">
        <f aca="false">IF($B36="","","IA-"&amp;TEXT(ROW()-7,"00"))</f>
        <v/>
      </c>
      <c r="B36" s="42"/>
      <c r="C36" s="42"/>
      <c r="D36" s="42"/>
      <c r="E36" s="44"/>
      <c r="F36" s="29"/>
      <c r="G36" s="44"/>
      <c r="H36" s="44"/>
      <c r="I36" s="44"/>
      <c r="J36" s="52" t="str">
        <f aca="true">IF(OR($B36="",$I36=""),"",$I36-TODAY())</f>
        <v/>
      </c>
      <c r="K36" s="53" t="str">
        <f aca="false">IF($B36="","",IF($I36="","Vitalício / sem prazo",IF($J36&lt;0,"Vencido",IF($J36&lt;=Listas!$G$4,"Vence em breve","Ativo"))))</f>
        <v/>
      </c>
      <c r="L36" s="54"/>
      <c r="M36" s="54"/>
      <c r="N36" s="33" t="str">
        <f aca="false">IF($B36="","",IF(N($L36)=0,0,MIN(1,N($M36)/$L36)))</f>
        <v/>
      </c>
      <c r="O36" s="43"/>
      <c r="P36" s="43"/>
      <c r="Q36" s="42"/>
      <c r="R36" s="42"/>
      <c r="S36" s="42"/>
      <c r="T36" s="5"/>
    </row>
    <row r="37" customFormat="false" ht="21" hidden="false" customHeight="true" outlineLevel="0" collapsed="false">
      <c r="A37" s="31" t="str">
        <f aca="false">IF($B37="","","IA-"&amp;TEXT(ROW()-7,"00"))</f>
        <v/>
      </c>
      <c r="B37" s="42"/>
      <c r="C37" s="42"/>
      <c r="D37" s="42"/>
      <c r="E37" s="44"/>
      <c r="F37" s="29"/>
      <c r="G37" s="44"/>
      <c r="H37" s="44"/>
      <c r="I37" s="44"/>
      <c r="J37" s="52" t="str">
        <f aca="true">IF(OR($B37="",$I37=""),"",$I37-TODAY())</f>
        <v/>
      </c>
      <c r="K37" s="53" t="str">
        <f aca="false">IF($B37="","",IF($I37="","Vitalício / sem prazo",IF($J37&lt;0,"Vencido",IF($J37&lt;=Listas!$G$4,"Vence em breve","Ativo"))))</f>
        <v/>
      </c>
      <c r="L37" s="54"/>
      <c r="M37" s="54"/>
      <c r="N37" s="33" t="str">
        <f aca="false">IF($B37="","",IF(N($L37)=0,0,MIN(1,N($M37)/$L37)))</f>
        <v/>
      </c>
      <c r="O37" s="43"/>
      <c r="P37" s="43"/>
      <c r="Q37" s="42"/>
      <c r="R37" s="42"/>
      <c r="S37" s="42"/>
      <c r="T37" s="5"/>
    </row>
    <row r="38" customFormat="false" ht="21" hidden="false" customHeight="true" outlineLevel="0" collapsed="false">
      <c r="A38" s="31" t="str">
        <f aca="false">IF($B38="","","IA-"&amp;TEXT(ROW()-7,"00"))</f>
        <v/>
      </c>
      <c r="B38" s="42"/>
      <c r="C38" s="42"/>
      <c r="D38" s="42"/>
      <c r="E38" s="44"/>
      <c r="F38" s="29"/>
      <c r="G38" s="44"/>
      <c r="H38" s="44"/>
      <c r="I38" s="44"/>
      <c r="J38" s="52" t="str">
        <f aca="true">IF(OR($B38="",$I38=""),"",$I38-TODAY())</f>
        <v/>
      </c>
      <c r="K38" s="53" t="str">
        <f aca="false">IF($B38="","",IF($I38="","Vitalício / sem prazo",IF($J38&lt;0,"Vencido",IF($J38&lt;=Listas!$G$4,"Vence em breve","Ativo"))))</f>
        <v/>
      </c>
      <c r="L38" s="54"/>
      <c r="M38" s="54"/>
      <c r="N38" s="33" t="str">
        <f aca="false">IF($B38="","",IF(N($L38)=0,0,MIN(1,N($M38)/$L38)))</f>
        <v/>
      </c>
      <c r="O38" s="43"/>
      <c r="P38" s="43"/>
      <c r="Q38" s="42"/>
      <c r="R38" s="42"/>
      <c r="S38" s="42"/>
      <c r="T38" s="5"/>
    </row>
    <row r="39" customFormat="false" ht="21" hidden="false" customHeight="true" outlineLevel="0" collapsed="false">
      <c r="A39" s="31" t="str">
        <f aca="false">IF($B39="","","IA-"&amp;TEXT(ROW()-7,"00"))</f>
        <v/>
      </c>
      <c r="B39" s="42"/>
      <c r="C39" s="42"/>
      <c r="D39" s="42"/>
      <c r="E39" s="44"/>
      <c r="F39" s="29"/>
      <c r="G39" s="44"/>
      <c r="H39" s="44"/>
      <c r="I39" s="44"/>
      <c r="J39" s="52" t="str">
        <f aca="true">IF(OR($B39="",$I39=""),"",$I39-TODAY())</f>
        <v/>
      </c>
      <c r="K39" s="53" t="str">
        <f aca="false">IF($B39="","",IF($I39="","Vitalício / sem prazo",IF($J39&lt;0,"Vencido",IF($J39&lt;=Listas!$G$4,"Vence em breve","Ativo"))))</f>
        <v/>
      </c>
      <c r="L39" s="54"/>
      <c r="M39" s="54"/>
      <c r="N39" s="33" t="str">
        <f aca="false">IF($B39="","",IF(N($L39)=0,0,MIN(1,N($M39)/$L39)))</f>
        <v/>
      </c>
      <c r="O39" s="43"/>
      <c r="P39" s="43"/>
      <c r="Q39" s="42"/>
      <c r="R39" s="42"/>
      <c r="S39" s="42"/>
      <c r="T39" s="5"/>
    </row>
    <row r="40" customFormat="false" ht="21" hidden="false" customHeight="true" outlineLevel="0" collapsed="false">
      <c r="A40" s="31" t="str">
        <f aca="false">IF($B40="","","IA-"&amp;TEXT(ROW()-7,"00"))</f>
        <v/>
      </c>
      <c r="B40" s="42"/>
      <c r="C40" s="42"/>
      <c r="D40" s="42"/>
      <c r="E40" s="44"/>
      <c r="F40" s="29"/>
      <c r="G40" s="44"/>
      <c r="H40" s="44"/>
      <c r="I40" s="44"/>
      <c r="J40" s="52" t="str">
        <f aca="true">IF(OR($B40="",$I40=""),"",$I40-TODAY())</f>
        <v/>
      </c>
      <c r="K40" s="53" t="str">
        <f aca="false">IF($B40="","",IF($I40="","Vitalício / sem prazo",IF($J40&lt;0,"Vencido",IF($J40&lt;=Listas!$G$4,"Vence em breve","Ativo"))))</f>
        <v/>
      </c>
      <c r="L40" s="54"/>
      <c r="M40" s="54"/>
      <c r="N40" s="33" t="str">
        <f aca="false">IF($B40="","",IF(N($L40)=0,0,MIN(1,N($M40)/$L40)))</f>
        <v/>
      </c>
      <c r="O40" s="43"/>
      <c r="P40" s="43"/>
      <c r="Q40" s="42"/>
      <c r="R40" s="42"/>
      <c r="S40" s="42"/>
      <c r="T40" s="5"/>
    </row>
    <row r="41" customFormat="false" ht="21" hidden="false" customHeight="true" outlineLevel="0" collapsed="false">
      <c r="A41" s="31" t="str">
        <f aca="false">IF($B41="","","IA-"&amp;TEXT(ROW()-7,"00"))</f>
        <v/>
      </c>
      <c r="B41" s="42"/>
      <c r="C41" s="42"/>
      <c r="D41" s="42"/>
      <c r="E41" s="44"/>
      <c r="F41" s="29"/>
      <c r="G41" s="44"/>
      <c r="H41" s="44"/>
      <c r="I41" s="44"/>
      <c r="J41" s="52" t="str">
        <f aca="true">IF(OR($B41="",$I41=""),"",$I41-TODAY())</f>
        <v/>
      </c>
      <c r="K41" s="53" t="str">
        <f aca="false">IF($B41="","",IF($I41="","Vitalício / sem prazo",IF($J41&lt;0,"Vencido",IF($J41&lt;=Listas!$G$4,"Vence em breve","Ativo"))))</f>
        <v/>
      </c>
      <c r="L41" s="54"/>
      <c r="M41" s="54"/>
      <c r="N41" s="33" t="str">
        <f aca="false">IF($B41="","",IF(N($L41)=0,0,MIN(1,N($M41)/$L41)))</f>
        <v/>
      </c>
      <c r="O41" s="43"/>
      <c r="P41" s="43"/>
      <c r="Q41" s="42"/>
      <c r="R41" s="42"/>
      <c r="S41" s="42"/>
      <c r="T41" s="5"/>
    </row>
    <row r="42" customFormat="false" ht="21" hidden="false" customHeight="true" outlineLevel="0" collapsed="false">
      <c r="A42" s="31" t="str">
        <f aca="false">IF($B42="","","IA-"&amp;TEXT(ROW()-7,"00"))</f>
        <v/>
      </c>
      <c r="B42" s="42"/>
      <c r="C42" s="42"/>
      <c r="D42" s="42"/>
      <c r="E42" s="44"/>
      <c r="F42" s="29"/>
      <c r="G42" s="44"/>
      <c r="H42" s="44"/>
      <c r="I42" s="44"/>
      <c r="J42" s="52" t="str">
        <f aca="true">IF(OR($B42="",$I42=""),"",$I42-TODAY())</f>
        <v/>
      </c>
      <c r="K42" s="53" t="str">
        <f aca="false">IF($B42="","",IF($I42="","Vitalício / sem prazo",IF($J42&lt;0,"Vencido",IF($J42&lt;=Listas!$G$4,"Vence em breve","Ativo"))))</f>
        <v/>
      </c>
      <c r="L42" s="54"/>
      <c r="M42" s="54"/>
      <c r="N42" s="33" t="str">
        <f aca="false">IF($B42="","",IF(N($L42)=0,0,MIN(1,N($M42)/$L42)))</f>
        <v/>
      </c>
      <c r="O42" s="43"/>
      <c r="P42" s="43"/>
      <c r="Q42" s="42"/>
      <c r="R42" s="42"/>
      <c r="S42" s="42"/>
      <c r="T42" s="5"/>
    </row>
    <row r="43" customFormat="false" ht="21" hidden="false" customHeight="true" outlineLevel="0" collapsed="false">
      <c r="A43" s="31" t="str">
        <f aca="false">IF($B43="","","IA-"&amp;TEXT(ROW()-7,"00"))</f>
        <v/>
      </c>
      <c r="B43" s="42"/>
      <c r="C43" s="42"/>
      <c r="D43" s="42"/>
      <c r="E43" s="44"/>
      <c r="F43" s="29"/>
      <c r="G43" s="44"/>
      <c r="H43" s="44"/>
      <c r="I43" s="44"/>
      <c r="J43" s="52" t="str">
        <f aca="true">IF(OR($B43="",$I43=""),"",$I43-TODAY())</f>
        <v/>
      </c>
      <c r="K43" s="53" t="str">
        <f aca="false">IF($B43="","",IF($I43="","Vitalício / sem prazo",IF($J43&lt;0,"Vencido",IF($J43&lt;=Listas!$G$4,"Vence em breve","Ativo"))))</f>
        <v/>
      </c>
      <c r="L43" s="54"/>
      <c r="M43" s="54"/>
      <c r="N43" s="33" t="str">
        <f aca="false">IF($B43="","",IF(N($L43)=0,0,MIN(1,N($M43)/$L43)))</f>
        <v/>
      </c>
      <c r="O43" s="43"/>
      <c r="P43" s="43"/>
      <c r="Q43" s="42"/>
      <c r="R43" s="42"/>
      <c r="S43" s="42"/>
      <c r="T43" s="5"/>
    </row>
    <row r="44" customFormat="false" ht="21" hidden="false" customHeight="true" outlineLevel="0" collapsed="false">
      <c r="A44" s="31" t="str">
        <f aca="false">IF($B44="","","IA-"&amp;TEXT(ROW()-7,"00"))</f>
        <v/>
      </c>
      <c r="B44" s="42"/>
      <c r="C44" s="42"/>
      <c r="D44" s="42"/>
      <c r="E44" s="44"/>
      <c r="F44" s="29"/>
      <c r="G44" s="44"/>
      <c r="H44" s="44"/>
      <c r="I44" s="44"/>
      <c r="J44" s="52" t="str">
        <f aca="true">IF(OR($B44="",$I44=""),"",$I44-TODAY())</f>
        <v/>
      </c>
      <c r="K44" s="53" t="str">
        <f aca="false">IF($B44="","",IF($I44="","Vitalício / sem prazo",IF($J44&lt;0,"Vencido",IF($J44&lt;=Listas!$G$4,"Vence em breve","Ativo"))))</f>
        <v/>
      </c>
      <c r="L44" s="54"/>
      <c r="M44" s="54"/>
      <c r="N44" s="33" t="str">
        <f aca="false">IF($B44="","",IF(N($L44)=0,0,MIN(1,N($M44)/$L44)))</f>
        <v/>
      </c>
      <c r="O44" s="43"/>
      <c r="P44" s="43"/>
      <c r="Q44" s="42"/>
      <c r="R44" s="42"/>
      <c r="S44" s="42"/>
      <c r="T44" s="5"/>
    </row>
    <row r="45" customFormat="false" ht="21" hidden="false" customHeight="true" outlineLevel="0" collapsed="false">
      <c r="A45" s="31" t="str">
        <f aca="false">IF($B45="","","IA-"&amp;TEXT(ROW()-7,"00"))</f>
        <v/>
      </c>
      <c r="B45" s="42"/>
      <c r="C45" s="42"/>
      <c r="D45" s="42"/>
      <c r="E45" s="44"/>
      <c r="F45" s="29"/>
      <c r="G45" s="44"/>
      <c r="H45" s="44"/>
      <c r="I45" s="44"/>
      <c r="J45" s="52" t="str">
        <f aca="true">IF(OR($B45="",$I45=""),"",$I45-TODAY())</f>
        <v/>
      </c>
      <c r="K45" s="53" t="str">
        <f aca="false">IF($B45="","",IF($I45="","Vitalício / sem prazo",IF($J45&lt;0,"Vencido",IF($J45&lt;=Listas!$G$4,"Vence em breve","Ativo"))))</f>
        <v/>
      </c>
      <c r="L45" s="54"/>
      <c r="M45" s="54"/>
      <c r="N45" s="33" t="str">
        <f aca="false">IF($B45="","",IF(N($L45)=0,0,MIN(1,N($M45)/$L45)))</f>
        <v/>
      </c>
      <c r="O45" s="43"/>
      <c r="P45" s="43"/>
      <c r="Q45" s="42"/>
      <c r="R45" s="42"/>
      <c r="S45" s="42"/>
      <c r="T45" s="5"/>
    </row>
    <row r="46" customFormat="false" ht="21" hidden="false" customHeight="true" outlineLevel="0" collapsed="false">
      <c r="A46" s="31" t="str">
        <f aca="false">IF($B46="","","IA-"&amp;TEXT(ROW()-7,"00"))</f>
        <v/>
      </c>
      <c r="B46" s="42"/>
      <c r="C46" s="42"/>
      <c r="D46" s="42"/>
      <c r="E46" s="44"/>
      <c r="F46" s="29"/>
      <c r="G46" s="44"/>
      <c r="H46" s="44"/>
      <c r="I46" s="44"/>
      <c r="J46" s="52" t="str">
        <f aca="true">IF(OR($B46="",$I46=""),"",$I46-TODAY())</f>
        <v/>
      </c>
      <c r="K46" s="53" t="str">
        <f aca="false">IF($B46="","",IF($I46="","Vitalício / sem prazo",IF($J46&lt;0,"Vencido",IF($J46&lt;=Listas!$G$4,"Vence em breve","Ativo"))))</f>
        <v/>
      </c>
      <c r="L46" s="54"/>
      <c r="M46" s="54"/>
      <c r="N46" s="33" t="str">
        <f aca="false">IF($B46="","",IF(N($L46)=0,0,MIN(1,N($M46)/$L46)))</f>
        <v/>
      </c>
      <c r="O46" s="43"/>
      <c r="P46" s="43"/>
      <c r="Q46" s="42"/>
      <c r="R46" s="42"/>
      <c r="S46" s="42"/>
      <c r="T46" s="5"/>
    </row>
    <row r="47" customFormat="false" ht="21" hidden="false" customHeight="true" outlineLevel="0" collapsed="false">
      <c r="A47" s="31" t="str">
        <f aca="false">IF($B47="","","IA-"&amp;TEXT(ROW()-7,"00"))</f>
        <v/>
      </c>
      <c r="B47" s="42"/>
      <c r="C47" s="42"/>
      <c r="D47" s="42"/>
      <c r="E47" s="44"/>
      <c r="F47" s="29"/>
      <c r="G47" s="44"/>
      <c r="H47" s="44"/>
      <c r="I47" s="44"/>
      <c r="J47" s="52" t="str">
        <f aca="true">IF(OR($B47="",$I47=""),"",$I47-TODAY())</f>
        <v/>
      </c>
      <c r="K47" s="53" t="str">
        <f aca="false">IF($B47="","",IF($I47="","Vitalício / sem prazo",IF($J47&lt;0,"Vencido",IF($J47&lt;=Listas!$G$4,"Vence em breve","Ativo"))))</f>
        <v/>
      </c>
      <c r="L47" s="54"/>
      <c r="M47" s="54"/>
      <c r="N47" s="33" t="str">
        <f aca="false">IF($B47="","",IF(N($L47)=0,0,MIN(1,N($M47)/$L47)))</f>
        <v/>
      </c>
      <c r="O47" s="43"/>
      <c r="P47" s="43"/>
      <c r="Q47" s="42"/>
      <c r="R47" s="42"/>
      <c r="S47" s="42"/>
      <c r="T47" s="5"/>
    </row>
  </sheetData>
  <autoFilter ref="A7:T47"/>
  <mergeCells count="16">
    <mergeCell ref="A1:T1"/>
    <mergeCell ref="A2:Q2"/>
    <mergeCell ref="R2:T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A6:L6"/>
  </mergeCells>
  <conditionalFormatting sqref="O8:O47">
    <cfRule type="cellIs" priority="2" operator="equal" aboveAverage="0" equalAverage="0" bottom="0" percent="0" rank="0" text="" dxfId="11">
      <formula>"Concluído"</formula>
    </cfRule>
    <cfRule type="cellIs" priority="3" operator="equal" aboveAverage="0" equalAverage="0" bottom="0" percent="0" rank="0" text="" dxfId="12">
      <formula>"Em andamento"</formula>
    </cfRule>
    <cfRule type="cellIs" priority="4" operator="equal" aboveAverage="0" equalAverage="0" bottom="0" percent="0" rank="0" text="" dxfId="13">
      <formula>"Pausado"</formula>
    </cfRule>
  </conditionalFormatting>
  <conditionalFormatting sqref="P8:P47">
    <cfRule type="cellIs" priority="5" operator="equal" aboveAverage="0" equalAverage="0" bottom="0" percent="0" rank="0" text="" dxfId="14">
      <formula>"Alta"</formula>
    </cfRule>
  </conditionalFormatting>
  <conditionalFormatting sqref="N8:N47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{B77160DD-A4A8-4D4F-961D-3A63F0577DE6}</x14:id>
        </ext>
      </extLst>
    </cfRule>
  </conditionalFormatting>
  <conditionalFormatting sqref="J8:K47">
    <cfRule type="expression" priority="7" aboveAverage="0" equalAverage="0" bottom="0" percent="0" rank="0" text="" dxfId="15">
      <formula>$K8="Vencido"</formula>
    </cfRule>
    <cfRule type="expression" priority="8" aboveAverage="0" equalAverage="0" bottom="0" percent="0" rank="0" text="" dxfId="16">
      <formula>$K8="Vence em breve"</formula>
    </cfRule>
    <cfRule type="expression" priority="9" aboveAverage="0" equalAverage="0" bottom="0" percent="0" rank="0" text="" dxfId="17">
      <formula>$K8="Ativo"</formula>
    </cfRule>
  </conditionalFormatting>
  <dataValidations count="4">
    <dataValidation allowBlank="true" error="Valor inválido para esta coluna." errorStyle="stop" errorTitle="Atenção" operator="greaterThan" showDropDown="false" showErrorMessage="true" showInputMessage="false" sqref="E8:E47 G8:I47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8:F47 L8:M47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8:O47" type="list">
      <formula1>Listas!$A$4:$A$7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8:P47" type="list">
      <formula1>Listas!$B$4:$B$6</formula1>
      <formula2>0</formula2>
    </dataValidation>
  </dataValidations>
  <hyperlinks>
    <hyperlink ref="R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7160DD-A4A8-4D4F-961D-3A63F0577DE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N8:N47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V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8" min="17" style="0" width="16"/>
    <col collapsed="false" customWidth="true" hidden="false" outlineLevel="0" max="19" min="19" style="0" width="26"/>
    <col collapsed="false" customWidth="true" hidden="false" outlineLevel="0" max="20" min="20" style="0" width="22"/>
    <col collapsed="false" customWidth="true" hidden="false" outlineLevel="0" max="21" min="21" style="0" width="30"/>
    <col collapsed="false" customWidth="true" hidden="false" outlineLevel="0" max="22" min="22" style="0" width="36"/>
  </cols>
  <sheetData>
    <row r="1" customFormat="false" ht="37.5" hidden="false" customHeight="true" outlineLevel="0" collapsed="false">
      <c r="A1" s="17" t="s">
        <v>156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customFormat="false" ht="21.75" hidden="false" customHeight="true" outlineLevel="0" collapsed="false">
      <c r="A2" s="18" t="s">
        <v>157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 t="s">
        <v>52</v>
      </c>
      <c r="U2" s="19"/>
      <c r="V2" s="19"/>
    </row>
    <row r="3" customFormat="false" ht="7.5" hidden="false" customHeight="true" outlineLevel="0" collapsed="false"/>
    <row r="4" customFormat="false" ht="19.5" hidden="false" customHeight="true" outlineLevel="0" collapsed="false">
      <c r="B4" s="20" t="s">
        <v>61</v>
      </c>
      <c r="C4" s="20"/>
      <c r="D4" s="20" t="s">
        <v>39</v>
      </c>
      <c r="E4" s="20"/>
      <c r="F4" s="20" t="s">
        <v>54</v>
      </c>
      <c r="G4" s="20"/>
      <c r="H4" s="20" t="s">
        <v>87</v>
      </c>
      <c r="I4" s="20"/>
      <c r="J4" s="20" t="s">
        <v>56</v>
      </c>
      <c r="K4" s="20"/>
      <c r="L4" s="20" t="s">
        <v>158</v>
      </c>
      <c r="M4" s="20"/>
    </row>
    <row r="5" customFormat="false" ht="30" hidden="false" customHeight="true" outlineLevel="0" collapsed="false">
      <c r="B5" s="48" t="n">
        <f aca="false">COUNTA(B8:B47)</f>
        <v>1</v>
      </c>
      <c r="C5" s="48"/>
      <c r="D5" s="48" t="n">
        <f aca="false">COUNTIF(O8:O47,"Em andamento")</f>
        <v>1</v>
      </c>
      <c r="E5" s="48"/>
      <c r="F5" s="48" t="n">
        <f aca="false">COUNTIF(O8:O47,"Concluído")</f>
        <v>0</v>
      </c>
      <c r="G5" s="48"/>
      <c r="H5" s="49" t="n">
        <f aca="false">SUM(F8:F47)</f>
        <v>297</v>
      </c>
      <c r="I5" s="49"/>
      <c r="J5" s="50" t="n">
        <f aca="false">IFERROR(AVERAGE(N8:N47),0)</f>
        <v>0.222222222222222</v>
      </c>
      <c r="K5" s="50"/>
      <c r="L5" s="49" t="n">
        <f aca="false">SUM(R8:R47)</f>
        <v>0</v>
      </c>
      <c r="M5" s="49"/>
    </row>
    <row r="6" customFormat="false" ht="18" hidden="false" customHeight="true" outlineLevel="0" collapsed="false">
      <c r="A6" s="51" t="s">
        <v>88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</row>
    <row r="7" customFormat="false" ht="37.5" hidden="false" customHeight="true" outlineLevel="0" collapsed="false">
      <c r="A7" s="34" t="s">
        <v>89</v>
      </c>
      <c r="B7" s="27" t="s">
        <v>149</v>
      </c>
      <c r="C7" s="27" t="s">
        <v>150</v>
      </c>
      <c r="D7" s="27" t="s">
        <v>159</v>
      </c>
      <c r="E7" s="27" t="s">
        <v>93</v>
      </c>
      <c r="F7" s="27" t="s">
        <v>94</v>
      </c>
      <c r="G7" s="27" t="s">
        <v>95</v>
      </c>
      <c r="H7" s="27" t="s">
        <v>96</v>
      </c>
      <c r="I7" s="27" t="s">
        <v>97</v>
      </c>
      <c r="J7" s="34" t="s">
        <v>98</v>
      </c>
      <c r="K7" s="34" t="s">
        <v>99</v>
      </c>
      <c r="L7" s="27" t="s">
        <v>152</v>
      </c>
      <c r="M7" s="27" t="s">
        <v>153</v>
      </c>
      <c r="N7" s="34" t="s">
        <v>102</v>
      </c>
      <c r="O7" s="27" t="s">
        <v>76</v>
      </c>
      <c r="P7" s="27" t="s">
        <v>103</v>
      </c>
      <c r="Q7" s="27" t="s">
        <v>160</v>
      </c>
      <c r="R7" s="27" t="s">
        <v>161</v>
      </c>
      <c r="S7" s="27" t="s">
        <v>104</v>
      </c>
      <c r="T7" s="27" t="s">
        <v>105</v>
      </c>
      <c r="U7" s="27" t="s">
        <v>106</v>
      </c>
      <c r="V7" s="27" t="s">
        <v>107</v>
      </c>
    </row>
    <row r="8" customFormat="false" ht="21" hidden="false" customHeight="true" outlineLevel="0" collapsed="false">
      <c r="A8" s="31" t="str">
        <f aca="false">IF($B8="","","RE-"&amp;TEXT(ROW()-7,"00"))</f>
        <v>RE-01</v>
      </c>
      <c r="B8" s="42" t="s">
        <v>162</v>
      </c>
      <c r="C8" s="42" t="s">
        <v>126</v>
      </c>
      <c r="D8" s="42" t="s">
        <v>163</v>
      </c>
      <c r="E8" s="44" t="n">
        <v>46266</v>
      </c>
      <c r="F8" s="29" t="n">
        <v>297</v>
      </c>
      <c r="G8" s="44" t="n">
        <v>46268</v>
      </c>
      <c r="H8" s="44" t="n">
        <v>46356</v>
      </c>
      <c r="I8" s="44" t="n">
        <v>46631</v>
      </c>
      <c r="J8" s="52" t="n">
        <f aca="true">IF(OR($B8="",$I8=""),"",$I8-TODAY())</f>
        <v>333</v>
      </c>
      <c r="K8" s="53" t="str">
        <f aca="false">IF($B8="","",IF($I8="","Vitalício / sem prazo",IF($J8&lt;0,"Vencido",IF($J8&lt;=Listas!$G$4,"Vence em breve","Ativo"))))</f>
        <v>Ativo</v>
      </c>
      <c r="L8" s="54" t="n">
        <v>45</v>
      </c>
      <c r="M8" s="54" t="n">
        <v>10</v>
      </c>
      <c r="N8" s="33" t="n">
        <f aca="false">IF($B8="","",IF(N($L8)=0,0,MIN(1,N($M8)/$L8)))</f>
        <v>0.222222222222222</v>
      </c>
      <c r="O8" s="43" t="s">
        <v>39</v>
      </c>
      <c r="P8" s="43" t="s">
        <v>145</v>
      </c>
      <c r="Q8" s="29" t="n">
        <v>1500</v>
      </c>
      <c r="R8" s="29" t="n">
        <v>0</v>
      </c>
      <c r="S8" s="42" t="s">
        <v>112</v>
      </c>
      <c r="T8" s="42" t="s">
        <v>113</v>
      </c>
      <c r="U8" s="42" t="s">
        <v>129</v>
      </c>
      <c r="V8" s="5" t="s">
        <v>115</v>
      </c>
    </row>
    <row r="9" customFormat="false" ht="21" hidden="false" customHeight="true" outlineLevel="0" collapsed="false">
      <c r="A9" s="31" t="str">
        <f aca="false">IF($B9="","","RE-"&amp;TEXT(ROW()-7,"00"))</f>
        <v/>
      </c>
      <c r="B9" s="42"/>
      <c r="C9" s="42"/>
      <c r="D9" s="42"/>
      <c r="E9" s="44"/>
      <c r="F9" s="29"/>
      <c r="G9" s="44"/>
      <c r="H9" s="44"/>
      <c r="I9" s="44"/>
      <c r="J9" s="52" t="str">
        <f aca="true">IF(OR($B9="",$I9=""),"",$I9-TODAY())</f>
        <v/>
      </c>
      <c r="K9" s="53" t="str">
        <f aca="false">IF($B9="","",IF($I9="","Vitalício / sem prazo",IF($J9&lt;0,"Vencido",IF($J9&lt;=Listas!$G$4,"Vence em breve","Ativo"))))</f>
        <v/>
      </c>
      <c r="L9" s="54"/>
      <c r="M9" s="54"/>
      <c r="N9" s="33" t="str">
        <f aca="false">IF($B9="","",IF(N($L9)=0,0,MIN(1,N($M9)/$L9)))</f>
        <v/>
      </c>
      <c r="O9" s="43"/>
      <c r="P9" s="43"/>
      <c r="Q9" s="29"/>
      <c r="R9" s="29"/>
      <c r="S9" s="42"/>
      <c r="T9" s="42"/>
      <c r="U9" s="42"/>
      <c r="V9" s="5"/>
    </row>
    <row r="10" customFormat="false" ht="21" hidden="false" customHeight="true" outlineLevel="0" collapsed="false">
      <c r="A10" s="31" t="str">
        <f aca="false">IF($B10="","","RE-"&amp;TEXT(ROW()-7,"00"))</f>
        <v/>
      </c>
      <c r="B10" s="42"/>
      <c r="C10" s="42"/>
      <c r="D10" s="42"/>
      <c r="E10" s="44"/>
      <c r="F10" s="29"/>
      <c r="G10" s="44"/>
      <c r="H10" s="44"/>
      <c r="I10" s="44"/>
      <c r="J10" s="52" t="str">
        <f aca="true">IF(OR($B10="",$I10=""),"",$I10-TODAY())</f>
        <v/>
      </c>
      <c r="K10" s="53" t="str">
        <f aca="false">IF($B10="","",IF($I10="","Vitalício / sem prazo",IF($J10&lt;0,"Vencido",IF($J10&lt;=Listas!$G$4,"Vence em breve","Ativo"))))</f>
        <v/>
      </c>
      <c r="L10" s="54"/>
      <c r="M10" s="54"/>
      <c r="N10" s="33" t="str">
        <f aca="false">IF($B10="","",IF(N($L10)=0,0,MIN(1,N($M10)/$L10)))</f>
        <v/>
      </c>
      <c r="O10" s="43"/>
      <c r="P10" s="43"/>
      <c r="Q10" s="29"/>
      <c r="R10" s="29"/>
      <c r="S10" s="42"/>
      <c r="T10" s="42"/>
      <c r="U10" s="42"/>
      <c r="V10" s="5"/>
    </row>
    <row r="11" customFormat="false" ht="21" hidden="false" customHeight="true" outlineLevel="0" collapsed="false">
      <c r="A11" s="31" t="str">
        <f aca="false">IF($B11="","","RE-"&amp;TEXT(ROW()-7,"00"))</f>
        <v/>
      </c>
      <c r="B11" s="42"/>
      <c r="C11" s="42"/>
      <c r="D11" s="42"/>
      <c r="E11" s="44"/>
      <c r="F11" s="29"/>
      <c r="G11" s="44"/>
      <c r="H11" s="44"/>
      <c r="I11" s="44"/>
      <c r="J11" s="52" t="str">
        <f aca="true">IF(OR($B11="",$I11=""),"",$I11-TODAY())</f>
        <v/>
      </c>
      <c r="K11" s="53" t="str">
        <f aca="false">IF($B11="","",IF($I11="","Vitalício / sem prazo",IF($J11&lt;0,"Vencido",IF($J11&lt;=Listas!$G$4,"Vence em breve","Ativo"))))</f>
        <v/>
      </c>
      <c r="L11" s="54"/>
      <c r="M11" s="54"/>
      <c r="N11" s="33" t="str">
        <f aca="false">IF($B11="","",IF(N($L11)=0,0,MIN(1,N($M11)/$L11)))</f>
        <v/>
      </c>
      <c r="O11" s="43"/>
      <c r="P11" s="43"/>
      <c r="Q11" s="29"/>
      <c r="R11" s="29"/>
      <c r="S11" s="42"/>
      <c r="T11" s="42"/>
      <c r="U11" s="42"/>
      <c r="V11" s="5"/>
    </row>
    <row r="12" customFormat="false" ht="21" hidden="false" customHeight="true" outlineLevel="0" collapsed="false">
      <c r="A12" s="31" t="str">
        <f aca="false">IF($B12="","","RE-"&amp;TEXT(ROW()-7,"00"))</f>
        <v/>
      </c>
      <c r="B12" s="42"/>
      <c r="C12" s="42"/>
      <c r="D12" s="42"/>
      <c r="E12" s="44"/>
      <c r="F12" s="29"/>
      <c r="G12" s="44"/>
      <c r="H12" s="44"/>
      <c r="I12" s="44"/>
      <c r="J12" s="52" t="str">
        <f aca="true">IF(OR($B12="",$I12=""),"",$I12-TODAY())</f>
        <v/>
      </c>
      <c r="K12" s="53" t="str">
        <f aca="false">IF($B12="","",IF($I12="","Vitalício / sem prazo",IF($J12&lt;0,"Vencido",IF($J12&lt;=Listas!$G$4,"Vence em breve","Ativo"))))</f>
        <v/>
      </c>
      <c r="L12" s="54"/>
      <c r="M12" s="54"/>
      <c r="N12" s="33" t="str">
        <f aca="false">IF($B12="","",IF(N($L12)=0,0,MIN(1,N($M12)/$L12)))</f>
        <v/>
      </c>
      <c r="O12" s="43"/>
      <c r="P12" s="43"/>
      <c r="Q12" s="29"/>
      <c r="R12" s="29"/>
      <c r="S12" s="42"/>
      <c r="T12" s="42"/>
      <c r="U12" s="42"/>
      <c r="V12" s="5"/>
    </row>
    <row r="13" customFormat="false" ht="21" hidden="false" customHeight="true" outlineLevel="0" collapsed="false">
      <c r="A13" s="31" t="str">
        <f aca="false">IF($B13="","","RE-"&amp;TEXT(ROW()-7,"00"))</f>
        <v/>
      </c>
      <c r="B13" s="42"/>
      <c r="C13" s="42"/>
      <c r="D13" s="42"/>
      <c r="E13" s="44"/>
      <c r="F13" s="29"/>
      <c r="G13" s="44"/>
      <c r="H13" s="44"/>
      <c r="I13" s="44"/>
      <c r="J13" s="52" t="str">
        <f aca="true">IF(OR($B13="",$I13=""),"",$I13-TODAY())</f>
        <v/>
      </c>
      <c r="K13" s="53" t="str">
        <f aca="false">IF($B13="","",IF($I13="","Vitalício / sem prazo",IF($J13&lt;0,"Vencido",IF($J13&lt;=Listas!$G$4,"Vence em breve","Ativo"))))</f>
        <v/>
      </c>
      <c r="L13" s="54"/>
      <c r="M13" s="54"/>
      <c r="N13" s="33" t="str">
        <f aca="false">IF($B13="","",IF(N($L13)=0,0,MIN(1,N($M13)/$L13)))</f>
        <v/>
      </c>
      <c r="O13" s="43"/>
      <c r="P13" s="43"/>
      <c r="Q13" s="29"/>
      <c r="R13" s="29"/>
      <c r="S13" s="42"/>
      <c r="T13" s="42"/>
      <c r="U13" s="42"/>
      <c r="V13" s="5"/>
    </row>
    <row r="14" customFormat="false" ht="21" hidden="false" customHeight="true" outlineLevel="0" collapsed="false">
      <c r="A14" s="31" t="str">
        <f aca="false">IF($B14="","","RE-"&amp;TEXT(ROW()-7,"00"))</f>
        <v/>
      </c>
      <c r="B14" s="42"/>
      <c r="C14" s="42"/>
      <c r="D14" s="42"/>
      <c r="E14" s="44"/>
      <c r="F14" s="29"/>
      <c r="G14" s="44"/>
      <c r="H14" s="44"/>
      <c r="I14" s="44"/>
      <c r="J14" s="52" t="str">
        <f aca="true">IF(OR($B14="",$I14=""),"",$I14-TODAY())</f>
        <v/>
      </c>
      <c r="K14" s="53" t="str">
        <f aca="false">IF($B14="","",IF($I14="","Vitalício / sem prazo",IF($J14&lt;0,"Vencido",IF($J14&lt;=Listas!$G$4,"Vence em breve","Ativo"))))</f>
        <v/>
      </c>
      <c r="L14" s="54"/>
      <c r="M14" s="54"/>
      <c r="N14" s="33" t="str">
        <f aca="false">IF($B14="","",IF(N($L14)=0,0,MIN(1,N($M14)/$L14)))</f>
        <v/>
      </c>
      <c r="O14" s="43"/>
      <c r="P14" s="43"/>
      <c r="Q14" s="29"/>
      <c r="R14" s="29"/>
      <c r="S14" s="42"/>
      <c r="T14" s="42"/>
      <c r="U14" s="42"/>
      <c r="V14" s="5"/>
    </row>
    <row r="15" customFormat="false" ht="21" hidden="false" customHeight="true" outlineLevel="0" collapsed="false">
      <c r="A15" s="31" t="str">
        <f aca="false">IF($B15="","","RE-"&amp;TEXT(ROW()-7,"00"))</f>
        <v/>
      </c>
      <c r="B15" s="42"/>
      <c r="C15" s="42"/>
      <c r="D15" s="42"/>
      <c r="E15" s="44"/>
      <c r="F15" s="29"/>
      <c r="G15" s="44"/>
      <c r="H15" s="44"/>
      <c r="I15" s="44"/>
      <c r="J15" s="52" t="str">
        <f aca="true">IF(OR($B15="",$I15=""),"",$I15-TODAY())</f>
        <v/>
      </c>
      <c r="K15" s="53" t="str">
        <f aca="false">IF($B15="","",IF($I15="","Vitalício / sem prazo",IF($J15&lt;0,"Vencido",IF($J15&lt;=Listas!$G$4,"Vence em breve","Ativo"))))</f>
        <v/>
      </c>
      <c r="L15" s="54"/>
      <c r="M15" s="54"/>
      <c r="N15" s="33" t="str">
        <f aca="false">IF($B15="","",IF(N($L15)=0,0,MIN(1,N($M15)/$L15)))</f>
        <v/>
      </c>
      <c r="O15" s="43"/>
      <c r="P15" s="43"/>
      <c r="Q15" s="29"/>
      <c r="R15" s="29"/>
      <c r="S15" s="42"/>
      <c r="T15" s="42"/>
      <c r="U15" s="42"/>
      <c r="V15" s="5"/>
    </row>
    <row r="16" customFormat="false" ht="21" hidden="false" customHeight="true" outlineLevel="0" collapsed="false">
      <c r="A16" s="31" t="str">
        <f aca="false">IF($B16="","","RE-"&amp;TEXT(ROW()-7,"00"))</f>
        <v/>
      </c>
      <c r="B16" s="42"/>
      <c r="C16" s="42"/>
      <c r="D16" s="42"/>
      <c r="E16" s="44"/>
      <c r="F16" s="29"/>
      <c r="G16" s="44"/>
      <c r="H16" s="44"/>
      <c r="I16" s="44"/>
      <c r="J16" s="52" t="str">
        <f aca="true">IF(OR($B16="",$I16=""),"",$I16-TODAY())</f>
        <v/>
      </c>
      <c r="K16" s="53" t="str">
        <f aca="false">IF($B16="","",IF($I16="","Vitalício / sem prazo",IF($J16&lt;0,"Vencido",IF($J16&lt;=Listas!$G$4,"Vence em breve","Ativo"))))</f>
        <v/>
      </c>
      <c r="L16" s="54"/>
      <c r="M16" s="54"/>
      <c r="N16" s="33" t="str">
        <f aca="false">IF($B16="","",IF(N($L16)=0,0,MIN(1,N($M16)/$L16)))</f>
        <v/>
      </c>
      <c r="O16" s="43"/>
      <c r="P16" s="43"/>
      <c r="Q16" s="29"/>
      <c r="R16" s="29"/>
      <c r="S16" s="42"/>
      <c r="T16" s="42"/>
      <c r="U16" s="42"/>
      <c r="V16" s="5"/>
    </row>
    <row r="17" customFormat="false" ht="21" hidden="false" customHeight="true" outlineLevel="0" collapsed="false">
      <c r="A17" s="31" t="str">
        <f aca="false">IF($B17="","","RE-"&amp;TEXT(ROW()-7,"00"))</f>
        <v/>
      </c>
      <c r="B17" s="42"/>
      <c r="C17" s="42"/>
      <c r="D17" s="42"/>
      <c r="E17" s="44"/>
      <c r="F17" s="29"/>
      <c r="G17" s="44"/>
      <c r="H17" s="44"/>
      <c r="I17" s="44"/>
      <c r="J17" s="52" t="str">
        <f aca="true">IF(OR($B17="",$I17=""),"",$I17-TODAY())</f>
        <v/>
      </c>
      <c r="K17" s="53" t="str">
        <f aca="false">IF($B17="","",IF($I17="","Vitalício / sem prazo",IF($J17&lt;0,"Vencido",IF($J17&lt;=Listas!$G$4,"Vence em breve","Ativo"))))</f>
        <v/>
      </c>
      <c r="L17" s="54"/>
      <c r="M17" s="54"/>
      <c r="N17" s="33" t="str">
        <f aca="false">IF($B17="","",IF(N($L17)=0,0,MIN(1,N($M17)/$L17)))</f>
        <v/>
      </c>
      <c r="O17" s="43"/>
      <c r="P17" s="43"/>
      <c r="Q17" s="29"/>
      <c r="R17" s="29"/>
      <c r="S17" s="42"/>
      <c r="T17" s="42"/>
      <c r="U17" s="42"/>
      <c r="V17" s="5"/>
    </row>
    <row r="18" customFormat="false" ht="21" hidden="false" customHeight="true" outlineLevel="0" collapsed="false">
      <c r="A18" s="31" t="str">
        <f aca="false">IF($B18="","","RE-"&amp;TEXT(ROW()-7,"00"))</f>
        <v/>
      </c>
      <c r="B18" s="42"/>
      <c r="C18" s="42"/>
      <c r="D18" s="42"/>
      <c r="E18" s="44"/>
      <c r="F18" s="29"/>
      <c r="G18" s="44"/>
      <c r="H18" s="44"/>
      <c r="I18" s="44"/>
      <c r="J18" s="52" t="str">
        <f aca="true">IF(OR($B18="",$I18=""),"",$I18-TODAY())</f>
        <v/>
      </c>
      <c r="K18" s="53" t="str">
        <f aca="false">IF($B18="","",IF($I18="","Vitalício / sem prazo",IF($J18&lt;0,"Vencido",IF($J18&lt;=Listas!$G$4,"Vence em breve","Ativo"))))</f>
        <v/>
      </c>
      <c r="L18" s="54"/>
      <c r="M18" s="54"/>
      <c r="N18" s="33" t="str">
        <f aca="false">IF($B18="","",IF(N($L18)=0,0,MIN(1,N($M18)/$L18)))</f>
        <v/>
      </c>
      <c r="O18" s="43"/>
      <c r="P18" s="43"/>
      <c r="Q18" s="29"/>
      <c r="R18" s="29"/>
      <c r="S18" s="42"/>
      <c r="T18" s="42"/>
      <c r="U18" s="42"/>
      <c r="V18" s="5"/>
    </row>
    <row r="19" customFormat="false" ht="21" hidden="false" customHeight="true" outlineLevel="0" collapsed="false">
      <c r="A19" s="31" t="str">
        <f aca="false">IF($B19="","","RE-"&amp;TEXT(ROW()-7,"00"))</f>
        <v/>
      </c>
      <c r="B19" s="42"/>
      <c r="C19" s="42"/>
      <c r="D19" s="42"/>
      <c r="E19" s="44"/>
      <c r="F19" s="29"/>
      <c r="G19" s="44"/>
      <c r="H19" s="44"/>
      <c r="I19" s="44"/>
      <c r="J19" s="52" t="str">
        <f aca="true">IF(OR($B19="",$I19=""),"",$I19-TODAY())</f>
        <v/>
      </c>
      <c r="K19" s="53" t="str">
        <f aca="false">IF($B19="","",IF($I19="","Vitalício / sem prazo",IF($J19&lt;0,"Vencido",IF($J19&lt;=Listas!$G$4,"Vence em breve","Ativo"))))</f>
        <v/>
      </c>
      <c r="L19" s="54"/>
      <c r="M19" s="54"/>
      <c r="N19" s="33" t="str">
        <f aca="false">IF($B19="","",IF(N($L19)=0,0,MIN(1,N($M19)/$L19)))</f>
        <v/>
      </c>
      <c r="O19" s="43"/>
      <c r="P19" s="43"/>
      <c r="Q19" s="29"/>
      <c r="R19" s="29"/>
      <c r="S19" s="42"/>
      <c r="T19" s="42"/>
      <c r="U19" s="42"/>
      <c r="V19" s="5"/>
    </row>
    <row r="20" customFormat="false" ht="21" hidden="false" customHeight="true" outlineLevel="0" collapsed="false">
      <c r="A20" s="31" t="str">
        <f aca="false">IF($B20="","","RE-"&amp;TEXT(ROW()-7,"00"))</f>
        <v/>
      </c>
      <c r="B20" s="42"/>
      <c r="C20" s="42"/>
      <c r="D20" s="42"/>
      <c r="E20" s="44"/>
      <c r="F20" s="29"/>
      <c r="G20" s="44"/>
      <c r="H20" s="44"/>
      <c r="I20" s="44"/>
      <c r="J20" s="52" t="str">
        <f aca="true">IF(OR($B20="",$I20=""),"",$I20-TODAY())</f>
        <v/>
      </c>
      <c r="K20" s="53" t="str">
        <f aca="false">IF($B20="","",IF($I20="","Vitalício / sem prazo",IF($J20&lt;0,"Vencido",IF($J20&lt;=Listas!$G$4,"Vence em breve","Ativo"))))</f>
        <v/>
      </c>
      <c r="L20" s="54"/>
      <c r="M20" s="54"/>
      <c r="N20" s="33" t="str">
        <f aca="false">IF($B20="","",IF(N($L20)=0,0,MIN(1,N($M20)/$L20)))</f>
        <v/>
      </c>
      <c r="O20" s="43"/>
      <c r="P20" s="43"/>
      <c r="Q20" s="29"/>
      <c r="R20" s="29"/>
      <c r="S20" s="42"/>
      <c r="T20" s="42"/>
      <c r="U20" s="42"/>
      <c r="V20" s="5"/>
    </row>
    <row r="21" customFormat="false" ht="21" hidden="false" customHeight="true" outlineLevel="0" collapsed="false">
      <c r="A21" s="31" t="str">
        <f aca="false">IF($B21="","","RE-"&amp;TEXT(ROW()-7,"00"))</f>
        <v/>
      </c>
      <c r="B21" s="42"/>
      <c r="C21" s="42"/>
      <c r="D21" s="42"/>
      <c r="E21" s="44"/>
      <c r="F21" s="29"/>
      <c r="G21" s="44"/>
      <c r="H21" s="44"/>
      <c r="I21" s="44"/>
      <c r="J21" s="52" t="str">
        <f aca="true">IF(OR($B21="",$I21=""),"",$I21-TODAY())</f>
        <v/>
      </c>
      <c r="K21" s="53" t="str">
        <f aca="false">IF($B21="","",IF($I21="","Vitalício / sem prazo",IF($J21&lt;0,"Vencido",IF($J21&lt;=Listas!$G$4,"Vence em breve","Ativo"))))</f>
        <v/>
      </c>
      <c r="L21" s="54"/>
      <c r="M21" s="54"/>
      <c r="N21" s="33" t="str">
        <f aca="false">IF($B21="","",IF(N($L21)=0,0,MIN(1,N($M21)/$L21)))</f>
        <v/>
      </c>
      <c r="O21" s="43"/>
      <c r="P21" s="43"/>
      <c r="Q21" s="29"/>
      <c r="R21" s="29"/>
      <c r="S21" s="42"/>
      <c r="T21" s="42"/>
      <c r="U21" s="42"/>
      <c r="V21" s="5"/>
    </row>
    <row r="22" customFormat="false" ht="21" hidden="false" customHeight="true" outlineLevel="0" collapsed="false">
      <c r="A22" s="31" t="str">
        <f aca="false">IF($B22="","","RE-"&amp;TEXT(ROW()-7,"00"))</f>
        <v/>
      </c>
      <c r="B22" s="42"/>
      <c r="C22" s="42"/>
      <c r="D22" s="42"/>
      <c r="E22" s="44"/>
      <c r="F22" s="29"/>
      <c r="G22" s="44"/>
      <c r="H22" s="44"/>
      <c r="I22" s="44"/>
      <c r="J22" s="52" t="str">
        <f aca="true">IF(OR($B22="",$I22=""),"",$I22-TODAY())</f>
        <v/>
      </c>
      <c r="K22" s="53" t="str">
        <f aca="false">IF($B22="","",IF($I22="","Vitalício / sem prazo",IF($J22&lt;0,"Vencido",IF($J22&lt;=Listas!$G$4,"Vence em breve","Ativo"))))</f>
        <v/>
      </c>
      <c r="L22" s="54"/>
      <c r="M22" s="54"/>
      <c r="N22" s="33" t="str">
        <f aca="false">IF($B22="","",IF(N($L22)=0,0,MIN(1,N($M22)/$L22)))</f>
        <v/>
      </c>
      <c r="O22" s="43"/>
      <c r="P22" s="43"/>
      <c r="Q22" s="29"/>
      <c r="R22" s="29"/>
      <c r="S22" s="42"/>
      <c r="T22" s="42"/>
      <c r="U22" s="42"/>
      <c r="V22" s="5"/>
    </row>
    <row r="23" customFormat="false" ht="21" hidden="false" customHeight="true" outlineLevel="0" collapsed="false">
      <c r="A23" s="31" t="str">
        <f aca="false">IF($B23="","","RE-"&amp;TEXT(ROW()-7,"00"))</f>
        <v/>
      </c>
      <c r="B23" s="42"/>
      <c r="C23" s="42"/>
      <c r="D23" s="42"/>
      <c r="E23" s="44"/>
      <c r="F23" s="29"/>
      <c r="G23" s="44"/>
      <c r="H23" s="44"/>
      <c r="I23" s="44"/>
      <c r="J23" s="52" t="str">
        <f aca="true">IF(OR($B23="",$I23=""),"",$I23-TODAY())</f>
        <v/>
      </c>
      <c r="K23" s="53" t="str">
        <f aca="false">IF($B23="","",IF($I23="","Vitalício / sem prazo",IF($J23&lt;0,"Vencido",IF($J23&lt;=Listas!$G$4,"Vence em breve","Ativo"))))</f>
        <v/>
      </c>
      <c r="L23" s="54"/>
      <c r="M23" s="54"/>
      <c r="N23" s="33" t="str">
        <f aca="false">IF($B23="","",IF(N($L23)=0,0,MIN(1,N($M23)/$L23)))</f>
        <v/>
      </c>
      <c r="O23" s="43"/>
      <c r="P23" s="43"/>
      <c r="Q23" s="29"/>
      <c r="R23" s="29"/>
      <c r="S23" s="42"/>
      <c r="T23" s="42"/>
      <c r="U23" s="42"/>
      <c r="V23" s="5"/>
    </row>
    <row r="24" customFormat="false" ht="21" hidden="false" customHeight="true" outlineLevel="0" collapsed="false">
      <c r="A24" s="31" t="str">
        <f aca="false">IF($B24="","","RE-"&amp;TEXT(ROW()-7,"00"))</f>
        <v/>
      </c>
      <c r="B24" s="42"/>
      <c r="C24" s="42"/>
      <c r="D24" s="42"/>
      <c r="E24" s="44"/>
      <c r="F24" s="29"/>
      <c r="G24" s="44"/>
      <c r="H24" s="44"/>
      <c r="I24" s="44"/>
      <c r="J24" s="52" t="str">
        <f aca="true">IF(OR($B24="",$I24=""),"",$I24-TODAY())</f>
        <v/>
      </c>
      <c r="K24" s="53" t="str">
        <f aca="false">IF($B24="","",IF($I24="","Vitalício / sem prazo",IF($J24&lt;0,"Vencido",IF($J24&lt;=Listas!$G$4,"Vence em breve","Ativo"))))</f>
        <v/>
      </c>
      <c r="L24" s="54"/>
      <c r="M24" s="54"/>
      <c r="N24" s="33" t="str">
        <f aca="false">IF($B24="","",IF(N($L24)=0,0,MIN(1,N($M24)/$L24)))</f>
        <v/>
      </c>
      <c r="O24" s="43"/>
      <c r="P24" s="43"/>
      <c r="Q24" s="29"/>
      <c r="R24" s="29"/>
      <c r="S24" s="42"/>
      <c r="T24" s="42"/>
      <c r="U24" s="42"/>
      <c r="V24" s="5"/>
    </row>
    <row r="25" customFormat="false" ht="21" hidden="false" customHeight="true" outlineLevel="0" collapsed="false">
      <c r="A25" s="31" t="str">
        <f aca="false">IF($B25="","","RE-"&amp;TEXT(ROW()-7,"00"))</f>
        <v/>
      </c>
      <c r="B25" s="42"/>
      <c r="C25" s="42"/>
      <c r="D25" s="42"/>
      <c r="E25" s="44"/>
      <c r="F25" s="29"/>
      <c r="G25" s="44"/>
      <c r="H25" s="44"/>
      <c r="I25" s="44"/>
      <c r="J25" s="52" t="str">
        <f aca="true">IF(OR($B25="",$I25=""),"",$I25-TODAY())</f>
        <v/>
      </c>
      <c r="K25" s="53" t="str">
        <f aca="false">IF($B25="","",IF($I25="","Vitalício / sem prazo",IF($J25&lt;0,"Vencido",IF($J25&lt;=Listas!$G$4,"Vence em breve","Ativo"))))</f>
        <v/>
      </c>
      <c r="L25" s="54"/>
      <c r="M25" s="54"/>
      <c r="N25" s="33" t="str">
        <f aca="false">IF($B25="","",IF(N($L25)=0,0,MIN(1,N($M25)/$L25)))</f>
        <v/>
      </c>
      <c r="O25" s="43"/>
      <c r="P25" s="43"/>
      <c r="Q25" s="29"/>
      <c r="R25" s="29"/>
      <c r="S25" s="42"/>
      <c r="T25" s="42"/>
      <c r="U25" s="42"/>
      <c r="V25" s="5"/>
    </row>
    <row r="26" customFormat="false" ht="21" hidden="false" customHeight="true" outlineLevel="0" collapsed="false">
      <c r="A26" s="31" t="str">
        <f aca="false">IF($B26="","","RE-"&amp;TEXT(ROW()-7,"00"))</f>
        <v/>
      </c>
      <c r="B26" s="42"/>
      <c r="C26" s="42"/>
      <c r="D26" s="42"/>
      <c r="E26" s="44"/>
      <c r="F26" s="29"/>
      <c r="G26" s="44"/>
      <c r="H26" s="44"/>
      <c r="I26" s="44"/>
      <c r="J26" s="52" t="str">
        <f aca="true">IF(OR($B26="",$I26=""),"",$I26-TODAY())</f>
        <v/>
      </c>
      <c r="K26" s="53" t="str">
        <f aca="false">IF($B26="","",IF($I26="","Vitalício / sem prazo",IF($J26&lt;0,"Vencido",IF($J26&lt;=Listas!$G$4,"Vence em breve","Ativo"))))</f>
        <v/>
      </c>
      <c r="L26" s="54"/>
      <c r="M26" s="54"/>
      <c r="N26" s="33" t="str">
        <f aca="false">IF($B26="","",IF(N($L26)=0,0,MIN(1,N($M26)/$L26)))</f>
        <v/>
      </c>
      <c r="O26" s="43"/>
      <c r="P26" s="43"/>
      <c r="Q26" s="29"/>
      <c r="R26" s="29"/>
      <c r="S26" s="42"/>
      <c r="T26" s="42"/>
      <c r="U26" s="42"/>
      <c r="V26" s="5"/>
    </row>
    <row r="27" customFormat="false" ht="21" hidden="false" customHeight="true" outlineLevel="0" collapsed="false">
      <c r="A27" s="31" t="str">
        <f aca="false">IF($B27="","","RE-"&amp;TEXT(ROW()-7,"00"))</f>
        <v/>
      </c>
      <c r="B27" s="42"/>
      <c r="C27" s="42"/>
      <c r="D27" s="42"/>
      <c r="E27" s="44"/>
      <c r="F27" s="29"/>
      <c r="G27" s="44"/>
      <c r="H27" s="44"/>
      <c r="I27" s="44"/>
      <c r="J27" s="52" t="str">
        <f aca="true">IF(OR($B27="",$I27=""),"",$I27-TODAY())</f>
        <v/>
      </c>
      <c r="K27" s="53" t="str">
        <f aca="false">IF($B27="","",IF($I27="","Vitalício / sem prazo",IF($J27&lt;0,"Vencido",IF($J27&lt;=Listas!$G$4,"Vence em breve","Ativo"))))</f>
        <v/>
      </c>
      <c r="L27" s="54"/>
      <c r="M27" s="54"/>
      <c r="N27" s="33" t="str">
        <f aca="false">IF($B27="","",IF(N($L27)=0,0,MIN(1,N($M27)/$L27)))</f>
        <v/>
      </c>
      <c r="O27" s="43"/>
      <c r="P27" s="43"/>
      <c r="Q27" s="29"/>
      <c r="R27" s="29"/>
      <c r="S27" s="42"/>
      <c r="T27" s="42"/>
      <c r="U27" s="42"/>
      <c r="V27" s="5"/>
    </row>
    <row r="28" customFormat="false" ht="21" hidden="false" customHeight="true" outlineLevel="0" collapsed="false">
      <c r="A28" s="31" t="str">
        <f aca="false">IF($B28="","","RE-"&amp;TEXT(ROW()-7,"00"))</f>
        <v/>
      </c>
      <c r="B28" s="42"/>
      <c r="C28" s="42"/>
      <c r="D28" s="42"/>
      <c r="E28" s="44"/>
      <c r="F28" s="29"/>
      <c r="G28" s="44"/>
      <c r="H28" s="44"/>
      <c r="I28" s="44"/>
      <c r="J28" s="52" t="str">
        <f aca="true">IF(OR($B28="",$I28=""),"",$I28-TODAY())</f>
        <v/>
      </c>
      <c r="K28" s="53" t="str">
        <f aca="false">IF($B28="","",IF($I28="","Vitalício / sem prazo",IF($J28&lt;0,"Vencido",IF($J28&lt;=Listas!$G$4,"Vence em breve","Ativo"))))</f>
        <v/>
      </c>
      <c r="L28" s="54"/>
      <c r="M28" s="54"/>
      <c r="N28" s="33" t="str">
        <f aca="false">IF($B28="","",IF(N($L28)=0,0,MIN(1,N($M28)/$L28)))</f>
        <v/>
      </c>
      <c r="O28" s="43"/>
      <c r="P28" s="43"/>
      <c r="Q28" s="29"/>
      <c r="R28" s="29"/>
      <c r="S28" s="42"/>
      <c r="T28" s="42"/>
      <c r="U28" s="42"/>
      <c r="V28" s="5"/>
    </row>
    <row r="29" customFormat="false" ht="21" hidden="false" customHeight="true" outlineLevel="0" collapsed="false">
      <c r="A29" s="31" t="str">
        <f aca="false">IF($B29="","","RE-"&amp;TEXT(ROW()-7,"00"))</f>
        <v/>
      </c>
      <c r="B29" s="42"/>
      <c r="C29" s="42"/>
      <c r="D29" s="42"/>
      <c r="E29" s="44"/>
      <c r="F29" s="29"/>
      <c r="G29" s="44"/>
      <c r="H29" s="44"/>
      <c r="I29" s="44"/>
      <c r="J29" s="52" t="str">
        <f aca="true">IF(OR($B29="",$I29=""),"",$I29-TODAY())</f>
        <v/>
      </c>
      <c r="K29" s="53" t="str">
        <f aca="false">IF($B29="","",IF($I29="","Vitalício / sem prazo",IF($J29&lt;0,"Vencido",IF($J29&lt;=Listas!$G$4,"Vence em breve","Ativo"))))</f>
        <v/>
      </c>
      <c r="L29" s="54"/>
      <c r="M29" s="54"/>
      <c r="N29" s="33" t="str">
        <f aca="false">IF($B29="","",IF(N($L29)=0,0,MIN(1,N($M29)/$L29)))</f>
        <v/>
      </c>
      <c r="O29" s="43"/>
      <c r="P29" s="43"/>
      <c r="Q29" s="29"/>
      <c r="R29" s="29"/>
      <c r="S29" s="42"/>
      <c r="T29" s="42"/>
      <c r="U29" s="42"/>
      <c r="V29" s="5"/>
    </row>
    <row r="30" customFormat="false" ht="21" hidden="false" customHeight="true" outlineLevel="0" collapsed="false">
      <c r="A30" s="31" t="str">
        <f aca="false">IF($B30="","","RE-"&amp;TEXT(ROW()-7,"00"))</f>
        <v/>
      </c>
      <c r="B30" s="42"/>
      <c r="C30" s="42"/>
      <c r="D30" s="42"/>
      <c r="E30" s="44"/>
      <c r="F30" s="29"/>
      <c r="G30" s="44"/>
      <c r="H30" s="44"/>
      <c r="I30" s="44"/>
      <c r="J30" s="52" t="str">
        <f aca="true">IF(OR($B30="",$I30=""),"",$I30-TODAY())</f>
        <v/>
      </c>
      <c r="K30" s="53" t="str">
        <f aca="false">IF($B30="","",IF($I30="","Vitalício / sem prazo",IF($J30&lt;0,"Vencido",IF($J30&lt;=Listas!$G$4,"Vence em breve","Ativo"))))</f>
        <v/>
      </c>
      <c r="L30" s="54"/>
      <c r="M30" s="54"/>
      <c r="N30" s="33" t="str">
        <f aca="false">IF($B30="","",IF(N($L30)=0,0,MIN(1,N($M30)/$L30)))</f>
        <v/>
      </c>
      <c r="O30" s="43"/>
      <c r="P30" s="43"/>
      <c r="Q30" s="29"/>
      <c r="R30" s="29"/>
      <c r="S30" s="42"/>
      <c r="T30" s="42"/>
      <c r="U30" s="42"/>
      <c r="V30" s="5"/>
    </row>
    <row r="31" customFormat="false" ht="21" hidden="false" customHeight="true" outlineLevel="0" collapsed="false">
      <c r="A31" s="31" t="str">
        <f aca="false">IF($B31="","","RE-"&amp;TEXT(ROW()-7,"00"))</f>
        <v/>
      </c>
      <c r="B31" s="42"/>
      <c r="C31" s="42"/>
      <c r="D31" s="42"/>
      <c r="E31" s="44"/>
      <c r="F31" s="29"/>
      <c r="G31" s="44"/>
      <c r="H31" s="44"/>
      <c r="I31" s="44"/>
      <c r="J31" s="52" t="str">
        <f aca="true">IF(OR($B31="",$I31=""),"",$I31-TODAY())</f>
        <v/>
      </c>
      <c r="K31" s="53" t="str">
        <f aca="false">IF($B31="","",IF($I31="","Vitalício / sem prazo",IF($J31&lt;0,"Vencido",IF($J31&lt;=Listas!$G$4,"Vence em breve","Ativo"))))</f>
        <v/>
      </c>
      <c r="L31" s="54"/>
      <c r="M31" s="54"/>
      <c r="N31" s="33" t="str">
        <f aca="false">IF($B31="","",IF(N($L31)=0,0,MIN(1,N($M31)/$L31)))</f>
        <v/>
      </c>
      <c r="O31" s="43"/>
      <c r="P31" s="43"/>
      <c r="Q31" s="29"/>
      <c r="R31" s="29"/>
      <c r="S31" s="42"/>
      <c r="T31" s="42"/>
      <c r="U31" s="42"/>
      <c r="V31" s="5"/>
    </row>
    <row r="32" customFormat="false" ht="21" hidden="false" customHeight="true" outlineLevel="0" collapsed="false">
      <c r="A32" s="31" t="str">
        <f aca="false">IF($B32="","","RE-"&amp;TEXT(ROW()-7,"00"))</f>
        <v/>
      </c>
      <c r="B32" s="42"/>
      <c r="C32" s="42"/>
      <c r="D32" s="42"/>
      <c r="E32" s="44"/>
      <c r="F32" s="29"/>
      <c r="G32" s="44"/>
      <c r="H32" s="44"/>
      <c r="I32" s="44"/>
      <c r="J32" s="52" t="str">
        <f aca="true">IF(OR($B32="",$I32=""),"",$I32-TODAY())</f>
        <v/>
      </c>
      <c r="K32" s="53" t="str">
        <f aca="false">IF($B32="","",IF($I32="","Vitalício / sem prazo",IF($J32&lt;0,"Vencido",IF($J32&lt;=Listas!$G$4,"Vence em breve","Ativo"))))</f>
        <v/>
      </c>
      <c r="L32" s="54"/>
      <c r="M32" s="54"/>
      <c r="N32" s="33" t="str">
        <f aca="false">IF($B32="","",IF(N($L32)=0,0,MIN(1,N($M32)/$L32)))</f>
        <v/>
      </c>
      <c r="O32" s="43"/>
      <c r="P32" s="43"/>
      <c r="Q32" s="29"/>
      <c r="R32" s="29"/>
      <c r="S32" s="42"/>
      <c r="T32" s="42"/>
      <c r="U32" s="42"/>
      <c r="V32" s="5"/>
    </row>
    <row r="33" customFormat="false" ht="21" hidden="false" customHeight="true" outlineLevel="0" collapsed="false">
      <c r="A33" s="31" t="str">
        <f aca="false">IF($B33="","","RE-"&amp;TEXT(ROW()-7,"00"))</f>
        <v/>
      </c>
      <c r="B33" s="42"/>
      <c r="C33" s="42"/>
      <c r="D33" s="42"/>
      <c r="E33" s="44"/>
      <c r="F33" s="29"/>
      <c r="G33" s="44"/>
      <c r="H33" s="44"/>
      <c r="I33" s="44"/>
      <c r="J33" s="52" t="str">
        <f aca="true">IF(OR($B33="",$I33=""),"",$I33-TODAY())</f>
        <v/>
      </c>
      <c r="K33" s="53" t="str">
        <f aca="false">IF($B33="","",IF($I33="","Vitalício / sem prazo",IF($J33&lt;0,"Vencido",IF($J33&lt;=Listas!$G$4,"Vence em breve","Ativo"))))</f>
        <v/>
      </c>
      <c r="L33" s="54"/>
      <c r="M33" s="54"/>
      <c r="N33" s="33" t="str">
        <f aca="false">IF($B33="","",IF(N($L33)=0,0,MIN(1,N($M33)/$L33)))</f>
        <v/>
      </c>
      <c r="O33" s="43"/>
      <c r="P33" s="43"/>
      <c r="Q33" s="29"/>
      <c r="R33" s="29"/>
      <c r="S33" s="42"/>
      <c r="T33" s="42"/>
      <c r="U33" s="42"/>
      <c r="V33" s="5"/>
    </row>
    <row r="34" customFormat="false" ht="21" hidden="false" customHeight="true" outlineLevel="0" collapsed="false">
      <c r="A34" s="31" t="str">
        <f aca="false">IF($B34="","","RE-"&amp;TEXT(ROW()-7,"00"))</f>
        <v/>
      </c>
      <c r="B34" s="42"/>
      <c r="C34" s="42"/>
      <c r="D34" s="42"/>
      <c r="E34" s="44"/>
      <c r="F34" s="29"/>
      <c r="G34" s="44"/>
      <c r="H34" s="44"/>
      <c r="I34" s="44"/>
      <c r="J34" s="52" t="str">
        <f aca="true">IF(OR($B34="",$I34=""),"",$I34-TODAY())</f>
        <v/>
      </c>
      <c r="K34" s="53" t="str">
        <f aca="false">IF($B34="","",IF($I34="","Vitalício / sem prazo",IF($J34&lt;0,"Vencido",IF($J34&lt;=Listas!$G$4,"Vence em breve","Ativo"))))</f>
        <v/>
      </c>
      <c r="L34" s="54"/>
      <c r="M34" s="54"/>
      <c r="N34" s="33" t="str">
        <f aca="false">IF($B34="","",IF(N($L34)=0,0,MIN(1,N($M34)/$L34)))</f>
        <v/>
      </c>
      <c r="O34" s="43"/>
      <c r="P34" s="43"/>
      <c r="Q34" s="29"/>
      <c r="R34" s="29"/>
      <c r="S34" s="42"/>
      <c r="T34" s="42"/>
      <c r="U34" s="42"/>
      <c r="V34" s="5"/>
    </row>
    <row r="35" customFormat="false" ht="21" hidden="false" customHeight="true" outlineLevel="0" collapsed="false">
      <c r="A35" s="31" t="str">
        <f aca="false">IF($B35="","","RE-"&amp;TEXT(ROW()-7,"00"))</f>
        <v/>
      </c>
      <c r="B35" s="42"/>
      <c r="C35" s="42"/>
      <c r="D35" s="42"/>
      <c r="E35" s="44"/>
      <c r="F35" s="29"/>
      <c r="G35" s="44"/>
      <c r="H35" s="44"/>
      <c r="I35" s="44"/>
      <c r="J35" s="52" t="str">
        <f aca="true">IF(OR($B35="",$I35=""),"",$I35-TODAY())</f>
        <v/>
      </c>
      <c r="K35" s="53" t="str">
        <f aca="false">IF($B35="","",IF($I35="","Vitalício / sem prazo",IF($J35&lt;0,"Vencido",IF($J35&lt;=Listas!$G$4,"Vence em breve","Ativo"))))</f>
        <v/>
      </c>
      <c r="L35" s="54"/>
      <c r="M35" s="54"/>
      <c r="N35" s="33" t="str">
        <f aca="false">IF($B35="","",IF(N($L35)=0,0,MIN(1,N($M35)/$L35)))</f>
        <v/>
      </c>
      <c r="O35" s="43"/>
      <c r="P35" s="43"/>
      <c r="Q35" s="29"/>
      <c r="R35" s="29"/>
      <c r="S35" s="42"/>
      <c r="T35" s="42"/>
      <c r="U35" s="42"/>
      <c r="V35" s="5"/>
    </row>
    <row r="36" customFormat="false" ht="21" hidden="false" customHeight="true" outlineLevel="0" collapsed="false">
      <c r="A36" s="31" t="str">
        <f aca="false">IF($B36="","","RE-"&amp;TEXT(ROW()-7,"00"))</f>
        <v/>
      </c>
      <c r="B36" s="42"/>
      <c r="C36" s="42"/>
      <c r="D36" s="42"/>
      <c r="E36" s="44"/>
      <c r="F36" s="29"/>
      <c r="G36" s="44"/>
      <c r="H36" s="44"/>
      <c r="I36" s="44"/>
      <c r="J36" s="52" t="str">
        <f aca="true">IF(OR($B36="",$I36=""),"",$I36-TODAY())</f>
        <v/>
      </c>
      <c r="K36" s="53" t="str">
        <f aca="false">IF($B36="","",IF($I36="","Vitalício / sem prazo",IF($J36&lt;0,"Vencido",IF($J36&lt;=Listas!$G$4,"Vence em breve","Ativo"))))</f>
        <v/>
      </c>
      <c r="L36" s="54"/>
      <c r="M36" s="54"/>
      <c r="N36" s="33" t="str">
        <f aca="false">IF($B36="","",IF(N($L36)=0,0,MIN(1,N($M36)/$L36)))</f>
        <v/>
      </c>
      <c r="O36" s="43"/>
      <c r="P36" s="43"/>
      <c r="Q36" s="29"/>
      <c r="R36" s="29"/>
      <c r="S36" s="42"/>
      <c r="T36" s="42"/>
      <c r="U36" s="42"/>
      <c r="V36" s="5"/>
    </row>
    <row r="37" customFormat="false" ht="21" hidden="false" customHeight="true" outlineLevel="0" collapsed="false">
      <c r="A37" s="31" t="str">
        <f aca="false">IF($B37="","","RE-"&amp;TEXT(ROW()-7,"00"))</f>
        <v/>
      </c>
      <c r="B37" s="42"/>
      <c r="C37" s="42"/>
      <c r="D37" s="42"/>
      <c r="E37" s="44"/>
      <c r="F37" s="29"/>
      <c r="G37" s="44"/>
      <c r="H37" s="44"/>
      <c r="I37" s="44"/>
      <c r="J37" s="52" t="str">
        <f aca="true">IF(OR($B37="",$I37=""),"",$I37-TODAY())</f>
        <v/>
      </c>
      <c r="K37" s="53" t="str">
        <f aca="false">IF($B37="","",IF($I37="","Vitalício / sem prazo",IF($J37&lt;0,"Vencido",IF($J37&lt;=Listas!$G$4,"Vence em breve","Ativo"))))</f>
        <v/>
      </c>
      <c r="L37" s="54"/>
      <c r="M37" s="54"/>
      <c r="N37" s="33" t="str">
        <f aca="false">IF($B37="","",IF(N($L37)=0,0,MIN(1,N($M37)/$L37)))</f>
        <v/>
      </c>
      <c r="O37" s="43"/>
      <c r="P37" s="43"/>
      <c r="Q37" s="29"/>
      <c r="R37" s="29"/>
      <c r="S37" s="42"/>
      <c r="T37" s="42"/>
      <c r="U37" s="42"/>
      <c r="V37" s="5"/>
    </row>
    <row r="38" customFormat="false" ht="21" hidden="false" customHeight="true" outlineLevel="0" collapsed="false">
      <c r="A38" s="31" t="str">
        <f aca="false">IF($B38="","","RE-"&amp;TEXT(ROW()-7,"00"))</f>
        <v/>
      </c>
      <c r="B38" s="42"/>
      <c r="C38" s="42"/>
      <c r="D38" s="42"/>
      <c r="E38" s="44"/>
      <c r="F38" s="29"/>
      <c r="G38" s="44"/>
      <c r="H38" s="44"/>
      <c r="I38" s="44"/>
      <c r="J38" s="52" t="str">
        <f aca="true">IF(OR($B38="",$I38=""),"",$I38-TODAY())</f>
        <v/>
      </c>
      <c r="K38" s="53" t="str">
        <f aca="false">IF($B38="","",IF($I38="","Vitalício / sem prazo",IF($J38&lt;0,"Vencido",IF($J38&lt;=Listas!$G$4,"Vence em breve","Ativo"))))</f>
        <v/>
      </c>
      <c r="L38" s="54"/>
      <c r="M38" s="54"/>
      <c r="N38" s="33" t="str">
        <f aca="false">IF($B38="","",IF(N($L38)=0,0,MIN(1,N($M38)/$L38)))</f>
        <v/>
      </c>
      <c r="O38" s="43"/>
      <c r="P38" s="43"/>
      <c r="Q38" s="29"/>
      <c r="R38" s="29"/>
      <c r="S38" s="42"/>
      <c r="T38" s="42"/>
      <c r="U38" s="42"/>
      <c r="V38" s="5"/>
    </row>
    <row r="39" customFormat="false" ht="21" hidden="false" customHeight="true" outlineLevel="0" collapsed="false">
      <c r="A39" s="31" t="str">
        <f aca="false">IF($B39="","","RE-"&amp;TEXT(ROW()-7,"00"))</f>
        <v/>
      </c>
      <c r="B39" s="42"/>
      <c r="C39" s="42"/>
      <c r="D39" s="42"/>
      <c r="E39" s="44"/>
      <c r="F39" s="29"/>
      <c r="G39" s="44"/>
      <c r="H39" s="44"/>
      <c r="I39" s="44"/>
      <c r="J39" s="52" t="str">
        <f aca="true">IF(OR($B39="",$I39=""),"",$I39-TODAY())</f>
        <v/>
      </c>
      <c r="K39" s="53" t="str">
        <f aca="false">IF($B39="","",IF($I39="","Vitalício / sem prazo",IF($J39&lt;0,"Vencido",IF($J39&lt;=Listas!$G$4,"Vence em breve","Ativo"))))</f>
        <v/>
      </c>
      <c r="L39" s="54"/>
      <c r="M39" s="54"/>
      <c r="N39" s="33" t="str">
        <f aca="false">IF($B39="","",IF(N($L39)=0,0,MIN(1,N($M39)/$L39)))</f>
        <v/>
      </c>
      <c r="O39" s="43"/>
      <c r="P39" s="43"/>
      <c r="Q39" s="29"/>
      <c r="R39" s="29"/>
      <c r="S39" s="42"/>
      <c r="T39" s="42"/>
      <c r="U39" s="42"/>
      <c r="V39" s="5"/>
    </row>
    <row r="40" customFormat="false" ht="21" hidden="false" customHeight="true" outlineLevel="0" collapsed="false">
      <c r="A40" s="31" t="str">
        <f aca="false">IF($B40="","","RE-"&amp;TEXT(ROW()-7,"00"))</f>
        <v/>
      </c>
      <c r="B40" s="42"/>
      <c r="C40" s="42"/>
      <c r="D40" s="42"/>
      <c r="E40" s="44"/>
      <c r="F40" s="29"/>
      <c r="G40" s="44"/>
      <c r="H40" s="44"/>
      <c r="I40" s="44"/>
      <c r="J40" s="52" t="str">
        <f aca="true">IF(OR($B40="",$I40=""),"",$I40-TODAY())</f>
        <v/>
      </c>
      <c r="K40" s="53" t="str">
        <f aca="false">IF($B40="","",IF($I40="","Vitalício / sem prazo",IF($J40&lt;0,"Vencido",IF($J40&lt;=Listas!$G$4,"Vence em breve","Ativo"))))</f>
        <v/>
      </c>
      <c r="L40" s="54"/>
      <c r="M40" s="54"/>
      <c r="N40" s="33" t="str">
        <f aca="false">IF($B40="","",IF(N($L40)=0,0,MIN(1,N($M40)/$L40)))</f>
        <v/>
      </c>
      <c r="O40" s="43"/>
      <c r="P40" s="43"/>
      <c r="Q40" s="29"/>
      <c r="R40" s="29"/>
      <c r="S40" s="42"/>
      <c r="T40" s="42"/>
      <c r="U40" s="42"/>
      <c r="V40" s="5"/>
    </row>
    <row r="41" customFormat="false" ht="21" hidden="false" customHeight="true" outlineLevel="0" collapsed="false">
      <c r="A41" s="31" t="str">
        <f aca="false">IF($B41="","","RE-"&amp;TEXT(ROW()-7,"00"))</f>
        <v/>
      </c>
      <c r="B41" s="42"/>
      <c r="C41" s="42"/>
      <c r="D41" s="42"/>
      <c r="E41" s="44"/>
      <c r="F41" s="29"/>
      <c r="G41" s="44"/>
      <c r="H41" s="44"/>
      <c r="I41" s="44"/>
      <c r="J41" s="52" t="str">
        <f aca="true">IF(OR($B41="",$I41=""),"",$I41-TODAY())</f>
        <v/>
      </c>
      <c r="K41" s="53" t="str">
        <f aca="false">IF($B41="","",IF($I41="","Vitalício / sem prazo",IF($J41&lt;0,"Vencido",IF($J41&lt;=Listas!$G$4,"Vence em breve","Ativo"))))</f>
        <v/>
      </c>
      <c r="L41" s="54"/>
      <c r="M41" s="54"/>
      <c r="N41" s="33" t="str">
        <f aca="false">IF($B41="","",IF(N($L41)=0,0,MIN(1,N($M41)/$L41)))</f>
        <v/>
      </c>
      <c r="O41" s="43"/>
      <c r="P41" s="43"/>
      <c r="Q41" s="29"/>
      <c r="R41" s="29"/>
      <c r="S41" s="42"/>
      <c r="T41" s="42"/>
      <c r="U41" s="42"/>
      <c r="V41" s="5"/>
    </row>
    <row r="42" customFormat="false" ht="21" hidden="false" customHeight="true" outlineLevel="0" collapsed="false">
      <c r="A42" s="31" t="str">
        <f aca="false">IF($B42="","","RE-"&amp;TEXT(ROW()-7,"00"))</f>
        <v/>
      </c>
      <c r="B42" s="42"/>
      <c r="C42" s="42"/>
      <c r="D42" s="42"/>
      <c r="E42" s="44"/>
      <c r="F42" s="29"/>
      <c r="G42" s="44"/>
      <c r="H42" s="44"/>
      <c r="I42" s="44"/>
      <c r="J42" s="52" t="str">
        <f aca="true">IF(OR($B42="",$I42=""),"",$I42-TODAY())</f>
        <v/>
      </c>
      <c r="K42" s="53" t="str">
        <f aca="false">IF($B42="","",IF($I42="","Vitalício / sem prazo",IF($J42&lt;0,"Vencido",IF($J42&lt;=Listas!$G$4,"Vence em breve","Ativo"))))</f>
        <v/>
      </c>
      <c r="L42" s="54"/>
      <c r="M42" s="54"/>
      <c r="N42" s="33" t="str">
        <f aca="false">IF($B42="","",IF(N($L42)=0,0,MIN(1,N($M42)/$L42)))</f>
        <v/>
      </c>
      <c r="O42" s="43"/>
      <c r="P42" s="43"/>
      <c r="Q42" s="29"/>
      <c r="R42" s="29"/>
      <c r="S42" s="42"/>
      <c r="T42" s="42"/>
      <c r="U42" s="42"/>
      <c r="V42" s="5"/>
    </row>
    <row r="43" customFormat="false" ht="21" hidden="false" customHeight="true" outlineLevel="0" collapsed="false">
      <c r="A43" s="31" t="str">
        <f aca="false">IF($B43="","","RE-"&amp;TEXT(ROW()-7,"00"))</f>
        <v/>
      </c>
      <c r="B43" s="42"/>
      <c r="C43" s="42"/>
      <c r="D43" s="42"/>
      <c r="E43" s="44"/>
      <c r="F43" s="29"/>
      <c r="G43" s="44"/>
      <c r="H43" s="44"/>
      <c r="I43" s="44"/>
      <c r="J43" s="52" t="str">
        <f aca="true">IF(OR($B43="",$I43=""),"",$I43-TODAY())</f>
        <v/>
      </c>
      <c r="K43" s="53" t="str">
        <f aca="false">IF($B43="","",IF($I43="","Vitalício / sem prazo",IF($J43&lt;0,"Vencido",IF($J43&lt;=Listas!$G$4,"Vence em breve","Ativo"))))</f>
        <v/>
      </c>
      <c r="L43" s="54"/>
      <c r="M43" s="54"/>
      <c r="N43" s="33" t="str">
        <f aca="false">IF($B43="","",IF(N($L43)=0,0,MIN(1,N($M43)/$L43)))</f>
        <v/>
      </c>
      <c r="O43" s="43"/>
      <c r="P43" s="43"/>
      <c r="Q43" s="29"/>
      <c r="R43" s="29"/>
      <c r="S43" s="42"/>
      <c r="T43" s="42"/>
      <c r="U43" s="42"/>
      <c r="V43" s="5"/>
    </row>
    <row r="44" customFormat="false" ht="21" hidden="false" customHeight="true" outlineLevel="0" collapsed="false">
      <c r="A44" s="31" t="str">
        <f aca="false">IF($B44="","","RE-"&amp;TEXT(ROW()-7,"00"))</f>
        <v/>
      </c>
      <c r="B44" s="42"/>
      <c r="C44" s="42"/>
      <c r="D44" s="42"/>
      <c r="E44" s="44"/>
      <c r="F44" s="29"/>
      <c r="G44" s="44"/>
      <c r="H44" s="44"/>
      <c r="I44" s="44"/>
      <c r="J44" s="52" t="str">
        <f aca="true">IF(OR($B44="",$I44=""),"",$I44-TODAY())</f>
        <v/>
      </c>
      <c r="K44" s="53" t="str">
        <f aca="false">IF($B44="","",IF($I44="","Vitalício / sem prazo",IF($J44&lt;0,"Vencido",IF($J44&lt;=Listas!$G$4,"Vence em breve","Ativo"))))</f>
        <v/>
      </c>
      <c r="L44" s="54"/>
      <c r="M44" s="54"/>
      <c r="N44" s="33" t="str">
        <f aca="false">IF($B44="","",IF(N($L44)=0,0,MIN(1,N($M44)/$L44)))</f>
        <v/>
      </c>
      <c r="O44" s="43"/>
      <c r="P44" s="43"/>
      <c r="Q44" s="29"/>
      <c r="R44" s="29"/>
      <c r="S44" s="42"/>
      <c r="T44" s="42"/>
      <c r="U44" s="42"/>
      <c r="V44" s="5"/>
    </row>
    <row r="45" customFormat="false" ht="21" hidden="false" customHeight="true" outlineLevel="0" collapsed="false">
      <c r="A45" s="31" t="str">
        <f aca="false">IF($B45="","","RE-"&amp;TEXT(ROW()-7,"00"))</f>
        <v/>
      </c>
      <c r="B45" s="42"/>
      <c r="C45" s="42"/>
      <c r="D45" s="42"/>
      <c r="E45" s="44"/>
      <c r="F45" s="29"/>
      <c r="G45" s="44"/>
      <c r="H45" s="44"/>
      <c r="I45" s="44"/>
      <c r="J45" s="52" t="str">
        <f aca="true">IF(OR($B45="",$I45=""),"",$I45-TODAY())</f>
        <v/>
      </c>
      <c r="K45" s="53" t="str">
        <f aca="false">IF($B45="","",IF($I45="","Vitalício / sem prazo",IF($J45&lt;0,"Vencido",IF($J45&lt;=Listas!$G$4,"Vence em breve","Ativo"))))</f>
        <v/>
      </c>
      <c r="L45" s="54"/>
      <c r="M45" s="54"/>
      <c r="N45" s="33" t="str">
        <f aca="false">IF($B45="","",IF(N($L45)=0,0,MIN(1,N($M45)/$L45)))</f>
        <v/>
      </c>
      <c r="O45" s="43"/>
      <c r="P45" s="43"/>
      <c r="Q45" s="29"/>
      <c r="R45" s="29"/>
      <c r="S45" s="42"/>
      <c r="T45" s="42"/>
      <c r="U45" s="42"/>
      <c r="V45" s="5"/>
    </row>
    <row r="46" customFormat="false" ht="21" hidden="false" customHeight="true" outlineLevel="0" collapsed="false">
      <c r="A46" s="31" t="str">
        <f aca="false">IF($B46="","","RE-"&amp;TEXT(ROW()-7,"00"))</f>
        <v/>
      </c>
      <c r="B46" s="42"/>
      <c r="C46" s="42"/>
      <c r="D46" s="42"/>
      <c r="E46" s="44"/>
      <c r="F46" s="29"/>
      <c r="G46" s="44"/>
      <c r="H46" s="44"/>
      <c r="I46" s="44"/>
      <c r="J46" s="52" t="str">
        <f aca="true">IF(OR($B46="",$I46=""),"",$I46-TODAY())</f>
        <v/>
      </c>
      <c r="K46" s="53" t="str">
        <f aca="false">IF($B46="","",IF($I46="","Vitalício / sem prazo",IF($J46&lt;0,"Vencido",IF($J46&lt;=Listas!$G$4,"Vence em breve","Ativo"))))</f>
        <v/>
      </c>
      <c r="L46" s="54"/>
      <c r="M46" s="54"/>
      <c r="N46" s="33" t="str">
        <f aca="false">IF($B46="","",IF(N($L46)=0,0,MIN(1,N($M46)/$L46)))</f>
        <v/>
      </c>
      <c r="O46" s="43"/>
      <c r="P46" s="43"/>
      <c r="Q46" s="29"/>
      <c r="R46" s="29"/>
      <c r="S46" s="42"/>
      <c r="T46" s="42"/>
      <c r="U46" s="42"/>
      <c r="V46" s="5"/>
    </row>
    <row r="47" customFormat="false" ht="21" hidden="false" customHeight="true" outlineLevel="0" collapsed="false">
      <c r="A47" s="31" t="str">
        <f aca="false">IF($B47="","","RE-"&amp;TEXT(ROW()-7,"00"))</f>
        <v/>
      </c>
      <c r="B47" s="42"/>
      <c r="C47" s="42"/>
      <c r="D47" s="42"/>
      <c r="E47" s="44"/>
      <c r="F47" s="29"/>
      <c r="G47" s="44"/>
      <c r="H47" s="44"/>
      <c r="I47" s="44"/>
      <c r="J47" s="52" t="str">
        <f aca="true">IF(OR($B47="",$I47=""),"",$I47-TODAY())</f>
        <v/>
      </c>
      <c r="K47" s="53" t="str">
        <f aca="false">IF($B47="","",IF($I47="","Vitalício / sem prazo",IF($J47&lt;0,"Vencido",IF($J47&lt;=Listas!$G$4,"Vence em breve","Ativo"))))</f>
        <v/>
      </c>
      <c r="L47" s="54"/>
      <c r="M47" s="54"/>
      <c r="N47" s="33" t="str">
        <f aca="false">IF($B47="","",IF(N($L47)=0,0,MIN(1,N($M47)/$L47)))</f>
        <v/>
      </c>
      <c r="O47" s="43"/>
      <c r="P47" s="43"/>
      <c r="Q47" s="29"/>
      <c r="R47" s="29"/>
      <c r="S47" s="42"/>
      <c r="T47" s="42"/>
      <c r="U47" s="42"/>
      <c r="V47" s="5"/>
    </row>
  </sheetData>
  <autoFilter ref="A7:V47"/>
  <mergeCells count="16">
    <mergeCell ref="A1:V1"/>
    <mergeCell ref="A2:S2"/>
    <mergeCell ref="T2:V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A6:L6"/>
  </mergeCells>
  <conditionalFormatting sqref="O8:O47">
    <cfRule type="cellIs" priority="2" operator="equal" aboveAverage="0" equalAverage="0" bottom="0" percent="0" rank="0" text="" dxfId="11">
      <formula>"Concluído"</formula>
    </cfRule>
    <cfRule type="cellIs" priority="3" operator="equal" aboveAverage="0" equalAverage="0" bottom="0" percent="0" rank="0" text="" dxfId="12">
      <formula>"Em andamento"</formula>
    </cfRule>
    <cfRule type="cellIs" priority="4" operator="equal" aboveAverage="0" equalAverage="0" bottom="0" percent="0" rank="0" text="" dxfId="13">
      <formula>"Pausado"</formula>
    </cfRule>
  </conditionalFormatting>
  <conditionalFormatting sqref="P8:P47">
    <cfRule type="cellIs" priority="5" operator="equal" aboveAverage="0" equalAverage="0" bottom="0" percent="0" rank="0" text="" dxfId="14">
      <formula>"Alta"</formula>
    </cfRule>
  </conditionalFormatting>
  <conditionalFormatting sqref="N8:N47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{5EF2D079-BA41-4A71-8BBB-C2A4AF20B6C5}</x14:id>
        </ext>
      </extLst>
    </cfRule>
  </conditionalFormatting>
  <conditionalFormatting sqref="J8:K47">
    <cfRule type="expression" priority="7" aboveAverage="0" equalAverage="0" bottom="0" percent="0" rank="0" text="" dxfId="15">
      <formula>$K8="Vencido"</formula>
    </cfRule>
    <cfRule type="expression" priority="8" aboveAverage="0" equalAverage="0" bottom="0" percent="0" rank="0" text="" dxfId="16">
      <formula>$K8="Vence em breve"</formula>
    </cfRule>
    <cfRule type="expression" priority="9" aboveAverage="0" equalAverage="0" bottom="0" percent="0" rank="0" text="" dxfId="17">
      <formula>$K8="Ativo"</formula>
    </cfRule>
  </conditionalFormatting>
  <dataValidations count="4">
    <dataValidation allowBlank="true" error="Valor inválido para esta coluna." errorStyle="stop" errorTitle="Atenção" operator="greaterThan" showDropDown="false" showErrorMessage="true" showInputMessage="false" sqref="E8:E47 G8:I47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8:F47 L8:M47 Q8:R47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O8:O47" type="list">
      <formula1>Listas!$A$4:$A$7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P8:P47" type="list">
      <formula1>Listas!$B$4:$B$6</formula1>
      <formula2>0</formula2>
    </dataValidation>
  </dataValidations>
  <hyperlinks>
    <hyperlink ref="T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F2D079-BA41-4A71-8BBB-C2A4AF20B6C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N8:N47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EAE0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6" min="5" style="0" width="4"/>
    <col collapsed="false" customWidth="true" hidden="false" outlineLevel="0" max="7" min="7" style="0" width="28"/>
    <col collapsed="false" customWidth="true" hidden="false" outlineLevel="0" max="8" min="8" style="0" width="4"/>
  </cols>
  <sheetData>
    <row r="1" customFormat="false" ht="37.5" hidden="false" customHeight="true" outlineLevel="0" collapsed="false">
      <c r="A1" s="17" t="s">
        <v>164</v>
      </c>
      <c r="B1" s="17"/>
      <c r="C1" s="17"/>
      <c r="D1" s="17"/>
      <c r="E1" s="17"/>
      <c r="F1" s="17"/>
      <c r="G1" s="17"/>
      <c r="H1" s="17"/>
    </row>
    <row r="2" customFormat="false" ht="21.75" hidden="false" customHeight="true" outlineLevel="0" collapsed="false">
      <c r="A2" s="18" t="s">
        <v>165</v>
      </c>
      <c r="B2" s="18"/>
      <c r="C2" s="18"/>
      <c r="D2" s="18"/>
      <c r="E2" s="18"/>
      <c r="F2" s="19" t="s">
        <v>52</v>
      </c>
      <c r="G2" s="19"/>
      <c r="H2" s="19"/>
    </row>
    <row r="3" customFormat="false" ht="21.75" hidden="false" customHeight="true" outlineLevel="0" collapsed="false">
      <c r="A3" s="27" t="s">
        <v>76</v>
      </c>
      <c r="B3" s="27" t="s">
        <v>103</v>
      </c>
      <c r="C3" s="27" t="s">
        <v>92</v>
      </c>
      <c r="D3" s="27" t="s">
        <v>166</v>
      </c>
      <c r="G3" s="27" t="s">
        <v>167</v>
      </c>
    </row>
    <row r="4" customFormat="false" ht="15" hidden="false" customHeight="false" outlineLevel="0" collapsed="false">
      <c r="A4" s="31" t="s">
        <v>62</v>
      </c>
      <c r="B4" s="28" t="s">
        <v>111</v>
      </c>
      <c r="C4" s="28" t="s">
        <v>110</v>
      </c>
      <c r="D4" s="28" t="s">
        <v>144</v>
      </c>
      <c r="G4" s="56" t="n">
        <v>30</v>
      </c>
    </row>
    <row r="5" customFormat="false" ht="37.5" hidden="false" customHeight="true" outlineLevel="0" collapsed="false">
      <c r="A5" s="31" t="s">
        <v>39</v>
      </c>
      <c r="B5" s="28" t="s">
        <v>145</v>
      </c>
      <c r="C5" s="28" t="s">
        <v>168</v>
      </c>
      <c r="D5" s="28" t="s">
        <v>169</v>
      </c>
      <c r="G5" s="57" t="s">
        <v>170</v>
      </c>
    </row>
    <row r="6" customFormat="false" ht="15" hidden="false" customHeight="false" outlineLevel="0" collapsed="false">
      <c r="A6" s="31" t="s">
        <v>37</v>
      </c>
      <c r="B6" s="28" t="s">
        <v>171</v>
      </c>
      <c r="C6" s="28" t="s">
        <v>172</v>
      </c>
      <c r="D6" s="28" t="s">
        <v>173</v>
      </c>
    </row>
    <row r="7" customFormat="false" ht="15" hidden="false" customHeight="false" outlineLevel="0" collapsed="false">
      <c r="A7" s="31" t="s">
        <v>63</v>
      </c>
      <c r="D7" s="28" t="s">
        <v>174</v>
      </c>
    </row>
    <row r="9" customFormat="false" ht="15" hidden="false" customHeight="false" outlineLevel="0" collapsed="false">
      <c r="A9" s="37" t="s">
        <v>175</v>
      </c>
    </row>
  </sheetData>
  <mergeCells count="3">
    <mergeCell ref="A1:H1"/>
    <mergeCell ref="A2:E2"/>
    <mergeCell ref="F2:H2"/>
  </mergeCells>
  <hyperlinks>
    <hyperlink ref="F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2026-10-03T14:24:07Z</dcterms:created>
  <dc:creator>openpyxl</dc:creator>
  <dc:description/>
  <dc:language>en-US</dc:language>
  <cp:lastModifiedBy/>
  <dcterms:modified xsi:type="dcterms:W3CDTF">2026-10-03T14:24:10Z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