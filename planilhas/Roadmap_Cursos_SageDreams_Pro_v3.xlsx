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Dashboard" sheetId="2" state="visible" r:id="rId4"/>
    <sheet name="Roadmap" sheetId="3" state="visible" r:id="rId5"/>
    <sheet name="Metas de Estudo" sheetId="4" state="visible" r:id="rId6"/>
    <sheet name="Diário de Estudo" sheetId="5" state="visible" r:id="rId7"/>
    <sheet name="Pós-graduação" sheetId="6" state="visible" r:id="rId8"/>
    <sheet name="Concurso" sheetId="7" state="visible" r:id="rId9"/>
    <sheet name="Livros" sheetId="8" state="visible" r:id="rId10"/>
    <sheet name="Cursos IA" sheetId="9" state="visible" r:id="rId11"/>
    <sheet name="Renda Extra" sheetId="10" state="visible" r:id="rId12"/>
    <sheet name="Listas" sheetId="11" state="visible" r:id="rId13"/>
    <sheet name="Apoio" sheetId="12" state="visible" r:id="rId14"/>
  </sheets>
  <definedNames>
    <definedName function="false" hidden="true" localSheetId="6" name="_xlnm._FilterDatabase" vbProcedure="false">Concurso!$A$9:$AA$49</definedName>
    <definedName function="false" hidden="true" localSheetId="8" name="_xlnm._FilterDatabase" vbProcedure="false">'Cursos IA'!$A$9:$Y$49</definedName>
    <definedName function="false" hidden="true" localSheetId="4" name="_xlnm._FilterDatabase" vbProcedure="false">'Diário de Estudo'!$A$6:$F$506</definedName>
    <definedName function="false" hidden="true" localSheetId="7" name="_xlnm._FilterDatabase" vbProcedure="false">Livros!$A$9:$V$49</definedName>
    <definedName function="false" hidden="true" localSheetId="5" name="_xlnm._FilterDatabase" vbProcedure="false">'Pós-graduação'!$A$9:$Y$49</definedName>
    <definedName function="false" hidden="true" localSheetId="9" name="_xlnm._FilterDatabase" vbProcedure="false">'Renda Extra'!$A$9:$AE$49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Y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C9" authorId="0">
      <text>
        <r>
          <rPr>
            <sz val="10"/>
            <rFont val="Arial"/>
            <family val="2"/>
          </rPr>
          <t xml:space="preserve">Dica de segurança: planilhas não são cofres. Prefira um gerenciador de senhas e use esta coluna só como lembrete. Não compartilhe este arquivo.</t>
        </r>
      </text>
    </comment>
  </commentList>
</comments>
</file>

<file path=xl/sharedStrings.xml><?xml version="1.0" encoding="utf-8"?>
<sst xmlns="http://schemas.openxmlformats.org/spreadsheetml/2006/main" count="467" uniqueCount="271">
  <si>
    <t xml:space="preserve">ROADMAP DE CURSOS &amp; APRENDIZADO</t>
  </si>
  <si>
    <t xml:space="preserve">Pós-graduação  ·  Concursos  ·  Livros  ·  Cursos de IA  ·  Renda Extra   —   Sage Dreams · Calm &amp; Natural</t>
  </si>
  <si>
    <t xml:space="preserve">NAVEGAÇÃO · CLIQUE PARA ABRIR</t>
  </si>
  <si>
    <t xml:space="preserve">Dashboard</t>
  </si>
  <si>
    <t xml:space="preserve">Roadmap</t>
  </si>
  <si>
    <t xml:space="preserve">Metas de Estudo</t>
  </si>
  <si>
    <t xml:space="preserve">Diário de Estudo</t>
  </si>
  <si>
    <t xml:space="preserve">Visão executiva, vencimentos urgentes e gráficos</t>
  </si>
  <si>
    <t xml:space="preserve">Linha do tempo de 12 meses (Gantt)</t>
  </si>
  <si>
    <t xml:space="preserve">Metas de horas, ritmo e mapa de calor</t>
  </si>
  <si>
    <t xml:space="preserve">Registro de cada sessão de estudo</t>
  </si>
  <si>
    <t xml:space="preserve">Pós-graduação</t>
  </si>
  <si>
    <t xml:space="preserve">Concurso</t>
  </si>
  <si>
    <t xml:space="preserve">Livros</t>
  </si>
  <si>
    <t xml:space="preserve">Cursos IA</t>
  </si>
  <si>
    <t xml:space="preserve">MBAs, especializações e extensões</t>
  </si>
  <si>
    <t xml:space="preserve">Preparatórios, banca e data da prova</t>
  </si>
  <si>
    <t xml:space="preserve">Biblioteca, páginas lidas e notas</t>
  </si>
  <si>
    <t xml:space="preserve">Inteligência artificial e automação</t>
  </si>
  <si>
    <t xml:space="preserve">Renda Extra</t>
  </si>
  <si>
    <t xml:space="preserve">Listas</t>
  </si>
  <si>
    <t xml:space="preserve">Cursos de renda e resultado mensal</t>
  </si>
  <si>
    <t xml:space="preserve">Listas das setas e prazo de alerta</t>
  </si>
  <si>
    <t xml:space="preserve">COMO USAR EM 6 PASSOS</t>
  </si>
  <si>
    <t xml:space="preserve">1</t>
  </si>
  <si>
    <t xml:space="preserve">Abra a aba da categoria e substitua a linha 10 (exemplo) pelo seu primeiro curso. Cada aba comporta 40 itens.</t>
  </si>
  <si>
    <t xml:space="preserve">2</t>
  </si>
  <si>
    <t xml:space="preserve">Preencha instituição, datas (compra, início, término previsto e vencimento do acesso), valor, login e senha.</t>
  </si>
  <si>
    <t xml:space="preserve">3</t>
  </si>
  <si>
    <t xml:space="preserve">Informe o total de aulas, disciplinas ou páginas e atualize o quanto já concluiu — o % de andamento é automático.</t>
  </si>
  <si>
    <t xml:space="preserve">4</t>
  </si>
  <si>
    <t xml:space="preserve">Escolha Status, Prioridade e Certificado pela seta da célula. Vencimento em branco = acesso vitalício.</t>
  </si>
  <si>
    <t xml:space="preserve">5</t>
  </si>
  <si>
    <t xml:space="preserve">Registre cada sessão no Diário de Estudo (linha 7 em diante, com o mesmo nome do curso) e defina metas em Metas de Estudo.</t>
  </si>
  <si>
    <t xml:space="preserve">6</t>
  </si>
  <si>
    <t xml:space="preserve">Acompanhe no Dashboard: previsão de término, risco de perder o acesso, custo por hora e ROI da renda extra — tudo automático.</t>
  </si>
  <si>
    <t xml:space="preserve">LEGENDA</t>
  </si>
  <si>
    <t xml:space="preserve">Célula branca</t>
  </si>
  <si>
    <t xml:space="preserve">Campo para preencher.</t>
  </si>
  <si>
    <t xml:space="preserve">Célula cinza-areia</t>
  </si>
  <si>
    <t xml:space="preserve">Fórmula automática — não edite nem apague.</t>
  </si>
  <si>
    <t xml:space="preserve">Em andamento</t>
  </si>
  <si>
    <t xml:space="preserve">Status em andamento · barra do Roadmap em verde-sálvia.</t>
  </si>
  <si>
    <t xml:space="preserve">Concluído</t>
  </si>
  <si>
    <t xml:space="preserve">Status concluído · barra do Roadmap em verde-escuro.</t>
  </si>
  <si>
    <t xml:space="preserve">▲ A vencer</t>
  </si>
  <si>
    <t xml:space="preserve">Acesso com vencimento dentro do prazo de alerta (padrão 30 dias, editável em Listas).</t>
  </si>
  <si>
    <t xml:space="preserve">■ Vencido</t>
  </si>
  <si>
    <t xml:space="preserve">Acesso expirado — priorize ou renove.</t>
  </si>
  <si>
    <t xml:space="preserve">IMPORTANTE</t>
  </si>
  <si>
    <t xml:space="preserve">•  Previsão de término usa seu ritmo real desde a data de início; sem nenhuma aula/página concluída aparece “Sem ritmo”. “■ Estoura o acesso” = previsão depois do vencimento.</t>
  </si>
  <si>
    <t xml:space="preserve">•  Não edite as células cinza-areia nem a aba Apoio: elas alimentam o Dashboard, o Roadmap e as Metas.</t>
  </si>
  <si>
    <t xml:space="preserve">•  Segurança: planilha não é cofre. Prefira um gerenciador de senhas, use a coluna Senha só como lembrete e não compartilhe este arquivo.</t>
  </si>
  <si>
    <t xml:space="preserve">•  As linhas de exemplo (cursos e diário) entram nos totais até serem substituídas ou apagadas. As metas de horas iniciais (20/20/8/15/10) são sugestões — ajuste em Metas de Estudo.</t>
  </si>
  <si>
    <t xml:space="preserve">•  Mais de 40 itens? Copie uma linha inteira e use “Inserir células copiadas” ENTRE as linhas do meio da tabela, para fórmulas e gráficos acompanharem.</t>
  </si>
  <si>
    <t xml:space="preserve">DASHBOARD · ROADMAP DE APRENDIZADO</t>
  </si>
  <si>
    <t xml:space="preserve">Visão executiva de todas as categorias — tudo atualiza sozinho</t>
  </si>
  <si>
    <t xml:space="preserve">← Voltar ao Início</t>
  </si>
  <si>
    <t xml:space="preserve">TOTAL DE ITENS</t>
  </si>
  <si>
    <t xml:space="preserve">EM ANDAMENTO</t>
  </si>
  <si>
    <t xml:space="preserve">CONCLUÍDOS</t>
  </si>
  <si>
    <t xml:space="preserve">INVESTIMENTO TOTAL</t>
  </si>
  <si>
    <t xml:space="preserve">PROGRESSO MÉDIO</t>
  </si>
  <si>
    <t xml:space="preserve">CERTIFICADOS EMITIDOS</t>
  </si>
  <si>
    <t xml:space="preserve">HORAS ESTUDADAS</t>
  </si>
  <si>
    <t xml:space="preserve">CUSTO MÉDIO POR HORA</t>
  </si>
  <si>
    <t xml:space="preserve">EM RISCO DE PERDER ACESSO</t>
  </si>
  <si>
    <t xml:space="preserve">ATRASADOS VS PLANO</t>
  </si>
  <si>
    <t xml:space="preserve">ROI · RENDA EXTRA</t>
  </si>
  <si>
    <t xml:space="preserve">PAYBACK MÉDIO (MESES)</t>
  </si>
  <si>
    <t xml:space="preserve">Atualizado em:</t>
  </si>
  <si>
    <t xml:space="preserve">RESUMO POR CATEGORIA</t>
  </si>
  <si>
    <t xml:space="preserve">Categoria</t>
  </si>
  <si>
    <t xml:space="preserve">Itens</t>
  </si>
  <si>
    <t xml:space="preserve">Não iniciado</t>
  </si>
  <si>
    <t xml:space="preserve">Pausado</t>
  </si>
  <si>
    <t xml:space="preserve">Investimento (R$)</t>
  </si>
  <si>
    <t xml:space="preserve">% médio</t>
  </si>
  <si>
    <t xml:space="preserve">Progresso</t>
  </si>
  <si>
    <t xml:space="preserve">A vencer</t>
  </si>
  <si>
    <t xml:space="preserve">Vencidos</t>
  </si>
  <si>
    <t xml:space="preserve">Certificados</t>
  </si>
  <si>
    <t xml:space="preserve">—</t>
  </si>
  <si>
    <t xml:space="preserve">TOTAL</t>
  </si>
  <si>
    <t xml:space="preserve">VENCIMENTOS DE ACESSO · MAIS URGENTES PRIMEIRO</t>
  </si>
  <si>
    <t xml:space="preserve">METAS DE ESTUDO DO MÊS</t>
  </si>
  <si>
    <t xml:space="preserve">Item</t>
  </si>
  <si>
    <t xml:space="preserve">Vence em</t>
  </si>
  <si>
    <t xml:space="preserve">Dias</t>
  </si>
  <si>
    <t xml:space="preserve">Meta (h)</t>
  </si>
  <si>
    <t xml:space="preserve">Realizado</t>
  </si>
  <si>
    <t xml:space="preserve">% meta</t>
  </si>
  <si>
    <t xml:space="preserve">Dias estudados</t>
  </si>
  <si>
    <t xml:space="preserve">Média por dia</t>
  </si>
  <si>
    <t xml:space="preserve">Total do mês</t>
  </si>
  <si>
    <t xml:space="preserve">RISCO: PREVISÃO DE TÉRMINO DEPOIS DO VENCIMENTO</t>
  </si>
  <si>
    <t xml:space="preserve">ROI · CURSOS DE RENDA EXTRA</t>
  </si>
  <si>
    <t xml:space="preserve">Previsão</t>
  </si>
  <si>
    <t xml:space="preserve">Folga (dias)</t>
  </si>
  <si>
    <t xml:space="preserve">Curso</t>
  </si>
  <si>
    <t xml:space="preserve">Investido</t>
  </si>
  <si>
    <t xml:space="preserve">Receita acum.</t>
  </si>
  <si>
    <t xml:space="preserve">ROI</t>
  </si>
  <si>
    <t xml:space="preserve">Payback (m)</t>
  </si>
  <si>
    <t xml:space="preserve">“A vencer” usa o prazo de Listas (H6). Previsão de término = ritmo real (itens concluídos ÷ dias desde o início). Custo por hora = valor pago ÷ horas do Diário (use o mesmo nome do curso).</t>
  </si>
  <si>
    <t xml:space="preserve">ROADMAP · LINHA DO TEMPO</t>
  </si>
  <si>
    <t xml:space="preserve">Barras = início → término previsto (cor pelo status)  ·  ▼ = mês do vencimento do acesso</t>
  </si>
  <si>
    <t xml:space="preserve">Mês inicial:</t>
  </si>
  <si>
    <t xml:space="preserve">← altere para deslocar a janela de 12 meses · mostra os 12 primeiros itens de cada aba</t>
  </si>
  <si>
    <t xml:space="preserve">Status</t>
  </si>
  <si>
    <t xml:space="preserve">Início</t>
  </si>
  <si>
    <t xml:space="preserve">Término</t>
  </si>
  <si>
    <t xml:space="preserve">Vence acesso</t>
  </si>
  <si>
    <t xml:space="preserve">% Andam.</t>
  </si>
  <si>
    <t xml:space="preserve">PÓS-GRADUAÇÃO</t>
  </si>
  <si>
    <t xml:space="preserve">CONCURSO</t>
  </si>
  <si>
    <t xml:space="preserve">LIVROS</t>
  </si>
  <si>
    <t xml:space="preserve">CURSOS IA</t>
  </si>
  <si>
    <t xml:space="preserve">RENDA EXTRA</t>
  </si>
  <si>
    <t xml:space="preserve">METAS DE ESTUDO</t>
  </si>
  <si>
    <t xml:space="preserve">Defina metas mensais de horas, acompanhe o ritmo e veja seu mapa de calor</t>
  </si>
  <si>
    <t xml:space="preserve">Mês de referência:</t>
  </si>
  <si>
    <t xml:space="preserve">1º dia (auto):</t>
  </si>
  <si>
    <t xml:space="preserve">% do mês decorrido:</t>
  </si>
  <si>
    <t xml:space="preserve">← digite qualquer data do mês</t>
  </si>
  <si>
    <t xml:space="preserve">HORAS NO MÊS</t>
  </si>
  <si>
    <t xml:space="preserve">META DO MÊS</t>
  </si>
  <si>
    <t xml:space="preserve">% DA META</t>
  </si>
  <si>
    <t xml:space="preserve">DIAS ESTUDADOS</t>
  </si>
  <si>
    <t xml:space="preserve">METAS POR CATEGORIA</t>
  </si>
  <si>
    <t xml:space="preserve">MAPA DE CALOR DO MÊS</t>
  </si>
  <si>
    <t xml:space="preserve">Realizado (h)</t>
  </si>
  <si>
    <t xml:space="preserve">% da meta</t>
  </si>
  <si>
    <t xml:space="preserve">Faltam (h)</t>
  </si>
  <si>
    <t xml:space="preserve">Ritmo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</si>
  <si>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</si>
  <si>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</si>
  <si>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</si>
  <si>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</si>
  <si>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</si>
  <si>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</si>
  <si>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</si>
  <si>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Quanto mais escura a célula, mais horas estudadas no dia · dia de hoje em verde-escuro</t>
  </si>
  <si>
    <t xml:space="preserve">DIÁRIO DE ESTUDO</t>
  </si>
  <si>
    <t xml:space="preserve">Registre cada sessão de estudo — alimenta as Metas, o mapa de calor e o Dashboard</t>
  </si>
  <si>
    <t xml:space="preserve">Use o mesmo nome do curso (escolha na seta) para calcular custo por hora · Linhas 7–9 = exemplo</t>
  </si>
  <si>
    <t xml:space="preserve">← total de horas registradas</t>
  </si>
  <si>
    <t xml:space="preserve">Data</t>
  </si>
  <si>
    <t xml:space="preserve">Curso / Livro</t>
  </si>
  <si>
    <t xml:space="preserve">Horas</t>
  </si>
  <si>
    <t xml:space="preserve">Tema estudado</t>
  </si>
  <si>
    <t xml:space="preserve">Foco (1–5)</t>
  </si>
  <si>
    <t xml:space="preserve">MBA em Inteligência Artificial (exemplo)</t>
  </si>
  <si>
    <t xml:space="preserve">Introdução a machine learning</t>
  </si>
  <si>
    <t xml:space="preserve">Agentes de IA na Prática (exemplo)</t>
  </si>
  <si>
    <t xml:space="preserve">Fluxos de automação</t>
  </si>
  <si>
    <t xml:space="preserve">Hábitos Atômicos (exemplo)</t>
  </si>
  <si>
    <t xml:space="preserve">Capítulos 5 a 7</t>
  </si>
  <si>
    <t xml:space="preserve">MBAs, especializações, mestrado e extensões · disciplinas, acesso, certificado e investimento</t>
  </si>
  <si>
    <t xml:space="preserve">ITENS</t>
  </si>
  <si>
    <t xml:space="preserve">INVESTIDO</t>
  </si>
  <si>
    <t xml:space="preserve">ACESSOS A VENCER</t>
  </si>
  <si>
    <t xml:space="preserve">Células cinza = automáticas (não edite)  ·  Linha 10 = exemplo: substitua ou apague  ·  Use a seta das células Status, Prioridade e Certificado</t>
  </si>
  <si>
    <t xml:space="preserve">ID</t>
  </si>
  <si>
    <t xml:space="preserve">Curso / Pós-graduação</t>
  </si>
  <si>
    <t xml:space="preserve">Instituição</t>
  </si>
  <si>
    <t xml:space="preserve">Modalidade</t>
  </si>
  <si>
    <t xml:space="preserve">Data da compra</t>
  </si>
  <si>
    <t xml:space="preserve">Valor pago (R$)</t>
  </si>
  <si>
    <t xml:space="preserve">Data de início</t>
  </si>
  <si>
    <t xml:space="preserve">Término previsto</t>
  </si>
  <si>
    <t xml:space="preserve">Vencimento do acesso</t>
  </si>
  <si>
    <t xml:space="preserve">Dias p/ vencer</t>
  </si>
  <si>
    <t xml:space="preserve">Situação do acesso</t>
  </si>
  <si>
    <t xml:space="preserve">Disciplinas (total)</t>
  </si>
  <si>
    <t xml:space="preserve">Disciplinas concluídas</t>
  </si>
  <si>
    <t xml:space="preserve">% Andamento</t>
  </si>
  <si>
    <t xml:space="preserve">Horas estudadas</t>
  </si>
  <si>
    <t xml:space="preserve">Custo por hora (R$)</t>
  </si>
  <si>
    <t xml:space="preserve">Previsão de término</t>
  </si>
  <si>
    <t xml:space="preserve">Risco de prazo</t>
  </si>
  <si>
    <t xml:space="preserve">Prioridade</t>
  </si>
  <si>
    <t xml:space="preserve">Certificado</t>
  </si>
  <si>
    <t xml:space="preserve">Login</t>
  </si>
  <si>
    <t xml:space="preserve">Senha</t>
  </si>
  <si>
    <t xml:space="preserve">Link de acesso</t>
  </si>
  <si>
    <t xml:space="preserve">Observações</t>
  </si>
  <si>
    <t xml:space="preserve">Universidade Exemplo</t>
  </si>
  <si>
    <t xml:space="preserve">EAD</t>
  </si>
  <si>
    <t xml:space="preserve">Alta</t>
  </si>
  <si>
    <t xml:space="preserve">Não emitido</t>
  </si>
  <si>
    <t xml:space="preserve">seu.email@exemplo.com</t>
  </si>
  <si>
    <t xml:space="preserve">(guarde no gerenciador de senhas)</t>
  </si>
  <si>
    <t xml:space="preserve">https://portal.exemplo.com</t>
  </si>
  <si>
    <t xml:space="preserve">Linha de exemplo — substitua pelos seus dados.</t>
  </si>
  <si>
    <t xml:space="preserve">CONCURSOS PÚBLICOS</t>
  </si>
  <si>
    <t xml:space="preserve">Cursos preparatórios, bancos de questões e materiais · vincule cada curso ao concurso-alvo</t>
  </si>
  <si>
    <t xml:space="preserve">Curso / Material</t>
  </si>
  <si>
    <t xml:space="preserve">Plataforma / Instituição</t>
  </si>
  <si>
    <t xml:space="preserve">Concurso / Cargo alvo</t>
  </si>
  <si>
    <t xml:space="preserve">Banca</t>
  </si>
  <si>
    <t xml:space="preserve">Data da prova</t>
  </si>
  <si>
    <t xml:space="preserve">Aulas / Tópicos (total)</t>
  </si>
  <si>
    <t xml:space="preserve">Aulas / Tópicos concluídos</t>
  </si>
  <si>
    <t xml:space="preserve">Curso Preparatório Completo (exemplo)</t>
  </si>
  <si>
    <t xml:space="preserve">Plataforma Exemplo</t>
  </si>
  <si>
    <t xml:space="preserve">Analista — Órgão Exemplo</t>
  </si>
  <si>
    <t xml:space="preserve">CEBRASPE</t>
  </si>
  <si>
    <t xml:space="preserve">Não se aplica</t>
  </si>
  <si>
    <t xml:space="preserve">https://plataforma.exemplo.com</t>
  </si>
  <si>
    <t xml:space="preserve">Biblioteca de leitura · páginas lidas, formato, nota e previsão de término</t>
  </si>
  <si>
    <t xml:space="preserve">PÁGINAS LIDAS</t>
  </si>
  <si>
    <t xml:space="preserve">Título</t>
  </si>
  <si>
    <t xml:space="preserve">Autor(a)</t>
  </si>
  <si>
    <t xml:space="preserve">Tema / Categoria</t>
  </si>
  <si>
    <t xml:space="preserve">Editora / Loja</t>
  </si>
  <si>
    <t xml:space="preserve">Formato</t>
  </si>
  <si>
    <t xml:space="preserve">Páginas (total)</t>
  </si>
  <si>
    <t xml:space="preserve">Páginas lidas</t>
  </si>
  <si>
    <t xml:space="preserve">Horas lidas</t>
  </si>
  <si>
    <t xml:space="preserve">Nota (1–5)</t>
  </si>
  <si>
    <t xml:space="preserve">Link / Onde está</t>
  </si>
  <si>
    <t xml:space="preserve">James Clear</t>
  </si>
  <si>
    <t xml:space="preserve">Produtividade</t>
  </si>
  <si>
    <t xml:space="preserve">Livraria Exemplo</t>
  </si>
  <si>
    <t xml:space="preserve">Físico</t>
  </si>
  <si>
    <t xml:space="preserve">Média</t>
  </si>
  <si>
    <t xml:space="preserve">Estante — prateleira 2</t>
  </si>
  <si>
    <t xml:space="preserve">CURSOS · FOCO EM IA</t>
  </si>
  <si>
    <t xml:space="preserve">Inteligência artificial, agentes, automação e ferramentas · do aprendizado à aplicação</t>
  </si>
  <si>
    <t xml:space="preserve">Instituição / Plataforma</t>
  </si>
  <si>
    <t xml:space="preserve">Foco / Ferramenta</t>
  </si>
  <si>
    <t xml:space="preserve">Aulas (total)</t>
  </si>
  <si>
    <t xml:space="preserve">Aulas concluídas</t>
  </si>
  <si>
    <t xml:space="preserve">Agentes · automação</t>
  </si>
  <si>
    <t xml:space="preserve">CURSOS · FOCO EM RENDA EXTRA</t>
  </si>
  <si>
    <t xml:space="preserve">Afiliados, freelas, infoprodutos e negócios digitais · aprendizado e retorno financeiro</t>
  </si>
  <si>
    <t xml:space="preserve">RESULTADO/MÊS ATUAL</t>
  </si>
  <si>
    <t xml:space="preserve">Modelo de renda</t>
  </si>
  <si>
    <t xml:space="preserve">Meta de ganho/mês (R$)</t>
  </si>
  <si>
    <t xml:space="preserve">Resultado atual/mês (R$)</t>
  </si>
  <si>
    <t xml:space="preserve">Receita acumulada (R$)</t>
  </si>
  <si>
    <t xml:space="preserve">Payback (meses)</t>
  </si>
  <si>
    <t xml:space="preserve">Retorno</t>
  </si>
  <si>
    <t xml:space="preserve">Marketing de Afiliados do Zero (exemplo)</t>
  </si>
  <si>
    <t xml:space="preserve">Afiliados</t>
  </si>
  <si>
    <t xml:space="preserve">LISTAS E CONFIGURAÇÕES</t>
  </si>
  <si>
    <t xml:space="preserve">Edite as listas das setas e o prazo de alerta. Não renomeie os 4 Status.</t>
  </si>
  <si>
    <t xml:space="preserve">Formato (livros)</t>
  </si>
  <si>
    <t xml:space="preserve">Categoria (diário)</t>
  </si>
  <si>
    <t xml:space="preserve">Alerta de vencimento (dias)</t>
  </si>
  <si>
    <t xml:space="preserve">Presencial</t>
  </si>
  <si>
    <t xml:space="preserve">E-book</t>
  </si>
  <si>
    <t xml:space="preserve">Em emissão</t>
  </si>
  <si>
    <t xml:space="preserve">Acessos que vencem em até este nº de dias aparecem como “▲ A vencer”. Prazo padrão sugerido: 30 dias (editável).</t>
  </si>
  <si>
    <t xml:space="preserve">Baixa</t>
  </si>
  <si>
    <t xml:space="preserve">Híbrido</t>
  </si>
  <si>
    <t xml:space="preserve">Audiobook</t>
  </si>
  <si>
    <t xml:space="preserve">Emitido</t>
  </si>
  <si>
    <t xml:space="preserve">PDF</t>
  </si>
  <si>
    <t xml:space="preserve">As categorias da coluna E alimentam o Diário de Estudo e as Metas. Se renomear, renomeie também as abas correspondentes só se quiser manter a coerência visual.</t>
  </si>
  <si>
    <t xml:space="preserve">APOIO · CÁLCULOS AUTOMÁTICOS</t>
  </si>
  <si>
    <t xml:space="preserve">Alimenta os painéis do Dashboard e a lista de cursos do Diário. Não edite.</t>
  </si>
  <si>
    <t xml:space="preserve">Vencimento</t>
  </si>
  <si>
    <t xml:space="preserve">Chave venc.</t>
  </si>
  <si>
    <t xml:space="preserve">Previsão término</t>
  </si>
  <si>
    <t xml:space="preserve">Chave risco</t>
  </si>
  <si>
    <t xml:space="preserve">Posição</t>
  </si>
  <si>
    <t xml:space="preserve">Linha venc.</t>
  </si>
  <si>
    <t xml:space="preserve">Linha risco</t>
  </si>
  <si>
    <t xml:space="preserve">Todos os cursos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</si>
</sst>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&quot;R$ &quot;#,##0.00"/>
    <numFmt numFmtId="167" formatCode="0%"/>
    <numFmt numFmtId="168" formatCode="0.0&quot; h&quot;"/>
    <numFmt numFmtId="169" formatCode="0.0"/>
    <numFmt numFmtId="170" formatCode="dd/mm/yyyy"/>
    <numFmt numFmtId="171" formatCode="General"/>
    <numFmt numFmtId="172" formatCode="mmm/yy"/>
    <numFmt numFmtId="173" formatCode="&quot;R$ &quot;#,##0"/>
    <numFmt numFmtId="174" formatCode="#,##0"/>
    <numFmt numFmtId="175" formatCode="mm/yyyy"/>
    <numFmt numFmtId="176" formatCode="mmmm/yyyy"/>
    <numFmt numFmtId="177" formatCode="d"/>
    <numFmt numFmtId="178" formatCode="0.0;\-0.0;\–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i val="true"/>
      <sz val="11"/>
      <color rgb="FFB7C9A0"/>
      <name val="Arial"/>
      <family val="0"/>
      <charset val="1"/>
    </font>
    <font>
      <b val="true"/>
      <sz val="10"/>
      <color rgb="FF6B8E6E"/>
      <name val="Arial"/>
      <family val="0"/>
      <charset val="1"/>
    </font>
    <font>
      <b val="true"/>
      <u val="single"/>
      <sz val="12"/>
      <color rgb="FFFFFFFF"/>
      <name val="Arial"/>
      <family val="0"/>
      <charset val="1"/>
    </font>
    <font>
      <sz val="9"/>
      <color rgb="FF3E4A3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3E4A3D"/>
      <name val="Arial"/>
      <family val="0"/>
      <charset val="1"/>
    </font>
    <font>
      <b val="true"/>
      <sz val="10"/>
      <color rgb="FF3E4A3D"/>
      <name val="Arial"/>
      <family val="0"/>
      <charset val="1"/>
    </font>
    <font>
      <b val="true"/>
      <sz val="10"/>
      <color rgb="FF2E3A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A6420"/>
      <name val="Arial"/>
      <family val="0"/>
      <charset val="1"/>
    </font>
    <font>
      <b val="true"/>
      <sz val="10"/>
      <color rgb="FF8C4A3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B7C9A0"/>
      <name val="Arial"/>
      <family val="0"/>
      <charset val="1"/>
    </font>
    <font>
      <b val="true"/>
      <u val="single"/>
      <sz val="10"/>
      <color rgb="FFDCE5D4"/>
      <name val="Arial"/>
      <family val="0"/>
      <charset val="1"/>
    </font>
    <font>
      <b val="true"/>
      <sz val="8"/>
      <color rgb="FF6B8E6E"/>
      <name val="Arial"/>
      <family val="0"/>
      <charset val="1"/>
    </font>
    <font>
      <b val="true"/>
      <sz val="17"/>
      <color rgb="FF2E3A2F"/>
      <name val="Arial"/>
      <family val="0"/>
      <charset val="1"/>
    </font>
    <font>
      <i val="true"/>
      <sz val="8"/>
      <color rgb="FF6B8E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u val="single"/>
      <sz val="10"/>
      <color rgb="FF6B8E6E"/>
      <name val="Arial"/>
      <family val="0"/>
      <charset val="1"/>
    </font>
    <font>
      <sz val="9"/>
      <color rgb="FF6B8E6E"/>
      <name val="Arial"/>
      <family val="0"/>
      <charset val="1"/>
    </font>
    <font>
      <sz val="9"/>
      <color rgb="FFDCE5D4"/>
      <name val="Arial"/>
      <family val="0"/>
      <charset val="1"/>
    </font>
    <font>
      <sz val="8"/>
      <color rgb="FF6B8E6E"/>
      <name val="Arial"/>
      <family val="0"/>
      <charset val="1"/>
    </font>
    <font>
      <b val="true"/>
      <sz val="9"/>
      <color rgb="FF6B8E6E"/>
      <name val="Arial"/>
      <family val="0"/>
      <charset val="1"/>
    </font>
    <font>
      <b val="true"/>
      <sz val="11"/>
      <color rgb="FF3E4A3D"/>
      <name val="Arial"/>
      <family val="2"/>
    </font>
    <font>
      <sz val="10"/>
      <color rgb="FF000000"/>
      <name val="Calibri"/>
      <family val="2"/>
    </font>
    <font>
      <b val="true"/>
      <sz val="11"/>
      <color rgb="FF6B8E6E"/>
      <name val="Arial"/>
      <family val="0"/>
      <charset val="1"/>
    </font>
    <font>
      <b val="true"/>
      <sz val="9"/>
      <color rgb="FF3E4A3D"/>
      <name val="Arial"/>
      <family val="0"/>
      <charset val="1"/>
    </font>
    <font>
      <b val="true"/>
      <sz val="9"/>
      <color rgb="FF2E3A2F"/>
      <name val="Arial"/>
      <family val="0"/>
      <charset val="1"/>
    </font>
    <font>
      <sz val="10"/>
      <name val="Arial"/>
      <family val="2"/>
    </font>
    <font>
      <b val="true"/>
      <sz val="14"/>
      <color rgb="FF6B8E6E"/>
      <name val="Arial"/>
      <family val="0"/>
      <charset val="1"/>
    </font>
    <font>
      <i val="true"/>
      <sz val="9"/>
      <color rgb="FF3E4A3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3A2F"/>
        <bgColor rgb="FF3E4A3D"/>
      </patternFill>
    </fill>
    <fill>
      <patternFill patternType="solid">
        <fgColor rgb="FFA3B18A"/>
        <bgColor rgb="FFB7C9A0"/>
      </patternFill>
    </fill>
    <fill>
      <patternFill patternType="solid">
        <fgColor rgb="FF6B8E6E"/>
        <bgColor rgb="FF878787"/>
      </patternFill>
    </fill>
    <fill>
      <patternFill patternType="solid">
        <fgColor rgb="FFDCE5D4"/>
        <bgColor rgb="FFE3DFD2"/>
      </patternFill>
    </fill>
    <fill>
      <patternFill patternType="solid">
        <fgColor rgb="FFEDEAE0"/>
        <bgColor rgb="FFDCE5D4"/>
      </patternFill>
    </fill>
    <fill>
      <patternFill patternType="solid">
        <fgColor rgb="FFFFFFFF"/>
        <bgColor rgb="FFEDEAE0"/>
      </patternFill>
    </fill>
    <fill>
      <patternFill patternType="solid">
        <fgColor rgb="FFB7C9A0"/>
        <bgColor rgb="FFC9BFA6"/>
      </patternFill>
    </fill>
    <fill>
      <patternFill patternType="solid">
        <fgColor rgb="FFF2E6BE"/>
        <bgColor rgb="FFE3DFD2"/>
      </patternFill>
    </fill>
    <fill>
      <patternFill patternType="solid">
        <fgColor rgb="FFEBCFC6"/>
        <bgColor rgb="FFE3DFD2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A3B18A"/>
      </bottom>
      <diagonal/>
    </border>
    <border diagonalUp="false" diagonalDown="false">
      <left style="thin">
        <color rgb="FFB7C9A0"/>
      </left>
      <right style="thin">
        <color rgb="FFB7C9A0"/>
      </right>
      <top style="thin">
        <color rgb="FFB7C9A0"/>
      </top>
      <bottom style="thin">
        <color rgb="FFB7C9A0"/>
      </bottom>
      <diagonal/>
    </border>
    <border diagonalUp="false" diagonalDown="false">
      <left style="thin">
        <color rgb="FFB7C9A0"/>
      </left>
      <right style="thin">
        <color rgb="FFB7C9A0"/>
      </right>
      <top style="thin">
        <color rgb="FFB7C9A0"/>
      </top>
      <bottom/>
      <diagonal/>
    </border>
    <border diagonalUp="false" diagonalDown="false">
      <left style="thin">
        <color rgb="FFB7C9A0"/>
      </left>
      <right style="thin">
        <color rgb="FFB7C9A0"/>
      </right>
      <top/>
      <bottom style="thin">
        <color rgb="FFB7C9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3" fontId="10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73" fontId="10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5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name val="Arial"/>
        <charset val="1"/>
        <family val="0"/>
        <b val="1"/>
        <color rgb="FF8C4A3C"/>
      </font>
      <fill>
        <patternFill>
          <bgColor rgb="FFEBCFC6"/>
        </patternFill>
      </fill>
    </dxf>
    <dxf>
      <font>
        <name val="Arial"/>
        <charset val="1"/>
        <family val="0"/>
        <b val="1"/>
        <color rgb="FF7A6420"/>
      </font>
      <fill>
        <patternFill>
          <bgColor rgb="FFF2E6BE"/>
        </patternFill>
      </fill>
    </dxf>
    <dxf>
      <font>
        <name val="Arial"/>
        <charset val="1"/>
        <family val="0"/>
        <b val="1"/>
        <color rgb="FF8C4A3C"/>
      </font>
    </dxf>
    <dxf>
      <font>
        <name val="Arial"/>
        <charset val="1"/>
        <family val="0"/>
        <b val="1"/>
        <color rgb="FF6B8E6E"/>
      </font>
    </dxf>
    <dxf>
      <fill>
        <patternFill>
          <bgColor rgb="FF6B8E6E"/>
        </patternFill>
      </fill>
    </dxf>
    <dxf>
      <fill>
        <patternFill>
          <bgColor rgb="FFA3B18A"/>
        </patternFill>
      </fill>
    </dxf>
    <dxf>
      <fill>
        <patternFill>
          <bgColor rgb="FFDCE5D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2E3A2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B8E6E"/>
        </patternFill>
      </fill>
    </dxf>
    <dxf>
      <font>
        <name val="Arial"/>
        <charset val="1"/>
        <family val="0"/>
        <b val="1"/>
        <color rgb="FF2E3A2F"/>
      </font>
      <fill>
        <patternFill>
          <bgColor rgb="FFB7C9A0"/>
        </patternFill>
      </fill>
    </dxf>
    <dxf>
      <fill>
        <patternFill patternType="solid">
          <fgColor rgb="FF2E3A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E4A3D"/>
          <bgColor rgb="FF000000"/>
        </patternFill>
      </fill>
    </dxf>
    <dxf>
      <fill>
        <patternFill patternType="solid">
          <fgColor rgb="FFA3B18A"/>
          <bgColor rgb="FF000000"/>
        </patternFill>
      </fill>
    </dxf>
    <dxf>
      <fill>
        <patternFill patternType="solid">
          <fgColor rgb="FFEDEAE0"/>
          <bgColor rgb="FF000000"/>
        </patternFill>
      </fill>
    </dxf>
    <dxf>
      <fill>
        <patternFill patternType="solid">
          <fgColor rgb="FF6B8E6E"/>
          <bgColor rgb="FF000000"/>
        </patternFill>
      </fill>
    </dxf>
    <dxf>
      <fill>
        <patternFill patternType="solid">
          <fgColor rgb="FFDCE5D4"/>
          <bgColor rgb="FF000000"/>
        </patternFill>
      </fill>
    </dxf>
    <dxf>
      <fill>
        <patternFill patternType="solid">
          <fgColor rgb="FFB7C9A0"/>
          <bgColor rgb="FF000000"/>
        </patternFill>
      </fill>
    </dxf>
    <dxf>
      <fill>
        <patternFill patternType="solid">
          <fgColor rgb="FF8C4A3C"/>
          <bgColor rgb="FF000000"/>
        </patternFill>
      </fill>
    </dxf>
    <dxf>
      <font>
        <name val="Arial"/>
        <charset val="1"/>
        <family val="0"/>
        <color rgb="FF7C7766"/>
      </font>
      <fill>
        <patternFill>
          <bgColor rgb="FFE3DFD2"/>
        </patternFill>
      </fill>
    </dxf>
    <dxf>
      <font>
        <name val="Arial"/>
        <charset val="1"/>
        <family val="0"/>
        <color rgb="FF7A6420"/>
      </font>
      <fill>
        <patternFill>
          <bgColor rgb="FFF2E6BE"/>
        </patternFill>
      </fill>
    </dxf>
    <dxf>
      <font>
        <name val="Arial"/>
        <charset val="1"/>
        <family val="0"/>
        <color rgb="FF6B8E6E"/>
      </font>
      <fill>
        <patternFill>
          <bgColor rgb="FFDCE5D4"/>
        </patternFill>
      </fill>
    </dxf>
    <dxf>
      <font>
        <name val="Arial"/>
        <charset val="1"/>
        <family val="0"/>
        <color rgb="FF2E3A2F"/>
      </font>
      <fill>
        <patternFill>
          <bgColor rgb="FFB7C9A0"/>
        </patternFill>
      </fill>
    </dxf>
    <dxf>
      <fill>
        <patternFill patternType="solid">
          <fgColor rgb="FFF2E6BE"/>
          <bgColor rgb="FF000000"/>
        </patternFill>
      </fill>
    </dxf>
    <dxf>
      <fill>
        <patternFill patternType="solid">
          <fgColor rgb="FF7A64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420"/>
      <rgbColor rgb="FF800080"/>
      <rgbColor rgb="FF008080"/>
      <rgbColor rgb="FFC9BFA6"/>
      <rgbColor rgb="FF878787"/>
      <rgbColor rgb="FF9999FF"/>
      <rgbColor rgb="FF8C4A3C"/>
      <rgbColor rgb="FFEDEAE0"/>
      <rgbColor rgb="FFE3DFD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5D4"/>
      <rgbColor rgb="FFF2E6BE"/>
      <rgbColor rgb="FFB7C9A0"/>
      <rgbColor rgb="FFFF99CC"/>
      <rgbColor rgb="FFCC99FF"/>
      <rgbColor rgb="FFEBCFC6"/>
      <rgbColor rgb="FF4F81BD"/>
      <rgbColor rgb="FF33CCCC"/>
      <rgbColor rgb="FF99CC00"/>
      <rgbColor rgb="FFFFCC00"/>
      <rgbColor rgb="FFFF9900"/>
      <rgbColor rgb="FFFF6600"/>
      <rgbColor rgb="FF7C7766"/>
      <rgbColor rgb="FFA3B18A"/>
      <rgbColor rgb="FF003366"/>
      <rgbColor rgb="FF6B8E6E"/>
      <rgbColor rgb="FF003300"/>
      <rgbColor rgb="FF3E4A3D"/>
      <rgbColor rgb="FF993300"/>
      <rgbColor rgb="FF993366"/>
      <rgbColor rgb="FF333399"/>
      <rgbColor rgb="FF2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Status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Dashboard!D14</c:f>
              <c:strCache>
                <c:ptCount val="1"/>
                <c:pt idx="0">
                  <c:v>Não iniciado</c:v>
                </c:pt>
              </c:strCache>
            </c:strRef>
          </c:tx>
          <c:spPr>
            <a:solidFill>
              <a:srgbClr val="dce5d4"/>
            </a:solidFill>
            <a:ln w="0">
              <a:solidFill>
                <a:srgbClr val="dce5d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Dashboard!$D$15:$D$19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Dashboard!E14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Dashboard!$E$15:$E$19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Dashboard!F14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Dashboard!$F$15:$F$19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Dashboard!G14</c:f>
              <c:strCache>
                <c:ptCount val="1"/>
                <c:pt idx="0">
                  <c:v>Pausado</c:v>
                </c:pt>
              </c:strCache>
            </c:strRef>
          </c:tx>
          <c:spPr>
            <a:solidFill>
              <a:srgbClr val="c9bfa6"/>
            </a:solidFill>
            <a:ln w="0">
              <a:solidFill>
                <a:srgbClr val="c9bf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Dashboard!$G$15:$G$19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35452590"/>
        <c:axId val="88507468"/>
      </c:barChart>
      <c:catAx>
        <c:axId val="35452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07468"/>
        <c:crosses val="autoZero"/>
        <c:auto val="1"/>
        <c:lblAlgn val="ctr"/>
        <c:lblOffset val="100"/>
        <c:noMultiLvlLbl val="0"/>
      </c:catAx>
      <c:valAx>
        <c:axId val="8850746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52590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ce5d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3b18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6b8e6e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9bf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Dashboard!$D$14:$G$14</c:f>
              <c:strCache>
                <c:ptCount val="4"/>
                <c:pt idx="0">
                  <c:v>Não iniciado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Pausado</c:v>
                </c:pt>
              </c:strCache>
            </c:strRef>
          </c:cat>
          <c:val>
            <c:numRef>
              <c:f>Dashboard!$D$20:$G$20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Progresso médio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Dashboard!I14</c:f>
              <c:strCache>
                <c:ptCount val="1"/>
                <c:pt idx="0">
                  <c:v>% médio</c:v>
                </c:pt>
              </c:strCache>
            </c:strRef>
          </c:tx>
          <c:spPr>
            <a:solidFill>
              <a:srgbClr val="a3b18a"/>
            </a:solidFill>
            <a:ln w="0">
              <a:solidFill>
                <a:srgbClr val="a3b18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Dashboard!$I$15:$I$19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0.375</c:v>
                </c:pt>
                <c:pt idx="3">
                  <c:v>0.3</c:v>
                </c:pt>
                <c:pt idx="4">
                  <c:v>0.222222222222222</c:v>
                </c:pt>
              </c:numCache>
            </c:numRef>
          </c:val>
        </c:ser>
        <c:gapWidth val="150"/>
        <c:overlap val="0"/>
        <c:axId val="2606592"/>
        <c:axId val="81374120"/>
      </c:barChart>
      <c:catAx>
        <c:axId val="26065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4120"/>
        <c:crosses val="autoZero"/>
        <c:auto val="1"/>
        <c:lblAlgn val="ctr"/>
        <c:lblOffset val="100"/>
        <c:noMultiLvlLbl val="0"/>
      </c:catAx>
      <c:valAx>
        <c:axId val="8137412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6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Investimento por categoria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Dashboard!H14</c:f>
              <c:strCache>
                <c:ptCount val="1"/>
                <c:pt idx="0">
                  <c:v>Investimento (R$)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Dashboard!$H$15:$H$19</c:f>
              <c:numCache>
                <c:formatCode>"R$ "#,##0.00</c:formatCode>
                <c:ptCount val="5"/>
                <c:pt idx="0">
                  <c:v>12600</c:v>
                </c:pt>
                <c:pt idx="1">
                  <c:v>1490</c:v>
                </c:pt>
                <c:pt idx="2">
                  <c:v>49.9</c:v>
                </c:pt>
                <c:pt idx="3">
                  <c:v>497</c:v>
                </c:pt>
                <c:pt idx="4">
                  <c:v>297</c:v>
                </c:pt>
              </c:numCache>
            </c:numRef>
          </c:val>
        </c:ser>
        <c:gapWidth val="150"/>
        <c:overlap val="0"/>
        <c:axId val="25989765"/>
        <c:axId val="50642041"/>
      </c:barChart>
      <c:catAx>
        <c:axId val="259897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42041"/>
        <c:crosses val="autoZero"/>
        <c:auto val="1"/>
        <c:lblAlgn val="ctr"/>
        <c:lblOffset val="100"/>
        <c:noMultiLvlLbl val="0"/>
      </c:catAx>
      <c:valAx>
        <c:axId val="5064204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89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Meta × Realizado por categoria (horas)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'Metas de Estudo'!C12</c:f>
              <c:strCache>
                <c:ptCount val="1"/>
                <c:pt idx="0">
                  <c:v>Meta (h)</c:v>
                </c:pt>
              </c:strCache>
            </c:strRef>
          </c:tx>
          <c:spPr>
            <a:solidFill>
              <a:srgbClr val="dce5d4"/>
            </a:solidFill>
            <a:ln w="0">
              <a:solidFill>
                <a:srgbClr val="b7c9a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Estudo'!$C$13:$C$17</c:f>
              <c:numCache>
                <c:formatCode>0.0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'Metas de Estudo'!D12</c:f>
              <c:strCache>
                <c:ptCount val="1"/>
                <c:pt idx="0">
                  <c:v>Realizado (h)</c:v>
                </c:pt>
              </c:strCache>
            </c:strRef>
          </c:tx>
          <c:spPr>
            <a:solidFill>
              <a:srgbClr val="6b8e6e"/>
            </a:solidFill>
            <a:ln w="0">
              <a:solidFill>
                <a:srgbClr val="6b8e6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Estudo'!$D$13:$D$17</c:f>
              <c:numCache>
                <c:formatCode>0.0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3737724"/>
        <c:axId val="20909547"/>
      </c:barChart>
      <c:catAx>
        <c:axId val="937377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9547"/>
        <c:crosses val="autoZero"/>
        <c:auto val="1"/>
        <c:lblAlgn val="ctr"/>
        <c:lblOffset val="100"/>
        <c:noMultiLvlLbl val="0"/>
      </c:catAx>
      <c:valAx>
        <c:axId val="2090954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377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3e4a3d"/>
                </a:solidFill>
                <a:latin typeface="Arial"/>
              </a:defRPr>
            </a:pPr>
            <a:r>
              <a:rPr b="1" sz="1100" spc="-1" strike="noStrike">
                <a:solidFill>
                  <a:srgbClr val="3e4a3d"/>
                </a:solidFill>
                <a:latin typeface="Arial"/>
              </a:rPr>
              <a:t>Onde suas horas foram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3a2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b8e6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3b18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7c9a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9bf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'Metas de Estudo'!$B$13:$B$17</c:f>
              <c:strCache>
                <c:ptCount val="5"/>
                <c:pt idx="0">
                  <c:v>Pós-graduação</c:v>
                </c:pt>
                <c:pt idx="1">
                  <c:v>Concurso</c:v>
                </c:pt>
                <c:pt idx="2">
                  <c:v>Livros</c:v>
                </c:pt>
                <c:pt idx="3">
                  <c:v>Cursos IA</c:v>
                </c:pt>
                <c:pt idx="4">
                  <c:v>Renda Extra</c:v>
                </c:pt>
              </c:strCache>
            </c:strRef>
          </c:cat>
          <c:val>
            <c:numRef>
              <c:f>'Metas de Estudo'!$D$13:$D$17</c:f>
              <c:numCache>
                <c:formatCode>0.0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1.5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ce5d4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6</xdr:col>
      <xdr:colOff>462600</xdr:colOff>
      <xdr:row>55</xdr:row>
      <xdr:rowOff>22320</xdr:rowOff>
    </xdr:to>
    <xdr:graphicFrame>
      <xdr:nvGraphicFramePr>
        <xdr:cNvPr id="0" name="Chart 1"/>
        <xdr:cNvGraphicFramePr/>
      </xdr:nvGraphicFramePr>
      <xdr:xfrm>
        <a:off x="211320" y="990612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815040</xdr:colOff>
      <xdr:row>55</xdr:row>
      <xdr:rowOff>22320</xdr:rowOff>
    </xdr:to>
    <xdr:graphicFrame>
      <xdr:nvGraphicFramePr>
        <xdr:cNvPr id="1" name="Chart 2"/>
        <xdr:cNvGraphicFramePr/>
      </xdr:nvGraphicFramePr>
      <xdr:xfrm>
        <a:off x="5850360" y="990612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6</xdr:col>
      <xdr:colOff>462600</xdr:colOff>
      <xdr:row>72</xdr:row>
      <xdr:rowOff>22320</xdr:rowOff>
    </xdr:to>
    <xdr:graphicFrame>
      <xdr:nvGraphicFramePr>
        <xdr:cNvPr id="2" name="Chart 3"/>
        <xdr:cNvGraphicFramePr/>
      </xdr:nvGraphicFramePr>
      <xdr:xfrm>
        <a:off x="211320" y="1314468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57</xdr:row>
      <xdr:rowOff>0</xdr:rowOff>
    </xdr:from>
    <xdr:to>
      <xdr:col>12</xdr:col>
      <xdr:colOff>815040</xdr:colOff>
      <xdr:row>72</xdr:row>
      <xdr:rowOff>22320</xdr:rowOff>
    </xdr:to>
    <xdr:graphicFrame>
      <xdr:nvGraphicFramePr>
        <xdr:cNvPr id="3" name="Chart 4"/>
        <xdr:cNvGraphicFramePr/>
      </xdr:nvGraphicFramePr>
      <xdr:xfrm>
        <a:off x="5850360" y="13144680"/>
        <a:ext cx="525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731160</xdr:colOff>
      <xdr:row>31</xdr:row>
      <xdr:rowOff>164880</xdr:rowOff>
    </xdr:to>
    <xdr:graphicFrame>
      <xdr:nvGraphicFramePr>
        <xdr:cNvPr id="4" name="Chart 1"/>
        <xdr:cNvGraphicFramePr/>
      </xdr:nvGraphicFramePr>
      <xdr:xfrm>
        <a:off x="211320" y="4581360"/>
        <a:ext cx="62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15</xdr:col>
      <xdr:colOff>480240</xdr:colOff>
      <xdr:row>41</xdr:row>
      <xdr:rowOff>21960</xdr:rowOff>
    </xdr:to>
    <xdr:graphicFrame>
      <xdr:nvGraphicFramePr>
        <xdr:cNvPr id="5" name="Chart 2"/>
        <xdr:cNvGraphicFramePr/>
      </xdr:nvGraphicFramePr>
      <xdr:xfrm>
        <a:off x="8105760" y="6343560"/>
        <a:ext cx="44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3A2F"/>
    <pageSetUpPr fitToPage="tru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4"/>
  </cols>
  <sheetData>
    <row r="1" customFormat="false" ht="5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9.75" hidden="false" customHeight="true" outlineLevel="0" collapsed="false"/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30" hidden="false" customHeight="true" outlineLevel="0" collapsed="false">
      <c r="B6" s="5" t="s">
        <v>3</v>
      </c>
      <c r="C6" s="5"/>
      <c r="D6" s="5"/>
      <c r="E6" s="5" t="s">
        <v>4</v>
      </c>
      <c r="F6" s="5"/>
      <c r="G6" s="5"/>
      <c r="H6" s="5" t="s">
        <v>5</v>
      </c>
      <c r="I6" s="5"/>
      <c r="J6" s="5"/>
      <c r="K6" s="5" t="s">
        <v>6</v>
      </c>
      <c r="L6" s="5"/>
      <c r="M6" s="5"/>
    </row>
    <row r="7" customFormat="false" ht="30" hidden="false" customHeight="true" outlineLevel="0" collapsed="false">
      <c r="B7" s="6" t="s">
        <v>7</v>
      </c>
      <c r="C7" s="6"/>
      <c r="D7" s="6"/>
      <c r="E7" s="6" t="s">
        <v>8</v>
      </c>
      <c r="F7" s="6"/>
      <c r="G7" s="6"/>
      <c r="H7" s="6" t="s">
        <v>9</v>
      </c>
      <c r="I7" s="6"/>
      <c r="J7" s="6"/>
      <c r="K7" s="6" t="s">
        <v>10</v>
      </c>
      <c r="L7" s="6"/>
      <c r="M7" s="6"/>
    </row>
    <row r="8" customFormat="false" ht="7.5" hidden="false" customHeight="true" outlineLevel="0" collapsed="false"/>
    <row r="9" customFormat="false" ht="30" hidden="false" customHeight="true" outlineLevel="0" collapsed="false">
      <c r="B9" s="7" t="s">
        <v>11</v>
      </c>
      <c r="C9" s="7"/>
      <c r="D9" s="7"/>
      <c r="E9" s="7" t="s">
        <v>12</v>
      </c>
      <c r="F9" s="7"/>
      <c r="G9" s="7"/>
      <c r="H9" s="7" t="s">
        <v>13</v>
      </c>
      <c r="I9" s="7"/>
      <c r="J9" s="7"/>
      <c r="K9" s="7" t="s">
        <v>14</v>
      </c>
      <c r="L9" s="7"/>
      <c r="M9" s="7"/>
    </row>
    <row r="10" customFormat="false" ht="30" hidden="false" customHeight="true" outlineLevel="0" collapsed="false">
      <c r="B10" s="6" t="s">
        <v>15</v>
      </c>
      <c r="C10" s="6"/>
      <c r="D10" s="6"/>
      <c r="E10" s="6" t="s">
        <v>16</v>
      </c>
      <c r="F10" s="6"/>
      <c r="G10" s="6"/>
      <c r="H10" s="6" t="s">
        <v>17</v>
      </c>
      <c r="I10" s="6"/>
      <c r="J10" s="6"/>
      <c r="K10" s="6" t="s">
        <v>18</v>
      </c>
      <c r="L10" s="6"/>
      <c r="M10" s="6"/>
    </row>
    <row r="11" customFormat="false" ht="7.5" hidden="false" customHeight="true" outlineLevel="0" collapsed="false"/>
    <row r="12" customFormat="false" ht="30" hidden="false" customHeight="true" outlineLevel="0" collapsed="false">
      <c r="B12" s="7" t="s">
        <v>19</v>
      </c>
      <c r="C12" s="7"/>
      <c r="D12" s="7"/>
      <c r="E12" s="8" t="s">
        <v>20</v>
      </c>
      <c r="F12" s="8"/>
      <c r="G12" s="8"/>
    </row>
    <row r="13" customFormat="false" ht="30" hidden="false" customHeight="true" outlineLevel="0" collapsed="false">
      <c r="B13" s="6" t="s">
        <v>21</v>
      </c>
      <c r="C13" s="6"/>
      <c r="D13" s="6"/>
      <c r="E13" s="6" t="s">
        <v>22</v>
      </c>
      <c r="F13" s="6"/>
      <c r="G13" s="6"/>
    </row>
    <row r="14" customFormat="false" ht="7.5" hidden="false" customHeight="true" outlineLevel="0" collapsed="false"/>
    <row r="16" customFormat="false" ht="21.75" hidden="false" customHeight="true" outlineLevel="0" collapsed="false">
      <c r="B16" s="4" t="s">
        <v>23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7.75" hidden="false" customHeight="true" outlineLevel="0" collapsed="false">
      <c r="B17" s="9" t="s">
        <v>24</v>
      </c>
      <c r="C17" s="10" t="s">
        <v>25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27.75" hidden="false" customHeight="true" outlineLevel="0" collapsed="false">
      <c r="B18" s="9" t="s">
        <v>26</v>
      </c>
      <c r="C18" s="11" t="s">
        <v>27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27.75" hidden="false" customHeight="true" outlineLevel="0" collapsed="false">
      <c r="B19" s="9" t="s">
        <v>28</v>
      </c>
      <c r="C19" s="10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27.75" hidden="false" customHeight="true" outlineLevel="0" collapsed="false">
      <c r="B20" s="9" t="s">
        <v>30</v>
      </c>
      <c r="C20" s="11" t="s">
        <v>31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27.75" hidden="false" customHeight="true" outlineLevel="0" collapsed="false">
      <c r="B21" s="9" t="s">
        <v>32</v>
      </c>
      <c r="C21" s="10" t="s">
        <v>33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27.75" hidden="false" customHeight="true" outlineLevel="0" collapsed="false">
      <c r="B22" s="9" t="s">
        <v>34</v>
      </c>
      <c r="C22" s="11" t="s">
        <v>35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4" customFormat="false" ht="21.75" hidden="false" customHeight="true" outlineLevel="0" collapsed="false">
      <c r="B24" s="4" t="s">
        <v>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21.75" hidden="false" customHeight="true" outlineLevel="0" collapsed="false">
      <c r="B25" s="12" t="s">
        <v>37</v>
      </c>
      <c r="C25" s="12"/>
      <c r="D25" s="13" t="s">
        <v>38</v>
      </c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21.75" hidden="false" customHeight="true" outlineLevel="0" collapsed="false">
      <c r="B26" s="14" t="s">
        <v>39</v>
      </c>
      <c r="C26" s="14"/>
      <c r="D26" s="13" t="s">
        <v>40</v>
      </c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21.75" hidden="false" customHeight="true" outlineLevel="0" collapsed="false">
      <c r="B27" s="15" t="s">
        <v>41</v>
      </c>
      <c r="C27" s="15"/>
      <c r="D27" s="13" t="s">
        <v>42</v>
      </c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21.75" hidden="false" customHeight="true" outlineLevel="0" collapsed="false">
      <c r="B28" s="16" t="s">
        <v>43</v>
      </c>
      <c r="C28" s="16"/>
      <c r="D28" s="13" t="s">
        <v>44</v>
      </c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21.75" hidden="false" customHeight="true" outlineLevel="0" collapsed="false">
      <c r="B29" s="17" t="s">
        <v>45</v>
      </c>
      <c r="C29" s="17"/>
      <c r="D29" s="13" t="s">
        <v>46</v>
      </c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21.75" hidden="false" customHeight="true" outlineLevel="0" collapsed="false">
      <c r="B30" s="18" t="s">
        <v>47</v>
      </c>
      <c r="C30" s="18"/>
      <c r="D30" s="13" t="s">
        <v>48</v>
      </c>
      <c r="E30" s="13"/>
      <c r="F30" s="13"/>
      <c r="G30" s="13"/>
      <c r="H30" s="13"/>
      <c r="I30" s="13"/>
      <c r="J30" s="13"/>
      <c r="K30" s="13"/>
      <c r="L30" s="13"/>
      <c r="M30" s="13"/>
    </row>
    <row r="32" customFormat="false" ht="21.75" hidden="false" customHeight="true" outlineLevel="0" collapsed="false">
      <c r="B32" s="4" t="s">
        <v>49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30" hidden="false" customHeight="true" outlineLevel="0" collapsed="false">
      <c r="B33" s="19" t="s">
        <v>50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30" hidden="false" customHeight="true" outlineLevel="0" collapsed="false">
      <c r="B34" s="19" t="s">
        <v>51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customFormat="false" ht="30" hidden="false" customHeight="true" outlineLevel="0" collapsed="false">
      <c r="B35" s="19" t="s">
        <v>52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30" hidden="false" customHeight="true" outlineLevel="0" collapsed="false">
      <c r="B36" s="19" t="s">
        <v>53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customFormat="false" ht="30" hidden="false" customHeight="true" outlineLevel="0" collapsed="false">
      <c r="B37" s="19" t="s">
        <v>54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</sheetData>
  <mergeCells count="49">
    <mergeCell ref="A1:M1"/>
    <mergeCell ref="A2:M2"/>
    <mergeCell ref="B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2:D12"/>
    <mergeCell ref="E12:G12"/>
    <mergeCell ref="B13:D13"/>
    <mergeCell ref="E13:G13"/>
    <mergeCell ref="B16:M16"/>
    <mergeCell ref="C17:M17"/>
    <mergeCell ref="C18:M18"/>
    <mergeCell ref="C19:M19"/>
    <mergeCell ref="C20:M20"/>
    <mergeCell ref="C21:M21"/>
    <mergeCell ref="C22:M22"/>
    <mergeCell ref="B24:M24"/>
    <mergeCell ref="B25:C25"/>
    <mergeCell ref="D25:M25"/>
    <mergeCell ref="B26:C26"/>
    <mergeCell ref="D26:M26"/>
    <mergeCell ref="B27:C27"/>
    <mergeCell ref="D27:M27"/>
    <mergeCell ref="B28:C28"/>
    <mergeCell ref="D28:M28"/>
    <mergeCell ref="B29:C29"/>
    <mergeCell ref="D29:M29"/>
    <mergeCell ref="B30:C30"/>
    <mergeCell ref="D30:M30"/>
    <mergeCell ref="B32:M32"/>
    <mergeCell ref="B33:M33"/>
    <mergeCell ref="B34:M34"/>
    <mergeCell ref="B35:M35"/>
    <mergeCell ref="B36:M36"/>
    <mergeCell ref="B37:M37"/>
  </mergeCells>
  <hyperlinks>
    <hyperlink ref="B6" location="'Dashboard'!A1" display="Dashboard"/>
    <hyperlink ref="E6" location="'Roadmap'!A1" display="Roadmap"/>
    <hyperlink ref="H6" location="'Metas de Estudo'!A1" display="Metas de Estudo"/>
    <hyperlink ref="K6" location="'Diário de Estudo'!A1" display="Diário de Estudo"/>
    <hyperlink ref="B9" location="'Pós-graduação'!A1" display="Pós-graduação"/>
    <hyperlink ref="E9" location="'Concurso'!A1" display="Concurso"/>
    <hyperlink ref="H9" location="'Livros'!A1" display="Livros"/>
    <hyperlink ref="K9" location="'Cursos IA'!A1" display="Cursos IA"/>
    <hyperlink ref="B12" location="'Renda Extra'!A1" display="Renda Extra"/>
    <hyperlink ref="E12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M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3" min="13" style="0" width="13"/>
  </cols>
  <sheetData>
    <row r="1" customFormat="false" ht="37.5" hidden="false" customHeight="true" outlineLevel="0" collapsed="false">
      <c r="A1" s="20" t="s">
        <v>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9.5" hidden="false" customHeight="true" outlineLevel="0" collapsed="false">
      <c r="A2" s="21" t="s">
        <v>56</v>
      </c>
      <c r="B2" s="21"/>
      <c r="C2" s="21"/>
      <c r="D2" s="21"/>
      <c r="E2" s="21"/>
      <c r="F2" s="21"/>
      <c r="G2" s="21"/>
      <c r="H2" s="21"/>
      <c r="I2" s="21"/>
      <c r="J2" s="21"/>
      <c r="K2" s="22" t="s">
        <v>57</v>
      </c>
      <c r="L2" s="22"/>
      <c r="M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58</v>
      </c>
      <c r="C5" s="23"/>
      <c r="D5" s="23" t="s">
        <v>59</v>
      </c>
      <c r="E5" s="23"/>
      <c r="F5" s="23" t="s">
        <v>60</v>
      </c>
      <c r="G5" s="23"/>
      <c r="H5" s="23" t="s">
        <v>61</v>
      </c>
      <c r="I5" s="23"/>
      <c r="J5" s="23" t="s">
        <v>62</v>
      </c>
      <c r="K5" s="23"/>
      <c r="L5" s="23" t="s">
        <v>63</v>
      </c>
      <c r="M5" s="23"/>
    </row>
    <row r="6" customFormat="false" ht="27.75" hidden="false" customHeight="true" outlineLevel="0" collapsed="false">
      <c r="B6" s="24" t="n">
        <f aca="false">C20</f>
        <v>5</v>
      </c>
      <c r="C6" s="24"/>
      <c r="D6" s="24" t="n">
        <f aca="false">E20</f>
        <v>5</v>
      </c>
      <c r="E6" s="24"/>
      <c r="F6" s="24" t="n">
        <f aca="false">F20</f>
        <v>0</v>
      </c>
      <c r="G6" s="24"/>
      <c r="H6" s="25" t="n">
        <f aca="false">H20</f>
        <v>14933.9</v>
      </c>
      <c r="I6" s="25"/>
      <c r="J6" s="26" t="n">
        <f aca="false">I20</f>
        <v>0.249444444444444</v>
      </c>
      <c r="K6" s="26"/>
      <c r="L6" s="24" t="n">
        <f aca="false">M20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6" hidden="false" customHeight="true" outlineLevel="0" collapsed="false"/>
    <row r="9" customFormat="false" ht="15" hidden="false" customHeight="true" outlineLevel="0" collapsed="false">
      <c r="B9" s="23" t="s">
        <v>64</v>
      </c>
      <c r="C9" s="23"/>
      <c r="D9" s="23" t="s">
        <v>65</v>
      </c>
      <c r="E9" s="23"/>
      <c r="F9" s="23" t="s">
        <v>66</v>
      </c>
      <c r="G9" s="23"/>
      <c r="H9" s="23" t="s">
        <v>67</v>
      </c>
      <c r="I9" s="23"/>
      <c r="J9" s="23" t="s">
        <v>68</v>
      </c>
      <c r="K9" s="23"/>
      <c r="L9" s="23" t="s">
        <v>69</v>
      </c>
      <c r="M9" s="23"/>
    </row>
    <row r="10" customFormat="false" ht="27.75" hidden="false" customHeight="true" outlineLevel="0" collapsed="false">
      <c r="B10" s="30" t="n">
        <f aca="false">'Diário de Estudo'!D5</f>
        <v>4.5</v>
      </c>
      <c r="C10" s="30"/>
      <c r="D10" s="25" t="n">
        <f aca="false">IFERROR((SUMIF('Pós-graduação'!O10:O49,"&gt;0",'Pós-graduação'!F10:F49)+SUMIF(Concurso!Q10:Q49,"&gt;0",Concurso!H10:H49)+SUMIF(Livros!N10:N49,"&gt;0",Livros!H10:H49)+SUMIF('Cursos IA'!O10:O49,"&gt;0",'Cursos IA'!F10:F49)+SUMIF('Renda Extra'!O10:O49,"&gt;0",'Renda Extra'!F10:F49))/(SUM('Pós-graduação'!O10:O49)+SUM(Concurso!Q10:Q49)+SUM(Livros!N10:N49)+SUM('Cursos IA'!O10:O49)+SUM('Renda Extra'!O10:O49)),0)</f>
        <v>2921.53333333333</v>
      </c>
      <c r="E10" s="25"/>
      <c r="F10" s="24" t="n">
        <f aca="false">COUNTIF('Pós-graduação'!R10:R49,"*Estoura o acesso")+COUNTIF(Concurso!T10:T49,"*Estoura o acesso")+COUNTIF('Cursos IA'!R10:R49,"*Estoura o acesso")+COUNTIF('Renda Extra'!R10:R49,"*Estoura o acesso")</f>
        <v>0</v>
      </c>
      <c r="G10" s="24"/>
      <c r="H10" s="24" t="n">
        <f aca="false">COUNTIF('Pós-graduação'!R10:R49,"*Atrasado vs plano")+COUNTIF(Concurso!T10:T49,"*Atrasado vs plano")+COUNTIF(Livros!Q10:Q49,"*Atrasado vs plano")+COUNTIF('Cursos IA'!R10:R49,"*Atrasado vs plano")+COUNTIF('Renda Extra'!R10:R49,"*Atrasado vs plano")</f>
        <v>1</v>
      </c>
      <c r="I10" s="24"/>
      <c r="J10" s="26" t="n">
        <f aca="false">IFERROR((SUM('Renda Extra'!X10:X49)-SUM('Renda Extra'!F10:F49))/SUM('Renda Extra'!F10:F49),0)</f>
        <v>-0.393939393939394</v>
      </c>
      <c r="K10" s="26"/>
      <c r="L10" s="31" t="n">
        <f aca="false">IFERROR(AVERAGE('Renda Extra'!Z10:Z49),"—")</f>
        <v>0.975</v>
      </c>
      <c r="M10" s="31"/>
    </row>
    <row r="11" customFormat="false" ht="3.75" hidden="false" customHeight="true" outlineLevel="0" collapsed="false">
      <c r="B11" s="27"/>
      <c r="C11" s="27"/>
      <c r="D11" s="28"/>
      <c r="E11" s="28"/>
      <c r="F11" s="29"/>
      <c r="G11" s="29"/>
      <c r="H11" s="27"/>
      <c r="I11" s="27"/>
      <c r="J11" s="28"/>
      <c r="K11" s="28"/>
      <c r="L11" s="29"/>
      <c r="M11" s="29"/>
    </row>
    <row r="12" customFormat="false" ht="15.75" hidden="false" customHeight="true" outlineLevel="0" collapsed="false">
      <c r="B12" s="32" t="s">
        <v>70</v>
      </c>
      <c r="C12" s="33" t="n">
        <f aca="true">TODAY()</f>
        <v>46298</v>
      </c>
    </row>
    <row r="13" customFormat="false" ht="21.75" hidden="false" customHeight="true" outlineLevel="0" collapsed="false">
      <c r="B13" s="4" t="s">
        <v>71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27.75" hidden="false" customHeight="true" outlineLevel="0" collapsed="false">
      <c r="B14" s="34" t="s">
        <v>72</v>
      </c>
      <c r="C14" s="34" t="s">
        <v>73</v>
      </c>
      <c r="D14" s="34" t="s">
        <v>74</v>
      </c>
      <c r="E14" s="34" t="s">
        <v>41</v>
      </c>
      <c r="F14" s="34" t="s">
        <v>43</v>
      </c>
      <c r="G14" s="34" t="s">
        <v>75</v>
      </c>
      <c r="H14" s="34" t="s">
        <v>76</v>
      </c>
      <c r="I14" s="34" t="s">
        <v>77</v>
      </c>
      <c r="J14" s="34" t="s">
        <v>78</v>
      </c>
      <c r="K14" s="34" t="s">
        <v>79</v>
      </c>
      <c r="L14" s="34" t="s">
        <v>80</v>
      </c>
      <c r="M14" s="34" t="s">
        <v>81</v>
      </c>
    </row>
    <row r="15" customFormat="false" ht="21.75" hidden="false" customHeight="true" outlineLevel="0" collapsed="false">
      <c r="B15" s="35" t="s">
        <v>11</v>
      </c>
      <c r="C15" s="36" t="n">
        <f aca="false">COUNTA('Pós-graduação'!B10:B49)</f>
        <v>1</v>
      </c>
      <c r="D15" s="36" t="n">
        <f aca="false">COUNTIF('Pós-graduação'!S10:S49,D$14)</f>
        <v>0</v>
      </c>
      <c r="E15" s="36" t="n">
        <f aca="false">COUNTIF('Pós-graduação'!S10:S49,E$14)</f>
        <v>1</v>
      </c>
      <c r="F15" s="36" t="n">
        <f aca="false">COUNTIF('Pós-graduação'!S10:S49,F$14)</f>
        <v>0</v>
      </c>
      <c r="G15" s="36" t="n">
        <f aca="false">COUNTIF('Pós-graduação'!S10:S49,G$14)</f>
        <v>0</v>
      </c>
      <c r="H15" s="37" t="n">
        <f aca="false">SUM('Pós-graduação'!F10:F49)</f>
        <v>12600</v>
      </c>
      <c r="I15" s="38" t="n">
        <f aca="false">IFERROR(AVERAGE('Pós-graduação'!N10:N49),0)</f>
        <v>0.1</v>
      </c>
      <c r="J15" s="39" t="str">
        <f aca="false">REPT("█",MIN(10,ROUND(I15*10,0)))&amp;REPT("░",10-MIN(10,ROUND(I15*10,0)))</f>
        <v>█░░░░░░░░░</v>
      </c>
      <c r="K15" s="36" t="n">
        <f aca="false">COUNTIF('Pós-graduação'!K10:K49,"*A vencer")</f>
        <v>0</v>
      </c>
      <c r="L15" s="36" t="n">
        <f aca="false">COUNTIF('Pós-graduação'!K10:K49,"*Vencido")</f>
        <v>0</v>
      </c>
      <c r="M15" s="36" t="n">
        <f aca="false">COUNTIF('Pós-graduação'!U10:U49,"Emitido")</f>
        <v>0</v>
      </c>
    </row>
    <row r="16" customFormat="false" ht="21.75" hidden="false" customHeight="true" outlineLevel="0" collapsed="false">
      <c r="B16" s="40" t="s">
        <v>12</v>
      </c>
      <c r="C16" s="41" t="n">
        <f aca="false">COUNTA(Concurso!B10:B49)</f>
        <v>1</v>
      </c>
      <c r="D16" s="41" t="n">
        <f aca="false">COUNTIF(Concurso!U10:U49,D$14)</f>
        <v>0</v>
      </c>
      <c r="E16" s="41" t="n">
        <f aca="false">COUNTIF(Concurso!U10:U49,E$14)</f>
        <v>1</v>
      </c>
      <c r="F16" s="41" t="n">
        <f aca="false">COUNTIF(Concurso!U10:U49,F$14)</f>
        <v>0</v>
      </c>
      <c r="G16" s="41" t="n">
        <f aca="false">COUNTIF(Concurso!U10:U49,G$14)</f>
        <v>0</v>
      </c>
      <c r="H16" s="42" t="n">
        <f aca="false">SUM(Concurso!H10:H49)</f>
        <v>1490</v>
      </c>
      <c r="I16" s="43" t="n">
        <f aca="false">IFERROR(AVERAGE(Concurso!P10:P49),0)</f>
        <v>0.25</v>
      </c>
      <c r="J16" s="44" t="str">
        <f aca="false">REPT("█",MIN(10,ROUND(I16*10,0)))&amp;REPT("░",10-MIN(10,ROUND(I16*10,0)))</f>
        <v>███░░░░░░░</v>
      </c>
      <c r="K16" s="41" t="n">
        <f aca="false">COUNTIF(Concurso!M10:M49,"*A vencer")</f>
        <v>0</v>
      </c>
      <c r="L16" s="41" t="n">
        <f aca="false">COUNTIF(Concurso!M10:M49,"*Vencido")</f>
        <v>0</v>
      </c>
      <c r="M16" s="41" t="n">
        <f aca="false">COUNTIF(Concurso!W10:W49,"Emitido")</f>
        <v>0</v>
      </c>
    </row>
    <row r="17" customFormat="false" ht="21.75" hidden="false" customHeight="true" outlineLevel="0" collapsed="false">
      <c r="B17" s="35" t="s">
        <v>13</v>
      </c>
      <c r="C17" s="36" t="n">
        <f aca="false">COUNTA(Livros!B10:B49)</f>
        <v>1</v>
      </c>
      <c r="D17" s="36" t="n">
        <f aca="false">COUNTIF(Livros!R10:R49,D$14)</f>
        <v>0</v>
      </c>
      <c r="E17" s="36" t="n">
        <f aca="false">COUNTIF(Livros!R10:R49,E$14)</f>
        <v>1</v>
      </c>
      <c r="F17" s="36" t="n">
        <f aca="false">COUNTIF(Livros!R10:R49,F$14)</f>
        <v>0</v>
      </c>
      <c r="G17" s="36" t="n">
        <f aca="false">COUNTIF(Livros!R10:R49,G$14)</f>
        <v>0</v>
      </c>
      <c r="H17" s="37" t="n">
        <f aca="false">SUM(Livros!H10:H49)</f>
        <v>49.9</v>
      </c>
      <c r="I17" s="38" t="n">
        <f aca="false">IFERROR(AVERAGE(Livros!M10:M49),0)</f>
        <v>0.375</v>
      </c>
      <c r="J17" s="39" t="str">
        <f aca="false">REPT("█",MIN(10,ROUND(I17*10,0)))&amp;REPT("░",10-MIN(10,ROUND(I17*10,0)))</f>
        <v>████░░░░░░</v>
      </c>
      <c r="K17" s="36" t="s">
        <v>82</v>
      </c>
      <c r="L17" s="36" t="s">
        <v>82</v>
      </c>
      <c r="M17" s="36" t="s">
        <v>82</v>
      </c>
    </row>
    <row r="18" customFormat="false" ht="21.75" hidden="false" customHeight="true" outlineLevel="0" collapsed="false">
      <c r="B18" s="40" t="s">
        <v>14</v>
      </c>
      <c r="C18" s="41" t="n">
        <f aca="false">COUNTA('Cursos IA'!B10:B49)</f>
        <v>1</v>
      </c>
      <c r="D18" s="41" t="n">
        <f aca="false">COUNTIF('Cursos IA'!S10:S49,D$14)</f>
        <v>0</v>
      </c>
      <c r="E18" s="41" t="n">
        <f aca="false">COUNTIF('Cursos IA'!S10:S49,E$14)</f>
        <v>1</v>
      </c>
      <c r="F18" s="41" t="n">
        <f aca="false">COUNTIF('Cursos IA'!S10:S49,F$14)</f>
        <v>0</v>
      </c>
      <c r="G18" s="41" t="n">
        <f aca="false">COUNTIF('Cursos IA'!S10:S49,G$14)</f>
        <v>0</v>
      </c>
      <c r="H18" s="42" t="n">
        <f aca="false">SUM('Cursos IA'!F10:F49)</f>
        <v>497</v>
      </c>
      <c r="I18" s="43" t="n">
        <f aca="false">IFERROR(AVERAGE('Cursos IA'!N10:N49),0)</f>
        <v>0.3</v>
      </c>
      <c r="J18" s="44" t="str">
        <f aca="false">REPT("█",MIN(10,ROUND(I18*10,0)))&amp;REPT("░",10-MIN(10,ROUND(I18*10,0)))</f>
        <v>███░░░░░░░</v>
      </c>
      <c r="K18" s="41" t="n">
        <f aca="false">COUNTIF('Cursos IA'!K10:K49,"*A vencer")</f>
        <v>0</v>
      </c>
      <c r="L18" s="41" t="n">
        <f aca="false">COUNTIF('Cursos IA'!K10:K49,"*Vencido")</f>
        <v>0</v>
      </c>
      <c r="M18" s="41" t="n">
        <f aca="false">COUNTIF('Cursos IA'!U10:U49,"Emitido")</f>
        <v>0</v>
      </c>
    </row>
    <row r="19" customFormat="false" ht="21.75" hidden="false" customHeight="true" outlineLevel="0" collapsed="false">
      <c r="B19" s="35" t="s">
        <v>19</v>
      </c>
      <c r="C19" s="36" t="n">
        <f aca="false">COUNTA('Renda Extra'!B10:B49)</f>
        <v>1</v>
      </c>
      <c r="D19" s="36" t="n">
        <f aca="false">COUNTIF('Renda Extra'!S10:S49,D$14)</f>
        <v>0</v>
      </c>
      <c r="E19" s="36" t="n">
        <f aca="false">COUNTIF('Renda Extra'!S10:S49,E$14)</f>
        <v>1</v>
      </c>
      <c r="F19" s="36" t="n">
        <f aca="false">COUNTIF('Renda Extra'!S10:S49,F$14)</f>
        <v>0</v>
      </c>
      <c r="G19" s="36" t="n">
        <f aca="false">COUNTIF('Renda Extra'!S10:S49,G$14)</f>
        <v>0</v>
      </c>
      <c r="H19" s="37" t="n">
        <f aca="false">SUM('Renda Extra'!F10:F49)</f>
        <v>297</v>
      </c>
      <c r="I19" s="38" t="n">
        <f aca="false">IFERROR(AVERAGE('Renda Extra'!N10:N49),0)</f>
        <v>0.222222222222222</v>
      </c>
      <c r="J19" s="39" t="str">
        <f aca="false">REPT("█",MIN(10,ROUND(I19*10,0)))&amp;REPT("░",10-MIN(10,ROUND(I19*10,0)))</f>
        <v>██░░░░░░░░</v>
      </c>
      <c r="K19" s="36" t="n">
        <f aca="false">COUNTIF('Renda Extra'!K10:K49,"*A vencer")</f>
        <v>0</v>
      </c>
      <c r="L19" s="36" t="n">
        <f aca="false">COUNTIF('Renda Extra'!K10:K49,"*Vencido")</f>
        <v>0</v>
      </c>
      <c r="M19" s="36" t="n">
        <f aca="false">COUNTIF('Renda Extra'!U10:U49,"Emitido")</f>
        <v>0</v>
      </c>
    </row>
    <row r="20" customFormat="false" ht="24" hidden="false" customHeight="true" outlineLevel="0" collapsed="false">
      <c r="B20" s="16" t="s">
        <v>83</v>
      </c>
      <c r="C20" s="16" t="n">
        <f aca="false">SUM(C15:C19)</f>
        <v>5</v>
      </c>
      <c r="D20" s="16" t="n">
        <f aca="false">SUM(D15:D19)</f>
        <v>0</v>
      </c>
      <c r="E20" s="16" t="n">
        <f aca="false">SUM(E15:E19)</f>
        <v>5</v>
      </c>
      <c r="F20" s="16" t="n">
        <f aca="false">SUM(F15:F19)</f>
        <v>0</v>
      </c>
      <c r="G20" s="16" t="n">
        <f aca="false">SUM(G15:G19)</f>
        <v>0</v>
      </c>
      <c r="H20" s="45" t="n">
        <f aca="false">SUM(H15:H19)</f>
        <v>14933.9</v>
      </c>
      <c r="I20" s="46" t="n">
        <f aca="false">IFERROR(SUMPRODUCT(C15:C19,I15:I19)/C20,0)</f>
        <v>0.249444444444444</v>
      </c>
      <c r="J20" s="47" t="str">
        <f aca="false">REPT("█",MIN(10,ROUND(I20*10,0)))&amp;REPT("░",10-MIN(10,ROUND(I20*10,0)))</f>
        <v>██░░░░░░░░</v>
      </c>
      <c r="K20" s="16" t="n">
        <f aca="false">SUM(K15:K19)</f>
        <v>0</v>
      </c>
      <c r="L20" s="48" t="n">
        <f aca="false">SUM(L15:L19)</f>
        <v>0</v>
      </c>
      <c r="M20" s="16" t="n">
        <f aca="false">SUM(M15:M19)</f>
        <v>0</v>
      </c>
    </row>
    <row r="22" customFormat="false" ht="21.75" hidden="false" customHeight="true" outlineLevel="0" collapsed="false">
      <c r="B22" s="4" t="s">
        <v>84</v>
      </c>
      <c r="C22" s="4"/>
      <c r="D22" s="4"/>
      <c r="E22" s="4"/>
      <c r="F22" s="4"/>
      <c r="G22" s="4"/>
      <c r="H22" s="4" t="s">
        <v>85</v>
      </c>
      <c r="I22" s="4"/>
      <c r="J22" s="4"/>
      <c r="K22" s="4"/>
      <c r="L22" s="4"/>
      <c r="M22" s="49" t="n">
        <f aca="false">'Metas de Estudo'!E5</f>
        <v>46296</v>
      </c>
    </row>
    <row r="23" customFormat="false" ht="21.75" hidden="false" customHeight="true" outlineLevel="0" collapsed="false">
      <c r="B23" s="34" t="s">
        <v>72</v>
      </c>
      <c r="C23" s="34" t="s">
        <v>86</v>
      </c>
      <c r="D23" s="34"/>
      <c r="E23" s="34"/>
      <c r="F23" s="34" t="s">
        <v>87</v>
      </c>
      <c r="G23" s="34" t="s">
        <v>88</v>
      </c>
      <c r="H23" s="34" t="s">
        <v>72</v>
      </c>
      <c r="I23" s="34"/>
      <c r="J23" s="34" t="s">
        <v>89</v>
      </c>
      <c r="K23" s="34" t="s">
        <v>90</v>
      </c>
      <c r="L23" s="34" t="s">
        <v>91</v>
      </c>
      <c r="M23" s="34" t="s">
        <v>78</v>
      </c>
    </row>
    <row r="24" customFormat="false" ht="21.75" hidden="false" customHeight="true" outlineLevel="0" collapsed="false">
      <c r="B24" s="50" t="str">
        <f aca="false">IF(Apoio!$L$5="","",INDEX(Apoio!$A$5:$A$164,Apoio!$L$5))</f>
        <v>Concurso</v>
      </c>
      <c r="C24" s="51" t="str">
        <f aca="false">IF(Apoio!$L$5="","",INDEX(Apoio!$B$5:$B$164,Apoio!$L$5))</f>
        <v>Curso Preparatório Completo (exemplo)</v>
      </c>
      <c r="D24" s="51"/>
      <c r="E24" s="51"/>
      <c r="F24" s="52" t="n">
        <f aca="false">IF(Apoio!$L$5="","",INDEX(Apoio!$C$5:$C$164,Apoio!$L$5))</f>
        <v>46568</v>
      </c>
      <c r="G24" s="53" t="n">
        <f aca="false">IF(Apoio!$L$5="","",INDEX(Apoio!$D$5:$D$164,Apoio!$L$5))</f>
        <v>270</v>
      </c>
      <c r="H24" s="54" t="str">
        <f aca="false">'Metas de Estudo'!B13</f>
        <v>Pós-graduação</v>
      </c>
      <c r="I24" s="54"/>
      <c r="J24" s="55" t="n">
        <f aca="false">'Metas de Estudo'!C13</f>
        <v>20</v>
      </c>
      <c r="K24" s="55" t="n">
        <f aca="false">'Metas de Estudo'!D13</f>
        <v>2</v>
      </c>
      <c r="L24" s="56" t="n">
        <f aca="false">'Metas de Estudo'!E13</f>
        <v>0.1</v>
      </c>
      <c r="M24" s="57" t="str">
        <f aca="false">'Metas de Estudo'!F13</f>
        <v>█░░░░░░░░░</v>
      </c>
    </row>
    <row r="25" customFormat="false" ht="21.75" hidden="false" customHeight="true" outlineLevel="0" collapsed="false">
      <c r="B25" s="58" t="str">
        <f aca="false">IF(Apoio!$L$6="","",INDEX(Apoio!$A$5:$A$164,Apoio!$L$6))</f>
        <v>Renda Extra</v>
      </c>
      <c r="C25" s="59" t="str">
        <f aca="false">IF(Apoio!$L$6="","",INDEX(Apoio!$B$5:$B$164,Apoio!$L$6))</f>
        <v>Marketing de Afiliados do Zero (exemplo)</v>
      </c>
      <c r="D25" s="59"/>
      <c r="E25" s="59"/>
      <c r="F25" s="60" t="n">
        <f aca="false">IF(Apoio!$L$6="","",INDEX(Apoio!$C$5:$C$164,Apoio!$L$6))</f>
        <v>46631</v>
      </c>
      <c r="G25" s="61" t="n">
        <f aca="false">IF(Apoio!$L$6="","",INDEX(Apoio!$D$5:$D$164,Apoio!$L$6))</f>
        <v>333</v>
      </c>
      <c r="H25" s="62" t="str">
        <f aca="false">'Metas de Estudo'!B14</f>
        <v>Concurso</v>
      </c>
      <c r="I25" s="62"/>
      <c r="J25" s="63" t="n">
        <f aca="false">'Metas de Estudo'!C14</f>
        <v>20</v>
      </c>
      <c r="K25" s="63" t="n">
        <f aca="false">'Metas de Estudo'!D14</f>
        <v>0</v>
      </c>
      <c r="L25" s="64" t="n">
        <f aca="false">'Metas de Estudo'!E14</f>
        <v>0</v>
      </c>
      <c r="M25" s="65" t="str">
        <f aca="false">'Metas de Estudo'!F14</f>
        <v>░░░░░░░░░░</v>
      </c>
    </row>
    <row r="26" customFormat="false" ht="21.75" hidden="false" customHeight="true" outlineLevel="0" collapsed="false">
      <c r="B26" s="50" t="str">
        <f aca="false">IF(Apoio!$L$7="","",INDEX(Apoio!$A$5:$A$164,Apoio!$L$7))</f>
        <v>Cursos IA</v>
      </c>
      <c r="C26" s="51" t="str">
        <f aca="false">IF(Apoio!$L$7="","",INDEX(Apoio!$B$5:$B$164,Apoio!$L$7))</f>
        <v>Agentes de IA na Prática (exemplo)</v>
      </c>
      <c r="D26" s="51"/>
      <c r="E26" s="51"/>
      <c r="F26" s="52" t="n">
        <f aca="false">IF(Apoio!$L$7="","",INDEX(Apoio!$C$5:$C$164,Apoio!$L$7))</f>
        <v>46642</v>
      </c>
      <c r="G26" s="53" t="n">
        <f aca="false">IF(Apoio!$L$7="","",INDEX(Apoio!$D$5:$D$164,Apoio!$L$7))</f>
        <v>344</v>
      </c>
      <c r="H26" s="54" t="str">
        <f aca="false">'Metas de Estudo'!B15</f>
        <v>Livros</v>
      </c>
      <c r="I26" s="54"/>
      <c r="J26" s="55" t="n">
        <f aca="false">'Metas de Estudo'!C15</f>
        <v>8</v>
      </c>
      <c r="K26" s="55" t="n">
        <f aca="false">'Metas de Estudo'!D15</f>
        <v>1</v>
      </c>
      <c r="L26" s="56" t="n">
        <f aca="false">'Metas de Estudo'!E15</f>
        <v>0.125</v>
      </c>
      <c r="M26" s="57" t="str">
        <f aca="false">'Metas de Estudo'!F15</f>
        <v>█░░░░░░░░░</v>
      </c>
    </row>
    <row r="27" customFormat="false" ht="21.75" hidden="false" customHeight="true" outlineLevel="0" collapsed="false">
      <c r="B27" s="58" t="str">
        <f aca="false">IF(Apoio!$L$8="","",INDEX(Apoio!$A$5:$A$164,Apoio!$L$8))</f>
        <v>Pós-graduação</v>
      </c>
      <c r="C27" s="59" t="str">
        <f aca="false">IF(Apoio!$L$8="","",INDEX(Apoio!$B$5:$B$164,Apoio!$L$8))</f>
        <v>MBA em Inteligência Artificial (exemplo)</v>
      </c>
      <c r="D27" s="59"/>
      <c r="E27" s="59"/>
      <c r="F27" s="60" t="n">
        <f aca="false">IF(Apoio!$L$8="","",INDEX(Apoio!$C$5:$C$164,Apoio!$L$8))</f>
        <v>46997</v>
      </c>
      <c r="G27" s="61" t="n">
        <f aca="false">IF(Apoio!$L$8="","",INDEX(Apoio!$D$5:$D$164,Apoio!$L$8))</f>
        <v>699</v>
      </c>
      <c r="H27" s="62" t="str">
        <f aca="false">'Metas de Estudo'!B16</f>
        <v>Cursos IA</v>
      </c>
      <c r="I27" s="62"/>
      <c r="J27" s="63" t="n">
        <f aca="false">'Metas de Estudo'!C16</f>
        <v>15</v>
      </c>
      <c r="K27" s="63" t="n">
        <f aca="false">'Metas de Estudo'!D16</f>
        <v>1.5</v>
      </c>
      <c r="L27" s="64" t="n">
        <f aca="false">'Metas de Estudo'!E16</f>
        <v>0.1</v>
      </c>
      <c r="M27" s="65" t="str">
        <f aca="false">'Metas de Estudo'!F16</f>
        <v>█░░░░░░░░░</v>
      </c>
    </row>
    <row r="28" customFormat="false" ht="21.75" hidden="false" customHeight="true" outlineLevel="0" collapsed="false">
      <c r="B28" s="50" t="str">
        <f aca="false">IF(Apoio!$L$9="","",INDEX(Apoio!$A$5:$A$164,Apoio!$L$9))</f>
        <v/>
      </c>
      <c r="C28" s="51" t="str">
        <f aca="false">IF(Apoio!$L$9="","",INDEX(Apoio!$B$5:$B$164,Apoio!$L$9))</f>
        <v/>
      </c>
      <c r="D28" s="51"/>
      <c r="E28" s="51"/>
      <c r="F28" s="52" t="str">
        <f aca="false">IF(Apoio!$L$9="","",INDEX(Apoio!$C$5:$C$164,Apoio!$L$9))</f>
        <v/>
      </c>
      <c r="G28" s="53" t="str">
        <f aca="false">IF(Apoio!$L$9="","",INDEX(Apoio!$D$5:$D$164,Apoio!$L$9))</f>
        <v/>
      </c>
      <c r="H28" s="54" t="str">
        <f aca="false">'Metas de Estudo'!B17</f>
        <v>Renda Extra</v>
      </c>
      <c r="I28" s="54"/>
      <c r="J28" s="55" t="n">
        <f aca="false">'Metas de Estudo'!C17</f>
        <v>10</v>
      </c>
      <c r="K28" s="55" t="n">
        <f aca="false">'Metas de Estudo'!D17</f>
        <v>0</v>
      </c>
      <c r="L28" s="56" t="n">
        <f aca="false">'Metas de Estudo'!E17</f>
        <v>0</v>
      </c>
      <c r="M28" s="57" t="str">
        <f aca="false">'Metas de Estudo'!F17</f>
        <v>░░░░░░░░░░</v>
      </c>
    </row>
    <row r="29" customFormat="false" ht="21.75" hidden="false" customHeight="true" outlineLevel="0" collapsed="false">
      <c r="B29" s="58" t="str">
        <f aca="false">IF(Apoio!$L$10="","",INDEX(Apoio!$A$5:$A$164,Apoio!$L$10))</f>
        <v/>
      </c>
      <c r="C29" s="59" t="str">
        <f aca="false">IF(Apoio!$L$10="","",INDEX(Apoio!$B$5:$B$164,Apoio!$L$10))</f>
        <v/>
      </c>
      <c r="D29" s="59"/>
      <c r="E29" s="59"/>
      <c r="F29" s="60" t="str">
        <f aca="false">IF(Apoio!$L$10="","",INDEX(Apoio!$C$5:$C$164,Apoio!$L$10))</f>
        <v/>
      </c>
      <c r="G29" s="61" t="str">
        <f aca="false">IF(Apoio!$L$10="","",INDEX(Apoio!$D$5:$D$164,Apoio!$L$10))</f>
        <v/>
      </c>
      <c r="H29" s="66" t="s">
        <v>92</v>
      </c>
      <c r="I29" s="66"/>
      <c r="J29" s="67" t="n">
        <f aca="false">'Metas de Estudo'!G8</f>
        <v>3</v>
      </c>
      <c r="K29" s="67"/>
      <c r="L29" s="67"/>
      <c r="M29" s="67"/>
    </row>
    <row r="30" customFormat="false" ht="21.75" hidden="false" customHeight="true" outlineLevel="0" collapsed="false">
      <c r="B30" s="50" t="str">
        <f aca="false">IF(Apoio!$L$11="","",INDEX(Apoio!$A$5:$A$164,Apoio!$L$11))</f>
        <v/>
      </c>
      <c r="C30" s="51" t="str">
        <f aca="false">IF(Apoio!$L$11="","",INDEX(Apoio!$B$5:$B$164,Apoio!$L$11))</f>
        <v/>
      </c>
      <c r="D30" s="51"/>
      <c r="E30" s="51"/>
      <c r="F30" s="52" t="str">
        <f aca="false">IF(Apoio!$L$11="","",INDEX(Apoio!$C$5:$C$164,Apoio!$L$11))</f>
        <v/>
      </c>
      <c r="G30" s="53" t="str">
        <f aca="false">IF(Apoio!$L$11="","",INDEX(Apoio!$D$5:$D$164,Apoio!$L$11))</f>
        <v/>
      </c>
      <c r="H30" s="66" t="s">
        <v>93</v>
      </c>
      <c r="I30" s="66"/>
      <c r="J30" s="68" t="n">
        <f aca="false">IFERROR('Metas de Estudo'!D18/'Metas de Estudo'!G8,0)</f>
        <v>1.5</v>
      </c>
      <c r="K30" s="68"/>
      <c r="L30" s="68"/>
      <c r="M30" s="68"/>
    </row>
    <row r="31" customFormat="false" ht="21.75" hidden="false" customHeight="true" outlineLevel="0" collapsed="false">
      <c r="B31" s="58" t="str">
        <f aca="false">IF(Apoio!$L$12="","",INDEX(Apoio!$A$5:$A$164,Apoio!$L$12))</f>
        <v/>
      </c>
      <c r="C31" s="59" t="str">
        <f aca="false">IF(Apoio!$L$12="","",INDEX(Apoio!$B$5:$B$164,Apoio!$L$12))</f>
        <v/>
      </c>
      <c r="D31" s="59"/>
      <c r="E31" s="59"/>
      <c r="F31" s="60" t="str">
        <f aca="false">IF(Apoio!$L$12="","",INDEX(Apoio!$C$5:$C$164,Apoio!$L$12))</f>
        <v/>
      </c>
      <c r="G31" s="61" t="str">
        <f aca="false">IF(Apoio!$L$12="","",INDEX(Apoio!$D$5:$D$164,Apoio!$L$12))</f>
        <v/>
      </c>
      <c r="H31" s="69" t="s">
        <v>94</v>
      </c>
      <c r="I31" s="69"/>
      <c r="J31" s="70" t="n">
        <f aca="false">'Metas de Estudo'!D18</f>
        <v>4.5</v>
      </c>
      <c r="K31" s="70"/>
      <c r="L31" s="70"/>
      <c r="M31" s="70"/>
    </row>
    <row r="33" customFormat="false" ht="21.75" hidden="false" customHeight="true" outlineLevel="0" collapsed="false">
      <c r="B33" s="4" t="s">
        <v>95</v>
      </c>
      <c r="C33" s="4"/>
      <c r="D33" s="4"/>
      <c r="E33" s="4"/>
      <c r="F33" s="4"/>
      <c r="G33" s="4"/>
      <c r="H33" s="4" t="s">
        <v>96</v>
      </c>
      <c r="I33" s="4"/>
      <c r="J33" s="4"/>
      <c r="K33" s="4"/>
      <c r="L33" s="4"/>
      <c r="M33" s="4"/>
    </row>
    <row r="34" customFormat="false" ht="21.75" hidden="false" customHeight="true" outlineLevel="0" collapsed="false">
      <c r="B34" s="34" t="s">
        <v>72</v>
      </c>
      <c r="C34" s="34" t="s">
        <v>86</v>
      </c>
      <c r="D34" s="34"/>
      <c r="E34" s="34"/>
      <c r="F34" s="34" t="s">
        <v>97</v>
      </c>
      <c r="G34" s="34" t="s">
        <v>98</v>
      </c>
      <c r="H34" s="34" t="s">
        <v>99</v>
      </c>
      <c r="I34" s="34"/>
      <c r="J34" s="34" t="s">
        <v>100</v>
      </c>
      <c r="K34" s="34" t="s">
        <v>101</v>
      </c>
      <c r="L34" s="34" t="s">
        <v>102</v>
      </c>
      <c r="M34" s="34" t="s">
        <v>103</v>
      </c>
    </row>
    <row r="35" customFormat="false" ht="21.75" hidden="false" customHeight="true" outlineLevel="0" collapsed="false">
      <c r="B35" s="50" t="str">
        <f aca="false">IF(Apoio!$N$5="","",INDEX(Apoio!$A$5:$A$164,Apoio!$N$5))</f>
        <v/>
      </c>
      <c r="C35" s="51" t="str">
        <f aca="false">IF(Apoio!$N$5="","Nenhum curso em risco — bom ritmo!",INDEX(Apoio!$B$5:$B$164,Apoio!$N$5))</f>
        <v>Nenhum curso em risco — bom ritmo!</v>
      </c>
      <c r="D35" s="51"/>
      <c r="E35" s="51"/>
      <c r="F35" s="52" t="str">
        <f aca="false">IF(Apoio!$N$5="","",INDEX(Apoio!$F$5:$F$164,Apoio!$N$5))</f>
        <v/>
      </c>
      <c r="G35" s="53" t="str">
        <f aca="false">IF(Apoio!$N$5="","",INDEX(Apoio!$G$5:$G$164,Apoio!$N$5))</f>
        <v/>
      </c>
      <c r="H35" s="71" t="str">
        <f aca="false">IF('Renda Extra'!$B10="","",'Renda Extra'!$B10)</f>
        <v>Marketing de Afiliados do Zero (exemplo)</v>
      </c>
      <c r="I35" s="71"/>
      <c r="J35" s="72" t="n">
        <f aca="false">IF($H35="","",'Renda Extra'!$F10)</f>
        <v>297</v>
      </c>
      <c r="K35" s="72" t="n">
        <f aca="false">IF($H35="","",N('Renda Extra'!$X10))</f>
        <v>180</v>
      </c>
      <c r="L35" s="56" t="n">
        <f aca="false">IF($H35="","",'Renda Extra'!$Y10)</f>
        <v>-0.393939393939394</v>
      </c>
      <c r="M35" s="73" t="n">
        <f aca="false">IF($H35="","",'Renda Extra'!$Z10)</f>
        <v>0.975</v>
      </c>
    </row>
    <row r="36" customFormat="false" ht="21.75" hidden="false" customHeight="true" outlineLevel="0" collapsed="false">
      <c r="B36" s="58" t="str">
        <f aca="false">IF(Apoio!$N$6="","",INDEX(Apoio!$A$5:$A$164,Apoio!$N$6))</f>
        <v/>
      </c>
      <c r="C36" s="59" t="str">
        <f aca="false">IF(Apoio!$N$6="","",INDEX(Apoio!$B$5:$B$164,Apoio!$N$6))</f>
        <v/>
      </c>
      <c r="D36" s="59"/>
      <c r="E36" s="59"/>
      <c r="F36" s="60" t="str">
        <f aca="false">IF(Apoio!$N$6="","",INDEX(Apoio!$F$5:$F$164,Apoio!$N$6))</f>
        <v/>
      </c>
      <c r="G36" s="61" t="str">
        <f aca="false">IF(Apoio!$N$6="","",INDEX(Apoio!$G$5:$G$164,Apoio!$N$6))</f>
        <v/>
      </c>
      <c r="H36" s="74" t="str">
        <f aca="false">IF('Renda Extra'!$B11="","",'Renda Extra'!$B11)</f>
        <v/>
      </c>
      <c r="I36" s="74"/>
      <c r="J36" s="75" t="str">
        <f aca="false">IF($H36="","",'Renda Extra'!$F11)</f>
        <v/>
      </c>
      <c r="K36" s="75" t="str">
        <f aca="false">IF($H36="","",N('Renda Extra'!$X11))</f>
        <v/>
      </c>
      <c r="L36" s="64" t="str">
        <f aca="false">IF($H36="","",'Renda Extra'!$Y11)</f>
        <v/>
      </c>
      <c r="M36" s="76" t="str">
        <f aca="false">IF($H36="","",'Renda Extra'!$Z11)</f>
        <v/>
      </c>
    </row>
    <row r="37" customFormat="false" ht="21.75" hidden="false" customHeight="true" outlineLevel="0" collapsed="false">
      <c r="B37" s="50" t="str">
        <f aca="false">IF(Apoio!$N$7="","",INDEX(Apoio!$A$5:$A$164,Apoio!$N$7))</f>
        <v/>
      </c>
      <c r="C37" s="51" t="str">
        <f aca="false">IF(Apoio!$N$7="","",INDEX(Apoio!$B$5:$B$164,Apoio!$N$7))</f>
        <v/>
      </c>
      <c r="D37" s="51"/>
      <c r="E37" s="51"/>
      <c r="F37" s="52" t="str">
        <f aca="false">IF(Apoio!$N$7="","",INDEX(Apoio!$F$5:$F$164,Apoio!$N$7))</f>
        <v/>
      </c>
      <c r="G37" s="53" t="str">
        <f aca="false">IF(Apoio!$N$7="","",INDEX(Apoio!$G$5:$G$164,Apoio!$N$7))</f>
        <v/>
      </c>
      <c r="H37" s="71" t="str">
        <f aca="false">IF('Renda Extra'!$B12="","",'Renda Extra'!$B12)</f>
        <v/>
      </c>
      <c r="I37" s="71"/>
      <c r="J37" s="72" t="str">
        <f aca="false">IF($H37="","",'Renda Extra'!$F12)</f>
        <v/>
      </c>
      <c r="K37" s="72" t="str">
        <f aca="false">IF($H37="","",N('Renda Extra'!$X12))</f>
        <v/>
      </c>
      <c r="L37" s="56" t="str">
        <f aca="false">IF($H37="","",'Renda Extra'!$Y12)</f>
        <v/>
      </c>
      <c r="M37" s="73" t="str">
        <f aca="false">IF($H37="","",'Renda Extra'!$Z12)</f>
        <v/>
      </c>
    </row>
    <row r="38" customFormat="false" ht="21.75" hidden="false" customHeight="true" outlineLevel="0" collapsed="false">
      <c r="B38" s="58" t="str">
        <f aca="false">IF(Apoio!$N$8="","",INDEX(Apoio!$A$5:$A$164,Apoio!$N$8))</f>
        <v/>
      </c>
      <c r="C38" s="59" t="str">
        <f aca="false">IF(Apoio!$N$8="","",INDEX(Apoio!$B$5:$B$164,Apoio!$N$8))</f>
        <v/>
      </c>
      <c r="D38" s="59"/>
      <c r="E38" s="59"/>
      <c r="F38" s="60" t="str">
        <f aca="false">IF(Apoio!$N$8="","",INDEX(Apoio!$F$5:$F$164,Apoio!$N$8))</f>
        <v/>
      </c>
      <c r="G38" s="61" t="str">
        <f aca="false">IF(Apoio!$N$8="","",INDEX(Apoio!$G$5:$G$164,Apoio!$N$8))</f>
        <v/>
      </c>
      <c r="H38" s="74" t="str">
        <f aca="false">IF('Renda Extra'!$B13="","",'Renda Extra'!$B13)</f>
        <v/>
      </c>
      <c r="I38" s="74"/>
      <c r="J38" s="75" t="str">
        <f aca="false">IF($H38="","",'Renda Extra'!$F13)</f>
        <v/>
      </c>
      <c r="K38" s="75" t="str">
        <f aca="false">IF($H38="","",N('Renda Extra'!$X13))</f>
        <v/>
      </c>
      <c r="L38" s="64" t="str">
        <f aca="false">IF($H38="","",'Renda Extra'!$Y13)</f>
        <v/>
      </c>
      <c r="M38" s="76" t="str">
        <f aca="false">IF($H38="","",'Renda Extra'!$Z13)</f>
        <v/>
      </c>
    </row>
    <row r="39" customFormat="false" ht="21.75" hidden="false" customHeight="true" outlineLevel="0" collapsed="false">
      <c r="B39" s="50" t="str">
        <f aca="false">IF(Apoio!$N$9="","",INDEX(Apoio!$A$5:$A$164,Apoio!$N$9))</f>
        <v/>
      </c>
      <c r="C39" s="51" t="str">
        <f aca="false">IF(Apoio!$N$9="","",INDEX(Apoio!$B$5:$B$164,Apoio!$N$9))</f>
        <v/>
      </c>
      <c r="D39" s="51"/>
      <c r="E39" s="51"/>
      <c r="F39" s="52" t="str">
        <f aca="false">IF(Apoio!$N$9="","",INDEX(Apoio!$F$5:$F$164,Apoio!$N$9))</f>
        <v/>
      </c>
      <c r="G39" s="53" t="str">
        <f aca="false">IF(Apoio!$N$9="","",INDEX(Apoio!$G$5:$G$164,Apoio!$N$9))</f>
        <v/>
      </c>
      <c r="H39" s="71" t="str">
        <f aca="false">IF('Renda Extra'!$B14="","",'Renda Extra'!$B14)</f>
        <v/>
      </c>
      <c r="I39" s="71"/>
      <c r="J39" s="72" t="str">
        <f aca="false">IF($H39="","",'Renda Extra'!$F14)</f>
        <v/>
      </c>
      <c r="K39" s="72" t="str">
        <f aca="false">IF($H39="","",N('Renda Extra'!$X14))</f>
        <v/>
      </c>
      <c r="L39" s="56" t="str">
        <f aca="false">IF($H39="","",'Renda Extra'!$Y14)</f>
        <v/>
      </c>
      <c r="M39" s="73" t="str">
        <f aca="false">IF($H39="","",'Renda Extra'!$Z14)</f>
        <v/>
      </c>
    </row>
    <row r="76" customFormat="false" ht="15" hidden="false" customHeight="false" outlineLevel="0" collapsed="false">
      <c r="B76" s="32" t="s">
        <v>104</v>
      </c>
    </row>
  </sheetData>
  <mergeCells count="77">
    <mergeCell ref="A1:M1"/>
    <mergeCell ref="A2:J2"/>
    <mergeCell ref="K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3:M13"/>
    <mergeCell ref="B22:G22"/>
    <mergeCell ref="H22:L22"/>
    <mergeCell ref="C23:E23"/>
    <mergeCell ref="H23:I23"/>
    <mergeCell ref="C24:E24"/>
    <mergeCell ref="H24:I24"/>
    <mergeCell ref="C25:E25"/>
    <mergeCell ref="H25:I25"/>
    <mergeCell ref="C26:E26"/>
    <mergeCell ref="H26:I26"/>
    <mergeCell ref="C27:E27"/>
    <mergeCell ref="H27:I27"/>
    <mergeCell ref="C28:E28"/>
    <mergeCell ref="H28:I28"/>
    <mergeCell ref="C29:E29"/>
    <mergeCell ref="H29:I29"/>
    <mergeCell ref="J29:M29"/>
    <mergeCell ref="C30:E30"/>
    <mergeCell ref="H30:I30"/>
    <mergeCell ref="J30:M30"/>
    <mergeCell ref="C31:E31"/>
    <mergeCell ref="H31:I31"/>
    <mergeCell ref="J31:M31"/>
    <mergeCell ref="B33:G33"/>
    <mergeCell ref="H33:M33"/>
    <mergeCell ref="C34:E34"/>
    <mergeCell ref="H34:I34"/>
    <mergeCell ref="C35:E35"/>
    <mergeCell ref="H35:I35"/>
    <mergeCell ref="C36:E36"/>
    <mergeCell ref="H36:I36"/>
    <mergeCell ref="C37:E37"/>
    <mergeCell ref="H37:I37"/>
    <mergeCell ref="C38:E38"/>
    <mergeCell ref="H38:I38"/>
    <mergeCell ref="C39:E39"/>
    <mergeCell ref="H39:I39"/>
  </mergeCells>
  <conditionalFormatting sqref="L15:L20">
    <cfRule type="cellIs" priority="2" operator="greaterThan" aboveAverage="0" equalAverage="0" bottom="0" percent="0" rank="0" text="" dxfId="0">
      <formula>0</formula>
    </cfRule>
  </conditionalFormatting>
  <conditionalFormatting sqref="K15:K19">
    <cfRule type="cellIs" priority="3" operator="greaterThan" aboveAverage="0" equalAverage="0" bottom="0" percent="0" rank="0" text="" dxfId="1">
      <formula>0</formula>
    </cfRule>
  </conditionalFormatting>
  <conditionalFormatting sqref="G24:G31">
    <cfRule type="expression" priority="4" aboveAverage="0" equalAverage="0" bottom="0" percent="0" rank="0" text="" dxfId="0">
      <formula>AND(ISNUMBER(G24),G24&lt;0)</formula>
    </cfRule>
    <cfRule type="expression" priority="5" aboveAverage="0" equalAverage="0" bottom="0" percent="0" rank="0" text="" dxfId="1">
      <formula>AND(ISNUMBER(G24),G24&lt;=Listas!$H$6)</formula>
    </cfRule>
  </conditionalFormatting>
  <conditionalFormatting sqref="L24:L28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{C0145617-2D7E-4B6A-8E76-8F9AFF936333}</x14:id>
        </ext>
      </extLst>
    </cfRule>
  </conditionalFormatting>
  <conditionalFormatting sqref="G35:G39">
    <cfRule type="expression" priority="7" aboveAverage="0" equalAverage="0" bottom="0" percent="0" rank="0" text="" dxfId="0">
      <formula>AND(ISNUMBER(G35),G35&lt;0)</formula>
    </cfRule>
  </conditionalFormatting>
  <conditionalFormatting sqref="L35:L39">
    <cfRule type="cellIs" priority="8" operator="lessThan" aboveAverage="0" equalAverage="0" bottom="0" percent="0" rank="0" text="" dxfId="2">
      <formula>0</formula>
    </cfRule>
    <cfRule type="cellIs" priority="9" operator="greaterThan" aboveAverage="0" equalAverage="0" bottom="0" percent="0" rank="0" text="" dxfId="3">
      <formula>0</formula>
    </cfRule>
  </conditionalFormatting>
  <hyperlinks>
    <hyperlink ref="K2" location="'Início'!A1" display="← Voltar ao Início"/>
    <hyperlink ref="B15" location="'Pós-graduação'!A1" display="Pós-graduação"/>
    <hyperlink ref="B16" location="'Concurso'!A1" display="Concurso"/>
    <hyperlink ref="B17" location="'Livros'!A1" display="Livros"/>
    <hyperlink ref="B18" location="'Cursos IA'!A1" display="Cursos IA"/>
    <hyperlink ref="B19" location="'Renda Extra'!A1" display="Renda Extr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145617-2D7E-4B6A-8E76-8F9AFF93633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L24:L28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S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9" min="8" style="0" width="7.5"/>
  </cols>
  <sheetData>
    <row r="1" customFormat="false" ht="37.5" hidden="false" customHeight="true" outlineLevel="0" collapsed="false">
      <c r="A1" s="20" t="s">
        <v>105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customFormat="false" ht="19.5" hidden="false" customHeight="true" outlineLevel="0" collapsed="false">
      <c r="A2" s="21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 t="s">
        <v>57</v>
      </c>
      <c r="R2" s="22"/>
      <c r="S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7.5" hidden="false" customHeight="true" outlineLevel="0" collapsed="false"/>
    <row r="5" customFormat="false" ht="21.75" hidden="false" customHeight="true" outlineLevel="0" collapsed="false">
      <c r="A5" s="77" t="s">
        <v>107</v>
      </c>
      <c r="B5" s="78" t="n">
        <v>46296</v>
      </c>
      <c r="C5" s="32" t="s">
        <v>108</v>
      </c>
    </row>
    <row r="7" customFormat="false" ht="27.75" hidden="false" customHeight="true" outlineLevel="0" collapsed="false">
      <c r="A7" s="34" t="s">
        <v>72</v>
      </c>
      <c r="B7" s="34" t="s">
        <v>86</v>
      </c>
      <c r="C7" s="34" t="s">
        <v>109</v>
      </c>
      <c r="D7" s="34" t="s">
        <v>110</v>
      </c>
      <c r="E7" s="34" t="s">
        <v>111</v>
      </c>
      <c r="F7" s="34" t="s">
        <v>112</v>
      </c>
      <c r="G7" s="34" t="s">
        <v>113</v>
      </c>
      <c r="H7" s="79" t="n">
        <f aca="false">$B$5</f>
        <v>46296</v>
      </c>
      <c r="I7" s="79" t="n">
        <f aca="false">EDATE(H7,1)</f>
        <v>46327</v>
      </c>
      <c r="J7" s="79" t="n">
        <f aca="false">EDATE(I7,1)</f>
        <v>46357</v>
      </c>
      <c r="K7" s="79" t="n">
        <f aca="false">EDATE(J7,1)</f>
        <v>46388</v>
      </c>
      <c r="L7" s="79" t="n">
        <f aca="false">EDATE(K7,1)</f>
        <v>46419</v>
      </c>
      <c r="M7" s="79" t="n">
        <f aca="false">EDATE(L7,1)</f>
        <v>46447</v>
      </c>
      <c r="N7" s="79" t="n">
        <f aca="false">EDATE(M7,1)</f>
        <v>46478</v>
      </c>
      <c r="O7" s="79" t="n">
        <f aca="false">EDATE(N7,1)</f>
        <v>46508</v>
      </c>
      <c r="P7" s="79" t="n">
        <f aca="false">EDATE(O7,1)</f>
        <v>46539</v>
      </c>
      <c r="Q7" s="79" t="n">
        <f aca="false">EDATE(P7,1)</f>
        <v>46569</v>
      </c>
      <c r="R7" s="79" t="n">
        <f aca="false">EDATE(Q7,1)</f>
        <v>46600</v>
      </c>
      <c r="S7" s="79" t="n">
        <f aca="false">EDATE(R7,1)</f>
        <v>46631</v>
      </c>
    </row>
    <row r="8" customFormat="false" ht="19.5" hidden="false" customHeight="true" outlineLevel="0" collapsed="false">
      <c r="A8" s="80" t="s">
        <v>114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customFormat="false" ht="19.5" hidden="false" customHeight="true" outlineLevel="0" collapsed="false">
      <c r="A9" s="50" t="str">
        <f aca="false">IF($B9="","","Pós-graduação")</f>
        <v>Pós-graduação</v>
      </c>
      <c r="B9" s="13" t="str">
        <f aca="false">IF('Pós-graduação'!B10="","",'Pós-graduação'!B10)</f>
        <v>MBA em Inteligência Artificial (exemplo)</v>
      </c>
      <c r="C9" s="81" t="str">
        <f aca="false">IF($B9="","",IF('Pós-graduação'!S10="","",'Pós-graduação'!S10))</f>
        <v>Em andamento</v>
      </c>
      <c r="D9" s="52" t="n">
        <f aca="false">IF($B9="","",IF('Pós-graduação'!G10="","",'Pós-graduação'!G10))</f>
        <v>46266</v>
      </c>
      <c r="E9" s="52" t="n">
        <f aca="false">IF($B9="","",IF('Pós-graduação'!H10&lt;&gt;"",'Pós-graduação'!H10,IF('Pós-graduação'!I10&lt;&gt;"",'Pós-graduação'!I10,"")))</f>
        <v>46813</v>
      </c>
      <c r="F9" s="52" t="n">
        <f aca="false">IF($B9="","",IF('Pós-graduação'!I10="","",'Pós-graduação'!I10))</f>
        <v>46997</v>
      </c>
      <c r="G9" s="38" t="n">
        <f aca="false">IF($B9="","",'Pós-graduação'!N10)</f>
        <v>0.1</v>
      </c>
      <c r="H9" s="82" t="str">
        <f aca="false">IF(OR($B9="",$F9=""),"",IF(AND($F9&gt;=H$7,$F9&lt;EDATE(H$7,1)),"▼",""))</f>
        <v/>
      </c>
      <c r="I9" s="82" t="str">
        <f aca="false">IF(OR($B9="",$F9=""),"",IF(AND($F9&gt;=I$7,$F9&lt;EDATE(I$7,1)),"▼",""))</f>
        <v/>
      </c>
      <c r="J9" s="82" t="str">
        <f aca="false">IF(OR($B9="",$F9=""),"",IF(AND($F9&gt;=J$7,$F9&lt;EDATE(J$7,1)),"▼",""))</f>
        <v/>
      </c>
      <c r="K9" s="82" t="str">
        <f aca="false">IF(OR($B9="",$F9=""),"",IF(AND($F9&gt;=K$7,$F9&lt;EDATE(K$7,1)),"▼",""))</f>
        <v/>
      </c>
      <c r="L9" s="82" t="str">
        <f aca="false">IF(OR($B9="",$F9=""),"",IF(AND($F9&gt;=L$7,$F9&lt;EDATE(L$7,1)),"▼",""))</f>
        <v/>
      </c>
      <c r="M9" s="82" t="str">
        <f aca="false">IF(OR($B9="",$F9=""),"",IF(AND($F9&gt;=M$7,$F9&lt;EDATE(M$7,1)),"▼",""))</f>
        <v/>
      </c>
      <c r="N9" s="82" t="str">
        <f aca="false">IF(OR($B9="",$F9=""),"",IF(AND($F9&gt;=N$7,$F9&lt;EDATE(N$7,1)),"▼",""))</f>
        <v/>
      </c>
      <c r="O9" s="82" t="str">
        <f aca="false">IF(OR($B9="",$F9=""),"",IF(AND($F9&gt;=O$7,$F9&lt;EDATE(O$7,1)),"▼",""))</f>
        <v/>
      </c>
      <c r="P9" s="82" t="str">
        <f aca="false">IF(OR($B9="",$F9=""),"",IF(AND($F9&gt;=P$7,$F9&lt;EDATE(P$7,1)),"▼",""))</f>
        <v/>
      </c>
      <c r="Q9" s="82" t="str">
        <f aca="false">IF(OR($B9="",$F9=""),"",IF(AND($F9&gt;=Q$7,$F9&lt;EDATE(Q$7,1)),"▼",""))</f>
        <v/>
      </c>
      <c r="R9" s="82" t="str">
        <f aca="false">IF(OR($B9="",$F9=""),"",IF(AND($F9&gt;=R$7,$F9&lt;EDATE(R$7,1)),"▼",""))</f>
        <v/>
      </c>
      <c r="S9" s="82" t="str">
        <f aca="false">IF(OR($B9="",$F9=""),"",IF(AND($F9&gt;=S$7,$F9&lt;EDATE(S$7,1)),"▼",""))</f>
        <v/>
      </c>
    </row>
    <row r="10" customFormat="false" ht="19.5" hidden="false" customHeight="true" outlineLevel="0" collapsed="false">
      <c r="A10" s="50" t="str">
        <f aca="false">IF($B10="","","Pós-graduação")</f>
        <v/>
      </c>
      <c r="B10" s="13" t="str">
        <f aca="false">IF('Pós-graduação'!B11="","",'Pós-graduação'!B11)</f>
        <v/>
      </c>
      <c r="C10" s="81" t="str">
        <f aca="false">IF($B10="","",IF('Pós-graduação'!S11="","",'Pós-graduação'!S11))</f>
        <v/>
      </c>
      <c r="D10" s="52" t="str">
        <f aca="false">IF($B10="","",IF('Pós-graduação'!G11="","",'Pós-graduação'!G11))</f>
        <v/>
      </c>
      <c r="E10" s="52" t="str">
        <f aca="false">IF($B10="","",IF('Pós-graduação'!H11&lt;&gt;"",'Pós-graduação'!H11,IF('Pós-graduação'!I11&lt;&gt;"",'Pós-graduação'!I11,"")))</f>
        <v/>
      </c>
      <c r="F10" s="52" t="str">
        <f aca="false">IF($B10="","",IF('Pós-graduação'!I11="","",'Pós-graduação'!I11))</f>
        <v/>
      </c>
      <c r="G10" s="38" t="str">
        <f aca="false">IF($B10="","",'Pós-graduação'!N11)</f>
        <v/>
      </c>
      <c r="H10" s="82" t="str">
        <f aca="false">IF(OR($B10="",$F10=""),"",IF(AND($F10&gt;=H$7,$F10&lt;EDATE(H$7,1)),"▼",""))</f>
        <v/>
      </c>
      <c r="I10" s="82" t="str">
        <f aca="false">IF(OR($B10="",$F10=""),"",IF(AND($F10&gt;=I$7,$F10&lt;EDATE(I$7,1)),"▼",""))</f>
        <v/>
      </c>
      <c r="J10" s="82" t="str">
        <f aca="false">IF(OR($B10="",$F10=""),"",IF(AND($F10&gt;=J$7,$F10&lt;EDATE(J$7,1)),"▼",""))</f>
        <v/>
      </c>
      <c r="K10" s="82" t="str">
        <f aca="false">IF(OR($B10="",$F10=""),"",IF(AND($F10&gt;=K$7,$F10&lt;EDATE(K$7,1)),"▼",""))</f>
        <v/>
      </c>
      <c r="L10" s="82" t="str">
        <f aca="false">IF(OR($B10="",$F10=""),"",IF(AND($F10&gt;=L$7,$F10&lt;EDATE(L$7,1)),"▼",""))</f>
        <v/>
      </c>
      <c r="M10" s="82" t="str">
        <f aca="false">IF(OR($B10="",$F10=""),"",IF(AND($F10&gt;=M$7,$F10&lt;EDATE(M$7,1)),"▼",""))</f>
        <v/>
      </c>
      <c r="N10" s="82" t="str">
        <f aca="false">IF(OR($B10="",$F10=""),"",IF(AND($F10&gt;=N$7,$F10&lt;EDATE(N$7,1)),"▼",""))</f>
        <v/>
      </c>
      <c r="O10" s="82" t="str">
        <f aca="false">IF(OR($B10="",$F10=""),"",IF(AND($F10&gt;=O$7,$F10&lt;EDATE(O$7,1)),"▼",""))</f>
        <v/>
      </c>
      <c r="P10" s="82" t="str">
        <f aca="false">IF(OR($B10="",$F10=""),"",IF(AND($F10&gt;=P$7,$F10&lt;EDATE(P$7,1)),"▼",""))</f>
        <v/>
      </c>
      <c r="Q10" s="82" t="str">
        <f aca="false">IF(OR($B10="",$F10=""),"",IF(AND($F10&gt;=Q$7,$F10&lt;EDATE(Q$7,1)),"▼",""))</f>
        <v/>
      </c>
      <c r="R10" s="82" t="str">
        <f aca="false">IF(OR($B10="",$F10=""),"",IF(AND($F10&gt;=R$7,$F10&lt;EDATE(R$7,1)),"▼",""))</f>
        <v/>
      </c>
      <c r="S10" s="82" t="str">
        <f aca="false">IF(OR($B10="",$F10=""),"",IF(AND($F10&gt;=S$7,$F10&lt;EDATE(S$7,1)),"▼",""))</f>
        <v/>
      </c>
    </row>
    <row r="11" customFormat="false" ht="19.5" hidden="false" customHeight="true" outlineLevel="0" collapsed="false">
      <c r="A11" s="50" t="str">
        <f aca="false">IF($B11="","","Pós-graduação")</f>
        <v/>
      </c>
      <c r="B11" s="13" t="str">
        <f aca="false">IF('Pós-graduação'!B12="","",'Pós-graduação'!B12)</f>
        <v/>
      </c>
      <c r="C11" s="81" t="str">
        <f aca="false">IF($B11="","",IF('Pós-graduação'!S12="","",'Pós-graduação'!S12))</f>
        <v/>
      </c>
      <c r="D11" s="52" t="str">
        <f aca="false">IF($B11="","",IF('Pós-graduação'!G12="","",'Pós-graduação'!G12))</f>
        <v/>
      </c>
      <c r="E11" s="52" t="str">
        <f aca="false">IF($B11="","",IF('Pós-graduação'!H12&lt;&gt;"",'Pós-graduação'!H12,IF('Pós-graduação'!I12&lt;&gt;"",'Pós-graduação'!I12,"")))</f>
        <v/>
      </c>
      <c r="F11" s="52" t="str">
        <f aca="false">IF($B11="","",IF('Pós-graduação'!I12="","",'Pós-graduação'!I12))</f>
        <v/>
      </c>
      <c r="G11" s="38" t="str">
        <f aca="false">IF($B11="","",'Pós-graduação'!N12)</f>
        <v/>
      </c>
      <c r="H11" s="82" t="str">
        <f aca="false">IF(OR($B11="",$F11=""),"",IF(AND($F11&gt;=H$7,$F11&lt;EDATE(H$7,1)),"▼",""))</f>
        <v/>
      </c>
      <c r="I11" s="82" t="str">
        <f aca="false">IF(OR($B11="",$F11=""),"",IF(AND($F11&gt;=I$7,$F11&lt;EDATE(I$7,1)),"▼",""))</f>
        <v/>
      </c>
      <c r="J11" s="82" t="str">
        <f aca="false">IF(OR($B11="",$F11=""),"",IF(AND($F11&gt;=J$7,$F11&lt;EDATE(J$7,1)),"▼",""))</f>
        <v/>
      </c>
      <c r="K11" s="82" t="str">
        <f aca="false">IF(OR($B11="",$F11=""),"",IF(AND($F11&gt;=K$7,$F11&lt;EDATE(K$7,1)),"▼",""))</f>
        <v/>
      </c>
      <c r="L11" s="82" t="str">
        <f aca="false">IF(OR($B11="",$F11=""),"",IF(AND($F11&gt;=L$7,$F11&lt;EDATE(L$7,1)),"▼",""))</f>
        <v/>
      </c>
      <c r="M11" s="82" t="str">
        <f aca="false">IF(OR($B11="",$F11=""),"",IF(AND($F11&gt;=M$7,$F11&lt;EDATE(M$7,1)),"▼",""))</f>
        <v/>
      </c>
      <c r="N11" s="82" t="str">
        <f aca="false">IF(OR($B11="",$F11=""),"",IF(AND($F11&gt;=N$7,$F11&lt;EDATE(N$7,1)),"▼",""))</f>
        <v/>
      </c>
      <c r="O11" s="82" t="str">
        <f aca="false">IF(OR($B11="",$F11=""),"",IF(AND($F11&gt;=O$7,$F11&lt;EDATE(O$7,1)),"▼",""))</f>
        <v/>
      </c>
      <c r="P11" s="82" t="str">
        <f aca="false">IF(OR($B11="",$F11=""),"",IF(AND($F11&gt;=P$7,$F11&lt;EDATE(P$7,1)),"▼",""))</f>
        <v/>
      </c>
      <c r="Q11" s="82" t="str">
        <f aca="false">IF(OR($B11="",$F11=""),"",IF(AND($F11&gt;=Q$7,$F11&lt;EDATE(Q$7,1)),"▼",""))</f>
        <v/>
      </c>
      <c r="R11" s="82" t="str">
        <f aca="false">IF(OR($B11="",$F11=""),"",IF(AND($F11&gt;=R$7,$F11&lt;EDATE(R$7,1)),"▼",""))</f>
        <v/>
      </c>
      <c r="S11" s="82" t="str">
        <f aca="false">IF(OR($B11="",$F11=""),"",IF(AND($F11&gt;=S$7,$F11&lt;EDATE(S$7,1)),"▼",""))</f>
        <v/>
      </c>
    </row>
    <row r="12" customFormat="false" ht="19.5" hidden="false" customHeight="true" outlineLevel="0" collapsed="false">
      <c r="A12" s="50" t="str">
        <f aca="false">IF($B12="","","Pós-graduação")</f>
        <v/>
      </c>
      <c r="B12" s="13" t="str">
        <f aca="false">IF('Pós-graduação'!B13="","",'Pós-graduação'!B13)</f>
        <v/>
      </c>
      <c r="C12" s="81" t="str">
        <f aca="false">IF($B12="","",IF('Pós-graduação'!S13="","",'Pós-graduação'!S13))</f>
        <v/>
      </c>
      <c r="D12" s="52" t="str">
        <f aca="false">IF($B12="","",IF('Pós-graduação'!G13="","",'Pós-graduação'!G13))</f>
        <v/>
      </c>
      <c r="E12" s="52" t="str">
        <f aca="false">IF($B12="","",IF('Pós-graduação'!H13&lt;&gt;"",'Pós-graduação'!H13,IF('Pós-graduação'!I13&lt;&gt;"",'Pós-graduação'!I13,"")))</f>
        <v/>
      </c>
      <c r="F12" s="52" t="str">
        <f aca="false">IF($B12="","",IF('Pós-graduação'!I13="","",'Pós-graduação'!I13))</f>
        <v/>
      </c>
      <c r="G12" s="38" t="str">
        <f aca="false">IF($B12="","",'Pós-graduação'!N13)</f>
        <v/>
      </c>
      <c r="H12" s="82" t="str">
        <f aca="false">IF(OR($B12="",$F12=""),"",IF(AND($F12&gt;=H$7,$F12&lt;EDATE(H$7,1)),"▼",""))</f>
        <v/>
      </c>
      <c r="I12" s="82" t="str">
        <f aca="false">IF(OR($B12="",$F12=""),"",IF(AND($F12&gt;=I$7,$F12&lt;EDATE(I$7,1)),"▼",""))</f>
        <v/>
      </c>
      <c r="J12" s="82" t="str">
        <f aca="false">IF(OR($B12="",$F12=""),"",IF(AND($F12&gt;=J$7,$F12&lt;EDATE(J$7,1)),"▼",""))</f>
        <v/>
      </c>
      <c r="K12" s="82" t="str">
        <f aca="false">IF(OR($B12="",$F12=""),"",IF(AND($F12&gt;=K$7,$F12&lt;EDATE(K$7,1)),"▼",""))</f>
        <v/>
      </c>
      <c r="L12" s="82" t="str">
        <f aca="false">IF(OR($B12="",$F12=""),"",IF(AND($F12&gt;=L$7,$F12&lt;EDATE(L$7,1)),"▼",""))</f>
        <v/>
      </c>
      <c r="M12" s="82" t="str">
        <f aca="false">IF(OR($B12="",$F12=""),"",IF(AND($F12&gt;=M$7,$F12&lt;EDATE(M$7,1)),"▼",""))</f>
        <v/>
      </c>
      <c r="N12" s="82" t="str">
        <f aca="false">IF(OR($B12="",$F12=""),"",IF(AND($F12&gt;=N$7,$F12&lt;EDATE(N$7,1)),"▼",""))</f>
        <v/>
      </c>
      <c r="O12" s="82" t="str">
        <f aca="false">IF(OR($B12="",$F12=""),"",IF(AND($F12&gt;=O$7,$F12&lt;EDATE(O$7,1)),"▼",""))</f>
        <v/>
      </c>
      <c r="P12" s="82" t="str">
        <f aca="false">IF(OR($B12="",$F12=""),"",IF(AND($F12&gt;=P$7,$F12&lt;EDATE(P$7,1)),"▼",""))</f>
        <v/>
      </c>
      <c r="Q12" s="82" t="str">
        <f aca="false">IF(OR($B12="",$F12=""),"",IF(AND($F12&gt;=Q$7,$F12&lt;EDATE(Q$7,1)),"▼",""))</f>
        <v/>
      </c>
      <c r="R12" s="82" t="str">
        <f aca="false">IF(OR($B12="",$F12=""),"",IF(AND($F12&gt;=R$7,$F12&lt;EDATE(R$7,1)),"▼",""))</f>
        <v/>
      </c>
      <c r="S12" s="82" t="str">
        <f aca="false">IF(OR($B12="",$F12=""),"",IF(AND($F12&gt;=S$7,$F12&lt;EDATE(S$7,1)),"▼",""))</f>
        <v/>
      </c>
    </row>
    <row r="13" customFormat="false" ht="19.5" hidden="false" customHeight="true" outlineLevel="0" collapsed="false">
      <c r="A13" s="50" t="str">
        <f aca="false">IF($B13="","","Pós-graduação")</f>
        <v/>
      </c>
      <c r="B13" s="13" t="str">
        <f aca="false">IF('Pós-graduação'!B14="","",'Pós-graduação'!B14)</f>
        <v/>
      </c>
      <c r="C13" s="81" t="str">
        <f aca="false">IF($B13="","",IF('Pós-graduação'!S14="","",'Pós-graduação'!S14))</f>
        <v/>
      </c>
      <c r="D13" s="52" t="str">
        <f aca="false">IF($B13="","",IF('Pós-graduação'!G14="","",'Pós-graduação'!G14))</f>
        <v/>
      </c>
      <c r="E13" s="52" t="str">
        <f aca="false">IF($B13="","",IF('Pós-graduação'!H14&lt;&gt;"",'Pós-graduação'!H14,IF('Pós-graduação'!I14&lt;&gt;"",'Pós-graduação'!I14,"")))</f>
        <v/>
      </c>
      <c r="F13" s="52" t="str">
        <f aca="false">IF($B13="","",IF('Pós-graduação'!I14="","",'Pós-graduação'!I14))</f>
        <v/>
      </c>
      <c r="G13" s="38" t="str">
        <f aca="false">IF($B13="","",'Pós-graduação'!N14)</f>
        <v/>
      </c>
      <c r="H13" s="82" t="str">
        <f aca="false">IF(OR($B13="",$F13=""),"",IF(AND($F13&gt;=H$7,$F13&lt;EDATE(H$7,1)),"▼",""))</f>
        <v/>
      </c>
      <c r="I13" s="82" t="str">
        <f aca="false">IF(OR($B13="",$F13=""),"",IF(AND($F13&gt;=I$7,$F13&lt;EDATE(I$7,1)),"▼",""))</f>
        <v/>
      </c>
      <c r="J13" s="82" t="str">
        <f aca="false">IF(OR($B13="",$F13=""),"",IF(AND($F13&gt;=J$7,$F13&lt;EDATE(J$7,1)),"▼",""))</f>
        <v/>
      </c>
      <c r="K13" s="82" t="str">
        <f aca="false">IF(OR($B13="",$F13=""),"",IF(AND($F13&gt;=K$7,$F13&lt;EDATE(K$7,1)),"▼",""))</f>
        <v/>
      </c>
      <c r="L13" s="82" t="str">
        <f aca="false">IF(OR($B13="",$F13=""),"",IF(AND($F13&gt;=L$7,$F13&lt;EDATE(L$7,1)),"▼",""))</f>
        <v/>
      </c>
      <c r="M13" s="82" t="str">
        <f aca="false">IF(OR($B13="",$F13=""),"",IF(AND($F13&gt;=M$7,$F13&lt;EDATE(M$7,1)),"▼",""))</f>
        <v/>
      </c>
      <c r="N13" s="82" t="str">
        <f aca="false">IF(OR($B13="",$F13=""),"",IF(AND($F13&gt;=N$7,$F13&lt;EDATE(N$7,1)),"▼",""))</f>
        <v/>
      </c>
      <c r="O13" s="82" t="str">
        <f aca="false">IF(OR($B13="",$F13=""),"",IF(AND($F13&gt;=O$7,$F13&lt;EDATE(O$7,1)),"▼",""))</f>
        <v/>
      </c>
      <c r="P13" s="82" t="str">
        <f aca="false">IF(OR($B13="",$F13=""),"",IF(AND($F13&gt;=P$7,$F13&lt;EDATE(P$7,1)),"▼",""))</f>
        <v/>
      </c>
      <c r="Q13" s="82" t="str">
        <f aca="false">IF(OR($B13="",$F13=""),"",IF(AND($F13&gt;=Q$7,$F13&lt;EDATE(Q$7,1)),"▼",""))</f>
        <v/>
      </c>
      <c r="R13" s="82" t="str">
        <f aca="false">IF(OR($B13="",$F13=""),"",IF(AND($F13&gt;=R$7,$F13&lt;EDATE(R$7,1)),"▼",""))</f>
        <v/>
      </c>
      <c r="S13" s="82" t="str">
        <f aca="false">IF(OR($B13="",$F13=""),"",IF(AND($F13&gt;=S$7,$F13&lt;EDATE(S$7,1)),"▼",""))</f>
        <v/>
      </c>
    </row>
    <row r="14" customFormat="false" ht="19.5" hidden="false" customHeight="true" outlineLevel="0" collapsed="false">
      <c r="A14" s="50" t="str">
        <f aca="false">IF($B14="","","Pós-graduação")</f>
        <v/>
      </c>
      <c r="B14" s="13" t="str">
        <f aca="false">IF('Pós-graduação'!B15="","",'Pós-graduação'!B15)</f>
        <v/>
      </c>
      <c r="C14" s="81" t="str">
        <f aca="false">IF($B14="","",IF('Pós-graduação'!S15="","",'Pós-graduação'!S15))</f>
        <v/>
      </c>
      <c r="D14" s="52" t="str">
        <f aca="false">IF($B14="","",IF('Pós-graduação'!G15="","",'Pós-graduação'!G15))</f>
        <v/>
      </c>
      <c r="E14" s="52" t="str">
        <f aca="false">IF($B14="","",IF('Pós-graduação'!H15&lt;&gt;"",'Pós-graduação'!H15,IF('Pós-graduação'!I15&lt;&gt;"",'Pós-graduação'!I15,"")))</f>
        <v/>
      </c>
      <c r="F14" s="52" t="str">
        <f aca="false">IF($B14="","",IF('Pós-graduação'!I15="","",'Pós-graduação'!I15))</f>
        <v/>
      </c>
      <c r="G14" s="38" t="str">
        <f aca="false">IF($B14="","",'Pós-graduação'!N15)</f>
        <v/>
      </c>
      <c r="H14" s="82" t="str">
        <f aca="false">IF(OR($B14="",$F14=""),"",IF(AND($F14&gt;=H$7,$F14&lt;EDATE(H$7,1)),"▼",""))</f>
        <v/>
      </c>
      <c r="I14" s="82" t="str">
        <f aca="false">IF(OR($B14="",$F14=""),"",IF(AND($F14&gt;=I$7,$F14&lt;EDATE(I$7,1)),"▼",""))</f>
        <v/>
      </c>
      <c r="J14" s="82" t="str">
        <f aca="false">IF(OR($B14="",$F14=""),"",IF(AND($F14&gt;=J$7,$F14&lt;EDATE(J$7,1)),"▼",""))</f>
        <v/>
      </c>
      <c r="K14" s="82" t="str">
        <f aca="false">IF(OR($B14="",$F14=""),"",IF(AND($F14&gt;=K$7,$F14&lt;EDATE(K$7,1)),"▼",""))</f>
        <v/>
      </c>
      <c r="L14" s="82" t="str">
        <f aca="false">IF(OR($B14="",$F14=""),"",IF(AND($F14&gt;=L$7,$F14&lt;EDATE(L$7,1)),"▼",""))</f>
        <v/>
      </c>
      <c r="M14" s="82" t="str">
        <f aca="false">IF(OR($B14="",$F14=""),"",IF(AND($F14&gt;=M$7,$F14&lt;EDATE(M$7,1)),"▼",""))</f>
        <v/>
      </c>
      <c r="N14" s="82" t="str">
        <f aca="false">IF(OR($B14="",$F14=""),"",IF(AND($F14&gt;=N$7,$F14&lt;EDATE(N$7,1)),"▼",""))</f>
        <v/>
      </c>
      <c r="O14" s="82" t="str">
        <f aca="false">IF(OR($B14="",$F14=""),"",IF(AND($F14&gt;=O$7,$F14&lt;EDATE(O$7,1)),"▼",""))</f>
        <v/>
      </c>
      <c r="P14" s="82" t="str">
        <f aca="false">IF(OR($B14="",$F14=""),"",IF(AND($F14&gt;=P$7,$F14&lt;EDATE(P$7,1)),"▼",""))</f>
        <v/>
      </c>
      <c r="Q14" s="82" t="str">
        <f aca="false">IF(OR($B14="",$F14=""),"",IF(AND($F14&gt;=Q$7,$F14&lt;EDATE(Q$7,1)),"▼",""))</f>
        <v/>
      </c>
      <c r="R14" s="82" t="str">
        <f aca="false">IF(OR($B14="",$F14=""),"",IF(AND($F14&gt;=R$7,$F14&lt;EDATE(R$7,1)),"▼",""))</f>
        <v/>
      </c>
      <c r="S14" s="82" t="str">
        <f aca="false">IF(OR($B14="",$F14=""),"",IF(AND($F14&gt;=S$7,$F14&lt;EDATE(S$7,1)),"▼",""))</f>
        <v/>
      </c>
    </row>
    <row r="15" customFormat="false" ht="19.5" hidden="false" customHeight="true" outlineLevel="0" collapsed="false">
      <c r="A15" s="50" t="str">
        <f aca="false">IF($B15="","","Pós-graduação")</f>
        <v/>
      </c>
      <c r="B15" s="13" t="str">
        <f aca="false">IF('Pós-graduação'!B16="","",'Pós-graduação'!B16)</f>
        <v/>
      </c>
      <c r="C15" s="81" t="str">
        <f aca="false">IF($B15="","",IF('Pós-graduação'!S16="","",'Pós-graduação'!S16))</f>
        <v/>
      </c>
      <c r="D15" s="52" t="str">
        <f aca="false">IF($B15="","",IF('Pós-graduação'!G16="","",'Pós-graduação'!G16))</f>
        <v/>
      </c>
      <c r="E15" s="52" t="str">
        <f aca="false">IF($B15="","",IF('Pós-graduação'!H16&lt;&gt;"",'Pós-graduação'!H16,IF('Pós-graduação'!I16&lt;&gt;"",'Pós-graduação'!I16,"")))</f>
        <v/>
      </c>
      <c r="F15" s="52" t="str">
        <f aca="false">IF($B15="","",IF('Pós-graduação'!I16="","",'Pós-graduação'!I16))</f>
        <v/>
      </c>
      <c r="G15" s="38" t="str">
        <f aca="false">IF($B15="","",'Pós-graduação'!N16)</f>
        <v/>
      </c>
      <c r="H15" s="82" t="str">
        <f aca="false">IF(OR($B15="",$F15=""),"",IF(AND($F15&gt;=H$7,$F15&lt;EDATE(H$7,1)),"▼",""))</f>
        <v/>
      </c>
      <c r="I15" s="82" t="str">
        <f aca="false">IF(OR($B15="",$F15=""),"",IF(AND($F15&gt;=I$7,$F15&lt;EDATE(I$7,1)),"▼",""))</f>
        <v/>
      </c>
      <c r="J15" s="82" t="str">
        <f aca="false">IF(OR($B15="",$F15=""),"",IF(AND($F15&gt;=J$7,$F15&lt;EDATE(J$7,1)),"▼",""))</f>
        <v/>
      </c>
      <c r="K15" s="82" t="str">
        <f aca="false">IF(OR($B15="",$F15=""),"",IF(AND($F15&gt;=K$7,$F15&lt;EDATE(K$7,1)),"▼",""))</f>
        <v/>
      </c>
      <c r="L15" s="82" t="str">
        <f aca="false">IF(OR($B15="",$F15=""),"",IF(AND($F15&gt;=L$7,$F15&lt;EDATE(L$7,1)),"▼",""))</f>
        <v/>
      </c>
      <c r="M15" s="82" t="str">
        <f aca="false">IF(OR($B15="",$F15=""),"",IF(AND($F15&gt;=M$7,$F15&lt;EDATE(M$7,1)),"▼",""))</f>
        <v/>
      </c>
      <c r="N15" s="82" t="str">
        <f aca="false">IF(OR($B15="",$F15=""),"",IF(AND($F15&gt;=N$7,$F15&lt;EDATE(N$7,1)),"▼",""))</f>
        <v/>
      </c>
      <c r="O15" s="82" t="str">
        <f aca="false">IF(OR($B15="",$F15=""),"",IF(AND($F15&gt;=O$7,$F15&lt;EDATE(O$7,1)),"▼",""))</f>
        <v/>
      </c>
      <c r="P15" s="82" t="str">
        <f aca="false">IF(OR($B15="",$F15=""),"",IF(AND($F15&gt;=P$7,$F15&lt;EDATE(P$7,1)),"▼",""))</f>
        <v/>
      </c>
      <c r="Q15" s="82" t="str">
        <f aca="false">IF(OR($B15="",$F15=""),"",IF(AND($F15&gt;=Q$7,$F15&lt;EDATE(Q$7,1)),"▼",""))</f>
        <v/>
      </c>
      <c r="R15" s="82" t="str">
        <f aca="false">IF(OR($B15="",$F15=""),"",IF(AND($F15&gt;=R$7,$F15&lt;EDATE(R$7,1)),"▼",""))</f>
        <v/>
      </c>
      <c r="S15" s="82" t="str">
        <f aca="false">IF(OR($B15="",$F15=""),"",IF(AND($F15&gt;=S$7,$F15&lt;EDATE(S$7,1)),"▼",""))</f>
        <v/>
      </c>
    </row>
    <row r="16" customFormat="false" ht="19.5" hidden="false" customHeight="true" outlineLevel="0" collapsed="false">
      <c r="A16" s="50" t="str">
        <f aca="false">IF($B16="","","Pós-graduação")</f>
        <v/>
      </c>
      <c r="B16" s="13" t="str">
        <f aca="false">IF('Pós-graduação'!B17="","",'Pós-graduação'!B17)</f>
        <v/>
      </c>
      <c r="C16" s="81" t="str">
        <f aca="false">IF($B16="","",IF('Pós-graduação'!S17="","",'Pós-graduação'!S17))</f>
        <v/>
      </c>
      <c r="D16" s="52" t="str">
        <f aca="false">IF($B16="","",IF('Pós-graduação'!G17="","",'Pós-graduação'!G17))</f>
        <v/>
      </c>
      <c r="E16" s="52" t="str">
        <f aca="false">IF($B16="","",IF('Pós-graduação'!H17&lt;&gt;"",'Pós-graduação'!H17,IF('Pós-graduação'!I17&lt;&gt;"",'Pós-graduação'!I17,"")))</f>
        <v/>
      </c>
      <c r="F16" s="52" t="str">
        <f aca="false">IF($B16="","",IF('Pós-graduação'!I17="","",'Pós-graduação'!I17))</f>
        <v/>
      </c>
      <c r="G16" s="38" t="str">
        <f aca="false">IF($B16="","",'Pós-graduação'!N17)</f>
        <v/>
      </c>
      <c r="H16" s="82" t="str">
        <f aca="false">IF(OR($B16="",$F16=""),"",IF(AND($F16&gt;=H$7,$F16&lt;EDATE(H$7,1)),"▼",""))</f>
        <v/>
      </c>
      <c r="I16" s="82" t="str">
        <f aca="false">IF(OR($B16="",$F16=""),"",IF(AND($F16&gt;=I$7,$F16&lt;EDATE(I$7,1)),"▼",""))</f>
        <v/>
      </c>
      <c r="J16" s="82" t="str">
        <f aca="false">IF(OR($B16="",$F16=""),"",IF(AND($F16&gt;=J$7,$F16&lt;EDATE(J$7,1)),"▼",""))</f>
        <v/>
      </c>
      <c r="K16" s="82" t="str">
        <f aca="false">IF(OR($B16="",$F16=""),"",IF(AND($F16&gt;=K$7,$F16&lt;EDATE(K$7,1)),"▼",""))</f>
        <v/>
      </c>
      <c r="L16" s="82" t="str">
        <f aca="false">IF(OR($B16="",$F16=""),"",IF(AND($F16&gt;=L$7,$F16&lt;EDATE(L$7,1)),"▼",""))</f>
        <v/>
      </c>
      <c r="M16" s="82" t="str">
        <f aca="false">IF(OR($B16="",$F16=""),"",IF(AND($F16&gt;=M$7,$F16&lt;EDATE(M$7,1)),"▼",""))</f>
        <v/>
      </c>
      <c r="N16" s="82" t="str">
        <f aca="false">IF(OR($B16="",$F16=""),"",IF(AND($F16&gt;=N$7,$F16&lt;EDATE(N$7,1)),"▼",""))</f>
        <v/>
      </c>
      <c r="O16" s="82" t="str">
        <f aca="false">IF(OR($B16="",$F16=""),"",IF(AND($F16&gt;=O$7,$F16&lt;EDATE(O$7,1)),"▼",""))</f>
        <v/>
      </c>
      <c r="P16" s="82" t="str">
        <f aca="false">IF(OR($B16="",$F16=""),"",IF(AND($F16&gt;=P$7,$F16&lt;EDATE(P$7,1)),"▼",""))</f>
        <v/>
      </c>
      <c r="Q16" s="82" t="str">
        <f aca="false">IF(OR($B16="",$F16=""),"",IF(AND($F16&gt;=Q$7,$F16&lt;EDATE(Q$7,1)),"▼",""))</f>
        <v/>
      </c>
      <c r="R16" s="82" t="str">
        <f aca="false">IF(OR($B16="",$F16=""),"",IF(AND($F16&gt;=R$7,$F16&lt;EDATE(R$7,1)),"▼",""))</f>
        <v/>
      </c>
      <c r="S16" s="82" t="str">
        <f aca="false">IF(OR($B16="",$F16=""),"",IF(AND($F16&gt;=S$7,$F16&lt;EDATE(S$7,1)),"▼",""))</f>
        <v/>
      </c>
    </row>
    <row r="17" customFormat="false" ht="19.5" hidden="false" customHeight="true" outlineLevel="0" collapsed="false">
      <c r="A17" s="50" t="str">
        <f aca="false">IF($B17="","","Pós-graduação")</f>
        <v/>
      </c>
      <c r="B17" s="13" t="str">
        <f aca="false">IF('Pós-graduação'!B18="","",'Pós-graduação'!B18)</f>
        <v/>
      </c>
      <c r="C17" s="81" t="str">
        <f aca="false">IF($B17="","",IF('Pós-graduação'!S18="","",'Pós-graduação'!S18))</f>
        <v/>
      </c>
      <c r="D17" s="52" t="str">
        <f aca="false">IF($B17="","",IF('Pós-graduação'!G18="","",'Pós-graduação'!G18))</f>
        <v/>
      </c>
      <c r="E17" s="52" t="str">
        <f aca="false">IF($B17="","",IF('Pós-graduação'!H18&lt;&gt;"",'Pós-graduação'!H18,IF('Pós-graduação'!I18&lt;&gt;"",'Pós-graduação'!I18,"")))</f>
        <v/>
      </c>
      <c r="F17" s="52" t="str">
        <f aca="false">IF($B17="","",IF('Pós-graduação'!I18="","",'Pós-graduação'!I18))</f>
        <v/>
      </c>
      <c r="G17" s="38" t="str">
        <f aca="false">IF($B17="","",'Pós-graduação'!N18)</f>
        <v/>
      </c>
      <c r="H17" s="82" t="str">
        <f aca="false">IF(OR($B17="",$F17=""),"",IF(AND($F17&gt;=H$7,$F17&lt;EDATE(H$7,1)),"▼",""))</f>
        <v/>
      </c>
      <c r="I17" s="82" t="str">
        <f aca="false">IF(OR($B17="",$F17=""),"",IF(AND($F17&gt;=I$7,$F17&lt;EDATE(I$7,1)),"▼",""))</f>
        <v/>
      </c>
      <c r="J17" s="82" t="str">
        <f aca="false">IF(OR($B17="",$F17=""),"",IF(AND($F17&gt;=J$7,$F17&lt;EDATE(J$7,1)),"▼",""))</f>
        <v/>
      </c>
      <c r="K17" s="82" t="str">
        <f aca="false">IF(OR($B17="",$F17=""),"",IF(AND($F17&gt;=K$7,$F17&lt;EDATE(K$7,1)),"▼",""))</f>
        <v/>
      </c>
      <c r="L17" s="82" t="str">
        <f aca="false">IF(OR($B17="",$F17=""),"",IF(AND($F17&gt;=L$7,$F17&lt;EDATE(L$7,1)),"▼",""))</f>
        <v/>
      </c>
      <c r="M17" s="82" t="str">
        <f aca="false">IF(OR($B17="",$F17=""),"",IF(AND($F17&gt;=M$7,$F17&lt;EDATE(M$7,1)),"▼",""))</f>
        <v/>
      </c>
      <c r="N17" s="82" t="str">
        <f aca="false">IF(OR($B17="",$F17=""),"",IF(AND($F17&gt;=N$7,$F17&lt;EDATE(N$7,1)),"▼",""))</f>
        <v/>
      </c>
      <c r="O17" s="82" t="str">
        <f aca="false">IF(OR($B17="",$F17=""),"",IF(AND($F17&gt;=O$7,$F17&lt;EDATE(O$7,1)),"▼",""))</f>
        <v/>
      </c>
      <c r="P17" s="82" t="str">
        <f aca="false">IF(OR($B17="",$F17=""),"",IF(AND($F17&gt;=P$7,$F17&lt;EDATE(P$7,1)),"▼",""))</f>
        <v/>
      </c>
      <c r="Q17" s="82" t="str">
        <f aca="false">IF(OR($B17="",$F17=""),"",IF(AND($F17&gt;=Q$7,$F17&lt;EDATE(Q$7,1)),"▼",""))</f>
        <v/>
      </c>
      <c r="R17" s="82" t="str">
        <f aca="false">IF(OR($B17="",$F17=""),"",IF(AND($F17&gt;=R$7,$F17&lt;EDATE(R$7,1)),"▼",""))</f>
        <v/>
      </c>
      <c r="S17" s="82" t="str">
        <f aca="false">IF(OR($B17="",$F17=""),"",IF(AND($F17&gt;=S$7,$F17&lt;EDATE(S$7,1)),"▼",""))</f>
        <v/>
      </c>
    </row>
    <row r="18" customFormat="false" ht="19.5" hidden="false" customHeight="true" outlineLevel="0" collapsed="false">
      <c r="A18" s="50" t="str">
        <f aca="false">IF($B18="","","Pós-graduação")</f>
        <v/>
      </c>
      <c r="B18" s="13" t="str">
        <f aca="false">IF('Pós-graduação'!B19="","",'Pós-graduação'!B19)</f>
        <v/>
      </c>
      <c r="C18" s="81" t="str">
        <f aca="false">IF($B18="","",IF('Pós-graduação'!S19="","",'Pós-graduação'!S19))</f>
        <v/>
      </c>
      <c r="D18" s="52" t="str">
        <f aca="false">IF($B18="","",IF('Pós-graduação'!G19="","",'Pós-graduação'!G19))</f>
        <v/>
      </c>
      <c r="E18" s="52" t="str">
        <f aca="false">IF($B18="","",IF('Pós-graduação'!H19&lt;&gt;"",'Pós-graduação'!H19,IF('Pós-graduação'!I19&lt;&gt;"",'Pós-graduação'!I19,"")))</f>
        <v/>
      </c>
      <c r="F18" s="52" t="str">
        <f aca="false">IF($B18="","",IF('Pós-graduação'!I19="","",'Pós-graduação'!I19))</f>
        <v/>
      </c>
      <c r="G18" s="38" t="str">
        <f aca="false">IF($B18="","",'Pós-graduação'!N19)</f>
        <v/>
      </c>
      <c r="H18" s="82" t="str">
        <f aca="false">IF(OR($B18="",$F18=""),"",IF(AND($F18&gt;=H$7,$F18&lt;EDATE(H$7,1)),"▼",""))</f>
        <v/>
      </c>
      <c r="I18" s="82" t="str">
        <f aca="false">IF(OR($B18="",$F18=""),"",IF(AND($F18&gt;=I$7,$F18&lt;EDATE(I$7,1)),"▼",""))</f>
        <v/>
      </c>
      <c r="J18" s="82" t="str">
        <f aca="false">IF(OR($B18="",$F18=""),"",IF(AND($F18&gt;=J$7,$F18&lt;EDATE(J$7,1)),"▼",""))</f>
        <v/>
      </c>
      <c r="K18" s="82" t="str">
        <f aca="false">IF(OR($B18="",$F18=""),"",IF(AND($F18&gt;=K$7,$F18&lt;EDATE(K$7,1)),"▼",""))</f>
        <v/>
      </c>
      <c r="L18" s="82" t="str">
        <f aca="false">IF(OR($B18="",$F18=""),"",IF(AND($F18&gt;=L$7,$F18&lt;EDATE(L$7,1)),"▼",""))</f>
        <v/>
      </c>
      <c r="M18" s="82" t="str">
        <f aca="false">IF(OR($B18="",$F18=""),"",IF(AND($F18&gt;=M$7,$F18&lt;EDATE(M$7,1)),"▼",""))</f>
        <v/>
      </c>
      <c r="N18" s="82" t="str">
        <f aca="false">IF(OR($B18="",$F18=""),"",IF(AND($F18&gt;=N$7,$F18&lt;EDATE(N$7,1)),"▼",""))</f>
        <v/>
      </c>
      <c r="O18" s="82" t="str">
        <f aca="false">IF(OR($B18="",$F18=""),"",IF(AND($F18&gt;=O$7,$F18&lt;EDATE(O$7,1)),"▼",""))</f>
        <v/>
      </c>
      <c r="P18" s="82" t="str">
        <f aca="false">IF(OR($B18="",$F18=""),"",IF(AND($F18&gt;=P$7,$F18&lt;EDATE(P$7,1)),"▼",""))</f>
        <v/>
      </c>
      <c r="Q18" s="82" t="str">
        <f aca="false">IF(OR($B18="",$F18=""),"",IF(AND($F18&gt;=Q$7,$F18&lt;EDATE(Q$7,1)),"▼",""))</f>
        <v/>
      </c>
      <c r="R18" s="82" t="str">
        <f aca="false">IF(OR($B18="",$F18=""),"",IF(AND($F18&gt;=R$7,$F18&lt;EDATE(R$7,1)),"▼",""))</f>
        <v/>
      </c>
      <c r="S18" s="82" t="str">
        <f aca="false">IF(OR($B18="",$F18=""),"",IF(AND($F18&gt;=S$7,$F18&lt;EDATE(S$7,1)),"▼",""))</f>
        <v/>
      </c>
    </row>
    <row r="19" customFormat="false" ht="19.5" hidden="false" customHeight="true" outlineLevel="0" collapsed="false">
      <c r="A19" s="50" t="str">
        <f aca="false">IF($B19="","","Pós-graduação")</f>
        <v/>
      </c>
      <c r="B19" s="13" t="str">
        <f aca="false">IF('Pós-graduação'!B20="","",'Pós-graduação'!B20)</f>
        <v/>
      </c>
      <c r="C19" s="81" t="str">
        <f aca="false">IF($B19="","",IF('Pós-graduação'!S20="","",'Pós-graduação'!S20))</f>
        <v/>
      </c>
      <c r="D19" s="52" t="str">
        <f aca="false">IF($B19="","",IF('Pós-graduação'!G20="","",'Pós-graduação'!G20))</f>
        <v/>
      </c>
      <c r="E19" s="52" t="str">
        <f aca="false">IF($B19="","",IF('Pós-graduação'!H20&lt;&gt;"",'Pós-graduação'!H20,IF('Pós-graduação'!I20&lt;&gt;"",'Pós-graduação'!I20,"")))</f>
        <v/>
      </c>
      <c r="F19" s="52" t="str">
        <f aca="false">IF($B19="","",IF('Pós-graduação'!I20="","",'Pós-graduação'!I20))</f>
        <v/>
      </c>
      <c r="G19" s="38" t="str">
        <f aca="false">IF($B19="","",'Pós-graduação'!N20)</f>
        <v/>
      </c>
      <c r="H19" s="82" t="str">
        <f aca="false">IF(OR($B19="",$F19=""),"",IF(AND($F19&gt;=H$7,$F19&lt;EDATE(H$7,1)),"▼",""))</f>
        <v/>
      </c>
      <c r="I19" s="82" t="str">
        <f aca="false">IF(OR($B19="",$F19=""),"",IF(AND($F19&gt;=I$7,$F19&lt;EDATE(I$7,1)),"▼",""))</f>
        <v/>
      </c>
      <c r="J19" s="82" t="str">
        <f aca="false">IF(OR($B19="",$F19=""),"",IF(AND($F19&gt;=J$7,$F19&lt;EDATE(J$7,1)),"▼",""))</f>
        <v/>
      </c>
      <c r="K19" s="82" t="str">
        <f aca="false">IF(OR($B19="",$F19=""),"",IF(AND($F19&gt;=K$7,$F19&lt;EDATE(K$7,1)),"▼",""))</f>
        <v/>
      </c>
      <c r="L19" s="82" t="str">
        <f aca="false">IF(OR($B19="",$F19=""),"",IF(AND($F19&gt;=L$7,$F19&lt;EDATE(L$7,1)),"▼",""))</f>
        <v/>
      </c>
      <c r="M19" s="82" t="str">
        <f aca="false">IF(OR($B19="",$F19=""),"",IF(AND($F19&gt;=M$7,$F19&lt;EDATE(M$7,1)),"▼",""))</f>
        <v/>
      </c>
      <c r="N19" s="82" t="str">
        <f aca="false">IF(OR($B19="",$F19=""),"",IF(AND($F19&gt;=N$7,$F19&lt;EDATE(N$7,1)),"▼",""))</f>
        <v/>
      </c>
      <c r="O19" s="82" t="str">
        <f aca="false">IF(OR($B19="",$F19=""),"",IF(AND($F19&gt;=O$7,$F19&lt;EDATE(O$7,1)),"▼",""))</f>
        <v/>
      </c>
      <c r="P19" s="82" t="str">
        <f aca="false">IF(OR($B19="",$F19=""),"",IF(AND($F19&gt;=P$7,$F19&lt;EDATE(P$7,1)),"▼",""))</f>
        <v/>
      </c>
      <c r="Q19" s="82" t="str">
        <f aca="false">IF(OR($B19="",$F19=""),"",IF(AND($F19&gt;=Q$7,$F19&lt;EDATE(Q$7,1)),"▼",""))</f>
        <v/>
      </c>
      <c r="R19" s="82" t="str">
        <f aca="false">IF(OR($B19="",$F19=""),"",IF(AND($F19&gt;=R$7,$F19&lt;EDATE(R$7,1)),"▼",""))</f>
        <v/>
      </c>
      <c r="S19" s="82" t="str">
        <f aca="false">IF(OR($B19="",$F19=""),"",IF(AND($F19&gt;=S$7,$F19&lt;EDATE(S$7,1)),"▼",""))</f>
        <v/>
      </c>
    </row>
    <row r="20" customFormat="false" ht="19.5" hidden="false" customHeight="true" outlineLevel="0" collapsed="false">
      <c r="A20" s="50" t="str">
        <f aca="false">IF($B20="","","Pós-graduação")</f>
        <v/>
      </c>
      <c r="B20" s="13" t="str">
        <f aca="false">IF('Pós-graduação'!B21="","",'Pós-graduação'!B21)</f>
        <v/>
      </c>
      <c r="C20" s="81" t="str">
        <f aca="false">IF($B20="","",IF('Pós-graduação'!S21="","",'Pós-graduação'!S21))</f>
        <v/>
      </c>
      <c r="D20" s="52" t="str">
        <f aca="false">IF($B20="","",IF('Pós-graduação'!G21="","",'Pós-graduação'!G21))</f>
        <v/>
      </c>
      <c r="E20" s="52" t="str">
        <f aca="false">IF($B20="","",IF('Pós-graduação'!H21&lt;&gt;"",'Pós-graduação'!H21,IF('Pós-graduação'!I21&lt;&gt;"",'Pós-graduação'!I21,"")))</f>
        <v/>
      </c>
      <c r="F20" s="52" t="str">
        <f aca="false">IF($B20="","",IF('Pós-graduação'!I21="","",'Pós-graduação'!I21))</f>
        <v/>
      </c>
      <c r="G20" s="38" t="str">
        <f aca="false">IF($B20="","",'Pós-graduação'!N21)</f>
        <v/>
      </c>
      <c r="H20" s="82" t="str">
        <f aca="false">IF(OR($B20="",$F20=""),"",IF(AND($F20&gt;=H$7,$F20&lt;EDATE(H$7,1)),"▼",""))</f>
        <v/>
      </c>
      <c r="I20" s="82" t="str">
        <f aca="false">IF(OR($B20="",$F20=""),"",IF(AND($F20&gt;=I$7,$F20&lt;EDATE(I$7,1)),"▼",""))</f>
        <v/>
      </c>
      <c r="J20" s="82" t="str">
        <f aca="false">IF(OR($B20="",$F20=""),"",IF(AND($F20&gt;=J$7,$F20&lt;EDATE(J$7,1)),"▼",""))</f>
        <v/>
      </c>
      <c r="K20" s="82" t="str">
        <f aca="false">IF(OR($B20="",$F20=""),"",IF(AND($F20&gt;=K$7,$F20&lt;EDATE(K$7,1)),"▼",""))</f>
        <v/>
      </c>
      <c r="L20" s="82" t="str">
        <f aca="false">IF(OR($B20="",$F20=""),"",IF(AND($F20&gt;=L$7,$F20&lt;EDATE(L$7,1)),"▼",""))</f>
        <v/>
      </c>
      <c r="M20" s="82" t="str">
        <f aca="false">IF(OR($B20="",$F20=""),"",IF(AND($F20&gt;=M$7,$F20&lt;EDATE(M$7,1)),"▼",""))</f>
        <v/>
      </c>
      <c r="N20" s="82" t="str">
        <f aca="false">IF(OR($B20="",$F20=""),"",IF(AND($F20&gt;=N$7,$F20&lt;EDATE(N$7,1)),"▼",""))</f>
        <v/>
      </c>
      <c r="O20" s="82" t="str">
        <f aca="false">IF(OR($B20="",$F20=""),"",IF(AND($F20&gt;=O$7,$F20&lt;EDATE(O$7,1)),"▼",""))</f>
        <v/>
      </c>
      <c r="P20" s="82" t="str">
        <f aca="false">IF(OR($B20="",$F20=""),"",IF(AND($F20&gt;=P$7,$F20&lt;EDATE(P$7,1)),"▼",""))</f>
        <v/>
      </c>
      <c r="Q20" s="82" t="str">
        <f aca="false">IF(OR($B20="",$F20=""),"",IF(AND($F20&gt;=Q$7,$F20&lt;EDATE(Q$7,1)),"▼",""))</f>
        <v/>
      </c>
      <c r="R20" s="82" t="str">
        <f aca="false">IF(OR($B20="",$F20=""),"",IF(AND($F20&gt;=R$7,$F20&lt;EDATE(R$7,1)),"▼",""))</f>
        <v/>
      </c>
      <c r="S20" s="82" t="str">
        <f aca="false">IF(OR($B20="",$F20=""),"",IF(AND($F20&gt;=S$7,$F20&lt;EDATE(S$7,1)),"▼",""))</f>
        <v/>
      </c>
    </row>
    <row r="21" customFormat="false" ht="19.5" hidden="false" customHeight="true" outlineLevel="0" collapsed="false">
      <c r="A21" s="83" t="s">
        <v>115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</row>
    <row r="22" customFormat="false" ht="19.5" hidden="false" customHeight="true" outlineLevel="0" collapsed="false">
      <c r="A22" s="50" t="str">
        <f aca="false">IF($B22="","","Concurso")</f>
        <v>Concurso</v>
      </c>
      <c r="B22" s="13" t="str">
        <f aca="false">IF(Concurso!B10="","",Concurso!B10)</f>
        <v>Curso Preparatório Completo (exemplo)</v>
      </c>
      <c r="C22" s="81" t="str">
        <f aca="false">IF($B22="","",IF(Concurso!U10="","",Concurso!U10))</f>
        <v>Em andamento</v>
      </c>
      <c r="D22" s="52" t="n">
        <f aca="false">IF($B22="","",IF(Concurso!I10="","",Concurso!I10))</f>
        <v>46280</v>
      </c>
      <c r="E22" s="52" t="n">
        <f aca="false">IF($B22="","",IF(Concurso!J10&lt;&gt;"",Concurso!J10,IF(Concurso!K10&lt;&gt;"",Concurso!K10,"")))</f>
        <v>46446</v>
      </c>
      <c r="F22" s="52" t="n">
        <f aca="false">IF($B22="","",IF(Concurso!K10="","",Concurso!K10))</f>
        <v>46568</v>
      </c>
      <c r="G22" s="38" t="n">
        <f aca="false">IF($B22="","",Concurso!P10)</f>
        <v>0.25</v>
      </c>
      <c r="H22" s="82" t="str">
        <f aca="false">IF(OR($B22="",$F22=""),"",IF(AND($F22&gt;=H$7,$F22&lt;EDATE(H$7,1)),"▼",""))</f>
        <v/>
      </c>
      <c r="I22" s="82" t="str">
        <f aca="false">IF(OR($B22="",$F22=""),"",IF(AND($F22&gt;=I$7,$F22&lt;EDATE(I$7,1)),"▼",""))</f>
        <v/>
      </c>
      <c r="J22" s="82" t="str">
        <f aca="false">IF(OR($B22="",$F22=""),"",IF(AND($F22&gt;=J$7,$F22&lt;EDATE(J$7,1)),"▼",""))</f>
        <v/>
      </c>
      <c r="K22" s="82" t="str">
        <f aca="false">IF(OR($B22="",$F22=""),"",IF(AND($F22&gt;=K$7,$F22&lt;EDATE(K$7,1)),"▼",""))</f>
        <v/>
      </c>
      <c r="L22" s="82" t="str">
        <f aca="false">IF(OR($B22="",$F22=""),"",IF(AND($F22&gt;=L$7,$F22&lt;EDATE(L$7,1)),"▼",""))</f>
        <v/>
      </c>
      <c r="M22" s="82" t="str">
        <f aca="false">IF(OR($B22="",$F22=""),"",IF(AND($F22&gt;=M$7,$F22&lt;EDATE(M$7,1)),"▼",""))</f>
        <v/>
      </c>
      <c r="N22" s="82" t="str">
        <f aca="false">IF(OR($B22="",$F22=""),"",IF(AND($F22&gt;=N$7,$F22&lt;EDATE(N$7,1)),"▼",""))</f>
        <v/>
      </c>
      <c r="O22" s="82" t="str">
        <f aca="false">IF(OR($B22="",$F22=""),"",IF(AND($F22&gt;=O$7,$F22&lt;EDATE(O$7,1)),"▼",""))</f>
        <v/>
      </c>
      <c r="P22" s="82" t="str">
        <f aca="false">IF(OR($B22="",$F22=""),"",IF(AND($F22&gt;=P$7,$F22&lt;EDATE(P$7,1)),"▼",""))</f>
        <v>▼</v>
      </c>
      <c r="Q22" s="82" t="str">
        <f aca="false">IF(OR($B22="",$F22=""),"",IF(AND($F22&gt;=Q$7,$F22&lt;EDATE(Q$7,1)),"▼",""))</f>
        <v/>
      </c>
      <c r="R22" s="82" t="str">
        <f aca="false">IF(OR($B22="",$F22=""),"",IF(AND($F22&gt;=R$7,$F22&lt;EDATE(R$7,1)),"▼",""))</f>
        <v/>
      </c>
      <c r="S22" s="82" t="str">
        <f aca="false">IF(OR($B22="",$F22=""),"",IF(AND($F22&gt;=S$7,$F22&lt;EDATE(S$7,1)),"▼",""))</f>
        <v/>
      </c>
    </row>
    <row r="23" customFormat="false" ht="19.5" hidden="false" customHeight="true" outlineLevel="0" collapsed="false">
      <c r="A23" s="50" t="str">
        <f aca="false">IF($B23="","","Concurso")</f>
        <v/>
      </c>
      <c r="B23" s="13" t="str">
        <f aca="false">IF(Concurso!B11="","",Concurso!B11)</f>
        <v/>
      </c>
      <c r="C23" s="81" t="str">
        <f aca="false">IF($B23="","",IF(Concurso!U11="","",Concurso!U11))</f>
        <v/>
      </c>
      <c r="D23" s="52" t="str">
        <f aca="false">IF($B23="","",IF(Concurso!I11="","",Concurso!I11))</f>
        <v/>
      </c>
      <c r="E23" s="52" t="str">
        <f aca="false">IF($B23="","",IF(Concurso!J11&lt;&gt;"",Concurso!J11,IF(Concurso!K11&lt;&gt;"",Concurso!K11,"")))</f>
        <v/>
      </c>
      <c r="F23" s="52" t="str">
        <f aca="false">IF($B23="","",IF(Concurso!K11="","",Concurso!K11))</f>
        <v/>
      </c>
      <c r="G23" s="38" t="str">
        <f aca="false">IF($B23="","",Concurso!P11)</f>
        <v/>
      </c>
      <c r="H23" s="82" t="str">
        <f aca="false">IF(OR($B23="",$F23=""),"",IF(AND($F23&gt;=H$7,$F23&lt;EDATE(H$7,1)),"▼",""))</f>
        <v/>
      </c>
      <c r="I23" s="82" t="str">
        <f aca="false">IF(OR($B23="",$F23=""),"",IF(AND($F23&gt;=I$7,$F23&lt;EDATE(I$7,1)),"▼",""))</f>
        <v/>
      </c>
      <c r="J23" s="82" t="str">
        <f aca="false">IF(OR($B23="",$F23=""),"",IF(AND($F23&gt;=J$7,$F23&lt;EDATE(J$7,1)),"▼",""))</f>
        <v/>
      </c>
      <c r="K23" s="82" t="str">
        <f aca="false">IF(OR($B23="",$F23=""),"",IF(AND($F23&gt;=K$7,$F23&lt;EDATE(K$7,1)),"▼",""))</f>
        <v/>
      </c>
      <c r="L23" s="82" t="str">
        <f aca="false">IF(OR($B23="",$F23=""),"",IF(AND($F23&gt;=L$7,$F23&lt;EDATE(L$7,1)),"▼",""))</f>
        <v/>
      </c>
      <c r="M23" s="82" t="str">
        <f aca="false">IF(OR($B23="",$F23=""),"",IF(AND($F23&gt;=M$7,$F23&lt;EDATE(M$7,1)),"▼",""))</f>
        <v/>
      </c>
      <c r="N23" s="82" t="str">
        <f aca="false">IF(OR($B23="",$F23=""),"",IF(AND($F23&gt;=N$7,$F23&lt;EDATE(N$7,1)),"▼",""))</f>
        <v/>
      </c>
      <c r="O23" s="82" t="str">
        <f aca="false">IF(OR($B23="",$F23=""),"",IF(AND($F23&gt;=O$7,$F23&lt;EDATE(O$7,1)),"▼",""))</f>
        <v/>
      </c>
      <c r="P23" s="82" t="str">
        <f aca="false">IF(OR($B23="",$F23=""),"",IF(AND($F23&gt;=P$7,$F23&lt;EDATE(P$7,1)),"▼",""))</f>
        <v/>
      </c>
      <c r="Q23" s="82" t="str">
        <f aca="false">IF(OR($B23="",$F23=""),"",IF(AND($F23&gt;=Q$7,$F23&lt;EDATE(Q$7,1)),"▼",""))</f>
        <v/>
      </c>
      <c r="R23" s="82" t="str">
        <f aca="false">IF(OR($B23="",$F23=""),"",IF(AND($F23&gt;=R$7,$F23&lt;EDATE(R$7,1)),"▼",""))</f>
        <v/>
      </c>
      <c r="S23" s="82" t="str">
        <f aca="false">IF(OR($B23="",$F23=""),"",IF(AND($F23&gt;=S$7,$F23&lt;EDATE(S$7,1)),"▼",""))</f>
        <v/>
      </c>
    </row>
    <row r="24" customFormat="false" ht="19.5" hidden="false" customHeight="true" outlineLevel="0" collapsed="false">
      <c r="A24" s="50" t="str">
        <f aca="false">IF($B24="","","Concurso")</f>
        <v/>
      </c>
      <c r="B24" s="13" t="str">
        <f aca="false">IF(Concurso!B12="","",Concurso!B12)</f>
        <v/>
      </c>
      <c r="C24" s="81" t="str">
        <f aca="false">IF($B24="","",IF(Concurso!U12="","",Concurso!U12))</f>
        <v/>
      </c>
      <c r="D24" s="52" t="str">
        <f aca="false">IF($B24="","",IF(Concurso!I12="","",Concurso!I12))</f>
        <v/>
      </c>
      <c r="E24" s="52" t="str">
        <f aca="false">IF($B24="","",IF(Concurso!J12&lt;&gt;"",Concurso!J12,IF(Concurso!K12&lt;&gt;"",Concurso!K12,"")))</f>
        <v/>
      </c>
      <c r="F24" s="52" t="str">
        <f aca="false">IF($B24="","",IF(Concurso!K12="","",Concurso!K12))</f>
        <v/>
      </c>
      <c r="G24" s="38" t="str">
        <f aca="false">IF($B24="","",Concurso!P12)</f>
        <v/>
      </c>
      <c r="H24" s="82" t="str">
        <f aca="false">IF(OR($B24="",$F24=""),"",IF(AND($F24&gt;=H$7,$F24&lt;EDATE(H$7,1)),"▼",""))</f>
        <v/>
      </c>
      <c r="I24" s="82" t="str">
        <f aca="false">IF(OR($B24="",$F24=""),"",IF(AND($F24&gt;=I$7,$F24&lt;EDATE(I$7,1)),"▼",""))</f>
        <v/>
      </c>
      <c r="J24" s="82" t="str">
        <f aca="false">IF(OR($B24="",$F24=""),"",IF(AND($F24&gt;=J$7,$F24&lt;EDATE(J$7,1)),"▼",""))</f>
        <v/>
      </c>
      <c r="K24" s="82" t="str">
        <f aca="false">IF(OR($B24="",$F24=""),"",IF(AND($F24&gt;=K$7,$F24&lt;EDATE(K$7,1)),"▼",""))</f>
        <v/>
      </c>
      <c r="L24" s="82" t="str">
        <f aca="false">IF(OR($B24="",$F24=""),"",IF(AND($F24&gt;=L$7,$F24&lt;EDATE(L$7,1)),"▼",""))</f>
        <v/>
      </c>
      <c r="M24" s="82" t="str">
        <f aca="false">IF(OR($B24="",$F24=""),"",IF(AND($F24&gt;=M$7,$F24&lt;EDATE(M$7,1)),"▼",""))</f>
        <v/>
      </c>
      <c r="N24" s="82" t="str">
        <f aca="false">IF(OR($B24="",$F24=""),"",IF(AND($F24&gt;=N$7,$F24&lt;EDATE(N$7,1)),"▼",""))</f>
        <v/>
      </c>
      <c r="O24" s="82" t="str">
        <f aca="false">IF(OR($B24="",$F24=""),"",IF(AND($F24&gt;=O$7,$F24&lt;EDATE(O$7,1)),"▼",""))</f>
        <v/>
      </c>
      <c r="P24" s="82" t="str">
        <f aca="false">IF(OR($B24="",$F24=""),"",IF(AND($F24&gt;=P$7,$F24&lt;EDATE(P$7,1)),"▼",""))</f>
        <v/>
      </c>
      <c r="Q24" s="82" t="str">
        <f aca="false">IF(OR($B24="",$F24=""),"",IF(AND($F24&gt;=Q$7,$F24&lt;EDATE(Q$7,1)),"▼",""))</f>
        <v/>
      </c>
      <c r="R24" s="82" t="str">
        <f aca="false">IF(OR($B24="",$F24=""),"",IF(AND($F24&gt;=R$7,$F24&lt;EDATE(R$7,1)),"▼",""))</f>
        <v/>
      </c>
      <c r="S24" s="82" t="str">
        <f aca="false">IF(OR($B24="",$F24=""),"",IF(AND($F24&gt;=S$7,$F24&lt;EDATE(S$7,1)),"▼",""))</f>
        <v/>
      </c>
    </row>
    <row r="25" customFormat="false" ht="19.5" hidden="false" customHeight="true" outlineLevel="0" collapsed="false">
      <c r="A25" s="50" t="str">
        <f aca="false">IF($B25="","","Concurso")</f>
        <v/>
      </c>
      <c r="B25" s="13" t="str">
        <f aca="false">IF(Concurso!B13="","",Concurso!B13)</f>
        <v/>
      </c>
      <c r="C25" s="81" t="str">
        <f aca="false">IF($B25="","",IF(Concurso!U13="","",Concurso!U13))</f>
        <v/>
      </c>
      <c r="D25" s="52" t="str">
        <f aca="false">IF($B25="","",IF(Concurso!I13="","",Concurso!I13))</f>
        <v/>
      </c>
      <c r="E25" s="52" t="str">
        <f aca="false">IF($B25="","",IF(Concurso!J13&lt;&gt;"",Concurso!J13,IF(Concurso!K13&lt;&gt;"",Concurso!K13,"")))</f>
        <v/>
      </c>
      <c r="F25" s="52" t="str">
        <f aca="false">IF($B25="","",IF(Concurso!K13="","",Concurso!K13))</f>
        <v/>
      </c>
      <c r="G25" s="38" t="str">
        <f aca="false">IF($B25="","",Concurso!P13)</f>
        <v/>
      </c>
      <c r="H25" s="82" t="str">
        <f aca="false">IF(OR($B25="",$F25=""),"",IF(AND($F25&gt;=H$7,$F25&lt;EDATE(H$7,1)),"▼",""))</f>
        <v/>
      </c>
      <c r="I25" s="82" t="str">
        <f aca="false">IF(OR($B25="",$F25=""),"",IF(AND($F25&gt;=I$7,$F25&lt;EDATE(I$7,1)),"▼",""))</f>
        <v/>
      </c>
      <c r="J25" s="82" t="str">
        <f aca="false">IF(OR($B25="",$F25=""),"",IF(AND($F25&gt;=J$7,$F25&lt;EDATE(J$7,1)),"▼",""))</f>
        <v/>
      </c>
      <c r="K25" s="82" t="str">
        <f aca="false">IF(OR($B25="",$F25=""),"",IF(AND($F25&gt;=K$7,$F25&lt;EDATE(K$7,1)),"▼",""))</f>
        <v/>
      </c>
      <c r="L25" s="82" t="str">
        <f aca="false">IF(OR($B25="",$F25=""),"",IF(AND($F25&gt;=L$7,$F25&lt;EDATE(L$7,1)),"▼",""))</f>
        <v/>
      </c>
      <c r="M25" s="82" t="str">
        <f aca="false">IF(OR($B25="",$F25=""),"",IF(AND($F25&gt;=M$7,$F25&lt;EDATE(M$7,1)),"▼",""))</f>
        <v/>
      </c>
      <c r="N25" s="82" t="str">
        <f aca="false">IF(OR($B25="",$F25=""),"",IF(AND($F25&gt;=N$7,$F25&lt;EDATE(N$7,1)),"▼",""))</f>
        <v/>
      </c>
      <c r="O25" s="82" t="str">
        <f aca="false">IF(OR($B25="",$F25=""),"",IF(AND($F25&gt;=O$7,$F25&lt;EDATE(O$7,1)),"▼",""))</f>
        <v/>
      </c>
      <c r="P25" s="82" t="str">
        <f aca="false">IF(OR($B25="",$F25=""),"",IF(AND($F25&gt;=P$7,$F25&lt;EDATE(P$7,1)),"▼",""))</f>
        <v/>
      </c>
      <c r="Q25" s="82" t="str">
        <f aca="false">IF(OR($B25="",$F25=""),"",IF(AND($F25&gt;=Q$7,$F25&lt;EDATE(Q$7,1)),"▼",""))</f>
        <v/>
      </c>
      <c r="R25" s="82" t="str">
        <f aca="false">IF(OR($B25="",$F25=""),"",IF(AND($F25&gt;=R$7,$F25&lt;EDATE(R$7,1)),"▼",""))</f>
        <v/>
      </c>
      <c r="S25" s="82" t="str">
        <f aca="false">IF(OR($B25="",$F25=""),"",IF(AND($F25&gt;=S$7,$F25&lt;EDATE(S$7,1)),"▼",""))</f>
        <v/>
      </c>
    </row>
    <row r="26" customFormat="false" ht="19.5" hidden="false" customHeight="true" outlineLevel="0" collapsed="false">
      <c r="A26" s="50" t="str">
        <f aca="false">IF($B26="","","Concurso")</f>
        <v/>
      </c>
      <c r="B26" s="13" t="str">
        <f aca="false">IF(Concurso!B14="","",Concurso!B14)</f>
        <v/>
      </c>
      <c r="C26" s="81" t="str">
        <f aca="false">IF($B26="","",IF(Concurso!U14="","",Concurso!U14))</f>
        <v/>
      </c>
      <c r="D26" s="52" t="str">
        <f aca="false">IF($B26="","",IF(Concurso!I14="","",Concurso!I14))</f>
        <v/>
      </c>
      <c r="E26" s="52" t="str">
        <f aca="false">IF($B26="","",IF(Concurso!J14&lt;&gt;"",Concurso!J14,IF(Concurso!K14&lt;&gt;"",Concurso!K14,"")))</f>
        <v/>
      </c>
      <c r="F26" s="52" t="str">
        <f aca="false">IF($B26="","",IF(Concurso!K14="","",Concurso!K14))</f>
        <v/>
      </c>
      <c r="G26" s="38" t="str">
        <f aca="false">IF($B26="","",Concurso!P14)</f>
        <v/>
      </c>
      <c r="H26" s="82" t="str">
        <f aca="false">IF(OR($B26="",$F26=""),"",IF(AND($F26&gt;=H$7,$F26&lt;EDATE(H$7,1)),"▼",""))</f>
        <v/>
      </c>
      <c r="I26" s="82" t="str">
        <f aca="false">IF(OR($B26="",$F26=""),"",IF(AND($F26&gt;=I$7,$F26&lt;EDATE(I$7,1)),"▼",""))</f>
        <v/>
      </c>
      <c r="J26" s="82" t="str">
        <f aca="false">IF(OR($B26="",$F26=""),"",IF(AND($F26&gt;=J$7,$F26&lt;EDATE(J$7,1)),"▼",""))</f>
        <v/>
      </c>
      <c r="K26" s="82" t="str">
        <f aca="false">IF(OR($B26="",$F26=""),"",IF(AND($F26&gt;=K$7,$F26&lt;EDATE(K$7,1)),"▼",""))</f>
        <v/>
      </c>
      <c r="L26" s="82" t="str">
        <f aca="false">IF(OR($B26="",$F26=""),"",IF(AND($F26&gt;=L$7,$F26&lt;EDATE(L$7,1)),"▼",""))</f>
        <v/>
      </c>
      <c r="M26" s="82" t="str">
        <f aca="false">IF(OR($B26="",$F26=""),"",IF(AND($F26&gt;=M$7,$F26&lt;EDATE(M$7,1)),"▼",""))</f>
        <v/>
      </c>
      <c r="N26" s="82" t="str">
        <f aca="false">IF(OR($B26="",$F26=""),"",IF(AND($F26&gt;=N$7,$F26&lt;EDATE(N$7,1)),"▼",""))</f>
        <v/>
      </c>
      <c r="O26" s="82" t="str">
        <f aca="false">IF(OR($B26="",$F26=""),"",IF(AND($F26&gt;=O$7,$F26&lt;EDATE(O$7,1)),"▼",""))</f>
        <v/>
      </c>
      <c r="P26" s="82" t="str">
        <f aca="false">IF(OR($B26="",$F26=""),"",IF(AND($F26&gt;=P$7,$F26&lt;EDATE(P$7,1)),"▼",""))</f>
        <v/>
      </c>
      <c r="Q26" s="82" t="str">
        <f aca="false">IF(OR($B26="",$F26=""),"",IF(AND($F26&gt;=Q$7,$F26&lt;EDATE(Q$7,1)),"▼",""))</f>
        <v/>
      </c>
      <c r="R26" s="82" t="str">
        <f aca="false">IF(OR($B26="",$F26=""),"",IF(AND($F26&gt;=R$7,$F26&lt;EDATE(R$7,1)),"▼",""))</f>
        <v/>
      </c>
      <c r="S26" s="82" t="str">
        <f aca="false">IF(OR($B26="",$F26=""),"",IF(AND($F26&gt;=S$7,$F26&lt;EDATE(S$7,1)),"▼",""))</f>
        <v/>
      </c>
    </row>
    <row r="27" customFormat="false" ht="19.5" hidden="false" customHeight="true" outlineLevel="0" collapsed="false">
      <c r="A27" s="50" t="str">
        <f aca="false">IF($B27="","","Concurso")</f>
        <v/>
      </c>
      <c r="B27" s="13" t="str">
        <f aca="false">IF(Concurso!B15="","",Concurso!B15)</f>
        <v/>
      </c>
      <c r="C27" s="81" t="str">
        <f aca="false">IF($B27="","",IF(Concurso!U15="","",Concurso!U15))</f>
        <v/>
      </c>
      <c r="D27" s="52" t="str">
        <f aca="false">IF($B27="","",IF(Concurso!I15="","",Concurso!I15))</f>
        <v/>
      </c>
      <c r="E27" s="52" t="str">
        <f aca="false">IF($B27="","",IF(Concurso!J15&lt;&gt;"",Concurso!J15,IF(Concurso!K15&lt;&gt;"",Concurso!K15,"")))</f>
        <v/>
      </c>
      <c r="F27" s="52" t="str">
        <f aca="false">IF($B27="","",IF(Concurso!K15="","",Concurso!K15))</f>
        <v/>
      </c>
      <c r="G27" s="38" t="str">
        <f aca="false">IF($B27="","",Concurso!P15)</f>
        <v/>
      </c>
      <c r="H27" s="82" t="str">
        <f aca="false">IF(OR($B27="",$F27=""),"",IF(AND($F27&gt;=H$7,$F27&lt;EDATE(H$7,1)),"▼",""))</f>
        <v/>
      </c>
      <c r="I27" s="82" t="str">
        <f aca="false">IF(OR($B27="",$F27=""),"",IF(AND($F27&gt;=I$7,$F27&lt;EDATE(I$7,1)),"▼",""))</f>
        <v/>
      </c>
      <c r="J27" s="82" t="str">
        <f aca="false">IF(OR($B27="",$F27=""),"",IF(AND($F27&gt;=J$7,$F27&lt;EDATE(J$7,1)),"▼",""))</f>
        <v/>
      </c>
      <c r="K27" s="82" t="str">
        <f aca="false">IF(OR($B27="",$F27=""),"",IF(AND($F27&gt;=K$7,$F27&lt;EDATE(K$7,1)),"▼",""))</f>
        <v/>
      </c>
      <c r="L27" s="82" t="str">
        <f aca="false">IF(OR($B27="",$F27=""),"",IF(AND($F27&gt;=L$7,$F27&lt;EDATE(L$7,1)),"▼",""))</f>
        <v/>
      </c>
      <c r="M27" s="82" t="str">
        <f aca="false">IF(OR($B27="",$F27=""),"",IF(AND($F27&gt;=M$7,$F27&lt;EDATE(M$7,1)),"▼",""))</f>
        <v/>
      </c>
      <c r="N27" s="82" t="str">
        <f aca="false">IF(OR($B27="",$F27=""),"",IF(AND($F27&gt;=N$7,$F27&lt;EDATE(N$7,1)),"▼",""))</f>
        <v/>
      </c>
      <c r="O27" s="82" t="str">
        <f aca="false">IF(OR($B27="",$F27=""),"",IF(AND($F27&gt;=O$7,$F27&lt;EDATE(O$7,1)),"▼",""))</f>
        <v/>
      </c>
      <c r="P27" s="82" t="str">
        <f aca="false">IF(OR($B27="",$F27=""),"",IF(AND($F27&gt;=P$7,$F27&lt;EDATE(P$7,1)),"▼",""))</f>
        <v/>
      </c>
      <c r="Q27" s="82" t="str">
        <f aca="false">IF(OR($B27="",$F27=""),"",IF(AND($F27&gt;=Q$7,$F27&lt;EDATE(Q$7,1)),"▼",""))</f>
        <v/>
      </c>
      <c r="R27" s="82" t="str">
        <f aca="false">IF(OR($B27="",$F27=""),"",IF(AND($F27&gt;=R$7,$F27&lt;EDATE(R$7,1)),"▼",""))</f>
        <v/>
      </c>
      <c r="S27" s="82" t="str">
        <f aca="false">IF(OR($B27="",$F27=""),"",IF(AND($F27&gt;=S$7,$F27&lt;EDATE(S$7,1)),"▼",""))</f>
        <v/>
      </c>
    </row>
    <row r="28" customFormat="false" ht="19.5" hidden="false" customHeight="true" outlineLevel="0" collapsed="false">
      <c r="A28" s="50" t="str">
        <f aca="false">IF($B28="","","Concurso")</f>
        <v/>
      </c>
      <c r="B28" s="13" t="str">
        <f aca="false">IF(Concurso!B16="","",Concurso!B16)</f>
        <v/>
      </c>
      <c r="C28" s="81" t="str">
        <f aca="false">IF($B28="","",IF(Concurso!U16="","",Concurso!U16))</f>
        <v/>
      </c>
      <c r="D28" s="52" t="str">
        <f aca="false">IF($B28="","",IF(Concurso!I16="","",Concurso!I16))</f>
        <v/>
      </c>
      <c r="E28" s="52" t="str">
        <f aca="false">IF($B28="","",IF(Concurso!J16&lt;&gt;"",Concurso!J16,IF(Concurso!K16&lt;&gt;"",Concurso!K16,"")))</f>
        <v/>
      </c>
      <c r="F28" s="52" t="str">
        <f aca="false">IF($B28="","",IF(Concurso!K16="","",Concurso!K16))</f>
        <v/>
      </c>
      <c r="G28" s="38" t="str">
        <f aca="false">IF($B28="","",Concurso!P16)</f>
        <v/>
      </c>
      <c r="H28" s="82" t="str">
        <f aca="false">IF(OR($B28="",$F28=""),"",IF(AND($F28&gt;=H$7,$F28&lt;EDATE(H$7,1)),"▼",""))</f>
        <v/>
      </c>
      <c r="I28" s="82" t="str">
        <f aca="false">IF(OR($B28="",$F28=""),"",IF(AND($F28&gt;=I$7,$F28&lt;EDATE(I$7,1)),"▼",""))</f>
        <v/>
      </c>
      <c r="J28" s="82" t="str">
        <f aca="false">IF(OR($B28="",$F28=""),"",IF(AND($F28&gt;=J$7,$F28&lt;EDATE(J$7,1)),"▼",""))</f>
        <v/>
      </c>
      <c r="K28" s="82" t="str">
        <f aca="false">IF(OR($B28="",$F28=""),"",IF(AND($F28&gt;=K$7,$F28&lt;EDATE(K$7,1)),"▼",""))</f>
        <v/>
      </c>
      <c r="L28" s="82" t="str">
        <f aca="false">IF(OR($B28="",$F28=""),"",IF(AND($F28&gt;=L$7,$F28&lt;EDATE(L$7,1)),"▼",""))</f>
        <v/>
      </c>
      <c r="M28" s="82" t="str">
        <f aca="false">IF(OR($B28="",$F28=""),"",IF(AND($F28&gt;=M$7,$F28&lt;EDATE(M$7,1)),"▼",""))</f>
        <v/>
      </c>
      <c r="N28" s="82" t="str">
        <f aca="false">IF(OR($B28="",$F28=""),"",IF(AND($F28&gt;=N$7,$F28&lt;EDATE(N$7,1)),"▼",""))</f>
        <v/>
      </c>
      <c r="O28" s="82" t="str">
        <f aca="false">IF(OR($B28="",$F28=""),"",IF(AND($F28&gt;=O$7,$F28&lt;EDATE(O$7,1)),"▼",""))</f>
        <v/>
      </c>
      <c r="P28" s="82" t="str">
        <f aca="false">IF(OR($B28="",$F28=""),"",IF(AND($F28&gt;=P$7,$F28&lt;EDATE(P$7,1)),"▼",""))</f>
        <v/>
      </c>
      <c r="Q28" s="82" t="str">
        <f aca="false">IF(OR($B28="",$F28=""),"",IF(AND($F28&gt;=Q$7,$F28&lt;EDATE(Q$7,1)),"▼",""))</f>
        <v/>
      </c>
      <c r="R28" s="82" t="str">
        <f aca="false">IF(OR($B28="",$F28=""),"",IF(AND($F28&gt;=R$7,$F28&lt;EDATE(R$7,1)),"▼",""))</f>
        <v/>
      </c>
      <c r="S28" s="82" t="str">
        <f aca="false">IF(OR($B28="",$F28=""),"",IF(AND($F28&gt;=S$7,$F28&lt;EDATE(S$7,1)),"▼",""))</f>
        <v/>
      </c>
    </row>
    <row r="29" customFormat="false" ht="19.5" hidden="false" customHeight="true" outlineLevel="0" collapsed="false">
      <c r="A29" s="50" t="str">
        <f aca="false">IF($B29="","","Concurso")</f>
        <v/>
      </c>
      <c r="B29" s="13" t="str">
        <f aca="false">IF(Concurso!B17="","",Concurso!B17)</f>
        <v/>
      </c>
      <c r="C29" s="81" t="str">
        <f aca="false">IF($B29="","",IF(Concurso!U17="","",Concurso!U17))</f>
        <v/>
      </c>
      <c r="D29" s="52" t="str">
        <f aca="false">IF($B29="","",IF(Concurso!I17="","",Concurso!I17))</f>
        <v/>
      </c>
      <c r="E29" s="52" t="str">
        <f aca="false">IF($B29="","",IF(Concurso!J17&lt;&gt;"",Concurso!J17,IF(Concurso!K17&lt;&gt;"",Concurso!K17,"")))</f>
        <v/>
      </c>
      <c r="F29" s="52" t="str">
        <f aca="false">IF($B29="","",IF(Concurso!K17="","",Concurso!K17))</f>
        <v/>
      </c>
      <c r="G29" s="38" t="str">
        <f aca="false">IF($B29="","",Concurso!P17)</f>
        <v/>
      </c>
      <c r="H29" s="82" t="str">
        <f aca="false">IF(OR($B29="",$F29=""),"",IF(AND($F29&gt;=H$7,$F29&lt;EDATE(H$7,1)),"▼",""))</f>
        <v/>
      </c>
      <c r="I29" s="82" t="str">
        <f aca="false">IF(OR($B29="",$F29=""),"",IF(AND($F29&gt;=I$7,$F29&lt;EDATE(I$7,1)),"▼",""))</f>
        <v/>
      </c>
      <c r="J29" s="82" t="str">
        <f aca="false">IF(OR($B29="",$F29=""),"",IF(AND($F29&gt;=J$7,$F29&lt;EDATE(J$7,1)),"▼",""))</f>
        <v/>
      </c>
      <c r="K29" s="82" t="str">
        <f aca="false">IF(OR($B29="",$F29=""),"",IF(AND($F29&gt;=K$7,$F29&lt;EDATE(K$7,1)),"▼",""))</f>
        <v/>
      </c>
      <c r="L29" s="82" t="str">
        <f aca="false">IF(OR($B29="",$F29=""),"",IF(AND($F29&gt;=L$7,$F29&lt;EDATE(L$7,1)),"▼",""))</f>
        <v/>
      </c>
      <c r="M29" s="82" t="str">
        <f aca="false">IF(OR($B29="",$F29=""),"",IF(AND($F29&gt;=M$7,$F29&lt;EDATE(M$7,1)),"▼",""))</f>
        <v/>
      </c>
      <c r="N29" s="82" t="str">
        <f aca="false">IF(OR($B29="",$F29=""),"",IF(AND($F29&gt;=N$7,$F29&lt;EDATE(N$7,1)),"▼",""))</f>
        <v/>
      </c>
      <c r="O29" s="82" t="str">
        <f aca="false">IF(OR($B29="",$F29=""),"",IF(AND($F29&gt;=O$7,$F29&lt;EDATE(O$7,1)),"▼",""))</f>
        <v/>
      </c>
      <c r="P29" s="82" t="str">
        <f aca="false">IF(OR($B29="",$F29=""),"",IF(AND($F29&gt;=P$7,$F29&lt;EDATE(P$7,1)),"▼",""))</f>
        <v/>
      </c>
      <c r="Q29" s="82" t="str">
        <f aca="false">IF(OR($B29="",$F29=""),"",IF(AND($F29&gt;=Q$7,$F29&lt;EDATE(Q$7,1)),"▼",""))</f>
        <v/>
      </c>
      <c r="R29" s="82" t="str">
        <f aca="false">IF(OR($B29="",$F29=""),"",IF(AND($F29&gt;=R$7,$F29&lt;EDATE(R$7,1)),"▼",""))</f>
        <v/>
      </c>
      <c r="S29" s="82" t="str">
        <f aca="false">IF(OR($B29="",$F29=""),"",IF(AND($F29&gt;=S$7,$F29&lt;EDATE(S$7,1)),"▼",""))</f>
        <v/>
      </c>
    </row>
    <row r="30" customFormat="false" ht="19.5" hidden="false" customHeight="true" outlineLevel="0" collapsed="false">
      <c r="A30" s="50" t="str">
        <f aca="false">IF($B30="","","Concurso")</f>
        <v/>
      </c>
      <c r="B30" s="13" t="str">
        <f aca="false">IF(Concurso!B18="","",Concurso!B18)</f>
        <v/>
      </c>
      <c r="C30" s="81" t="str">
        <f aca="false">IF($B30="","",IF(Concurso!U18="","",Concurso!U18))</f>
        <v/>
      </c>
      <c r="D30" s="52" t="str">
        <f aca="false">IF($B30="","",IF(Concurso!I18="","",Concurso!I18))</f>
        <v/>
      </c>
      <c r="E30" s="52" t="str">
        <f aca="false">IF($B30="","",IF(Concurso!J18&lt;&gt;"",Concurso!J18,IF(Concurso!K18&lt;&gt;"",Concurso!K18,"")))</f>
        <v/>
      </c>
      <c r="F30" s="52" t="str">
        <f aca="false">IF($B30="","",IF(Concurso!K18="","",Concurso!K18))</f>
        <v/>
      </c>
      <c r="G30" s="38" t="str">
        <f aca="false">IF($B30="","",Concurso!P18)</f>
        <v/>
      </c>
      <c r="H30" s="82" t="str">
        <f aca="false">IF(OR($B30="",$F30=""),"",IF(AND($F30&gt;=H$7,$F30&lt;EDATE(H$7,1)),"▼",""))</f>
        <v/>
      </c>
      <c r="I30" s="82" t="str">
        <f aca="false">IF(OR($B30="",$F30=""),"",IF(AND($F30&gt;=I$7,$F30&lt;EDATE(I$7,1)),"▼",""))</f>
        <v/>
      </c>
      <c r="J30" s="82" t="str">
        <f aca="false">IF(OR($B30="",$F30=""),"",IF(AND($F30&gt;=J$7,$F30&lt;EDATE(J$7,1)),"▼",""))</f>
        <v/>
      </c>
      <c r="K30" s="82" t="str">
        <f aca="false">IF(OR($B30="",$F30=""),"",IF(AND($F30&gt;=K$7,$F30&lt;EDATE(K$7,1)),"▼",""))</f>
        <v/>
      </c>
      <c r="L30" s="82" t="str">
        <f aca="false">IF(OR($B30="",$F30=""),"",IF(AND($F30&gt;=L$7,$F30&lt;EDATE(L$7,1)),"▼",""))</f>
        <v/>
      </c>
      <c r="M30" s="82" t="str">
        <f aca="false">IF(OR($B30="",$F30=""),"",IF(AND($F30&gt;=M$7,$F30&lt;EDATE(M$7,1)),"▼",""))</f>
        <v/>
      </c>
      <c r="N30" s="82" t="str">
        <f aca="false">IF(OR($B30="",$F30=""),"",IF(AND($F30&gt;=N$7,$F30&lt;EDATE(N$7,1)),"▼",""))</f>
        <v/>
      </c>
      <c r="O30" s="82" t="str">
        <f aca="false">IF(OR($B30="",$F30=""),"",IF(AND($F30&gt;=O$7,$F30&lt;EDATE(O$7,1)),"▼",""))</f>
        <v/>
      </c>
      <c r="P30" s="82" t="str">
        <f aca="false">IF(OR($B30="",$F30=""),"",IF(AND($F30&gt;=P$7,$F30&lt;EDATE(P$7,1)),"▼",""))</f>
        <v/>
      </c>
      <c r="Q30" s="82" t="str">
        <f aca="false">IF(OR($B30="",$F30=""),"",IF(AND($F30&gt;=Q$7,$F30&lt;EDATE(Q$7,1)),"▼",""))</f>
        <v/>
      </c>
      <c r="R30" s="82" t="str">
        <f aca="false">IF(OR($B30="",$F30=""),"",IF(AND($F30&gt;=R$7,$F30&lt;EDATE(R$7,1)),"▼",""))</f>
        <v/>
      </c>
      <c r="S30" s="82" t="str">
        <f aca="false">IF(OR($B30="",$F30=""),"",IF(AND($F30&gt;=S$7,$F30&lt;EDATE(S$7,1)),"▼",""))</f>
        <v/>
      </c>
    </row>
    <row r="31" customFormat="false" ht="19.5" hidden="false" customHeight="true" outlineLevel="0" collapsed="false">
      <c r="A31" s="50" t="str">
        <f aca="false">IF($B31="","","Concurso")</f>
        <v/>
      </c>
      <c r="B31" s="13" t="str">
        <f aca="false">IF(Concurso!B19="","",Concurso!B19)</f>
        <v/>
      </c>
      <c r="C31" s="81" t="str">
        <f aca="false">IF($B31="","",IF(Concurso!U19="","",Concurso!U19))</f>
        <v/>
      </c>
      <c r="D31" s="52" t="str">
        <f aca="false">IF($B31="","",IF(Concurso!I19="","",Concurso!I19))</f>
        <v/>
      </c>
      <c r="E31" s="52" t="str">
        <f aca="false">IF($B31="","",IF(Concurso!J19&lt;&gt;"",Concurso!J19,IF(Concurso!K19&lt;&gt;"",Concurso!K19,"")))</f>
        <v/>
      </c>
      <c r="F31" s="52" t="str">
        <f aca="false">IF($B31="","",IF(Concurso!K19="","",Concurso!K19))</f>
        <v/>
      </c>
      <c r="G31" s="38" t="str">
        <f aca="false">IF($B31="","",Concurso!P19)</f>
        <v/>
      </c>
      <c r="H31" s="82" t="str">
        <f aca="false">IF(OR($B31="",$F31=""),"",IF(AND($F31&gt;=H$7,$F31&lt;EDATE(H$7,1)),"▼",""))</f>
        <v/>
      </c>
      <c r="I31" s="82" t="str">
        <f aca="false">IF(OR($B31="",$F31=""),"",IF(AND($F31&gt;=I$7,$F31&lt;EDATE(I$7,1)),"▼",""))</f>
        <v/>
      </c>
      <c r="J31" s="82" t="str">
        <f aca="false">IF(OR($B31="",$F31=""),"",IF(AND($F31&gt;=J$7,$F31&lt;EDATE(J$7,1)),"▼",""))</f>
        <v/>
      </c>
      <c r="K31" s="82" t="str">
        <f aca="false">IF(OR($B31="",$F31=""),"",IF(AND($F31&gt;=K$7,$F31&lt;EDATE(K$7,1)),"▼",""))</f>
        <v/>
      </c>
      <c r="L31" s="82" t="str">
        <f aca="false">IF(OR($B31="",$F31=""),"",IF(AND($F31&gt;=L$7,$F31&lt;EDATE(L$7,1)),"▼",""))</f>
        <v/>
      </c>
      <c r="M31" s="82" t="str">
        <f aca="false">IF(OR($B31="",$F31=""),"",IF(AND($F31&gt;=M$7,$F31&lt;EDATE(M$7,1)),"▼",""))</f>
        <v/>
      </c>
      <c r="N31" s="82" t="str">
        <f aca="false">IF(OR($B31="",$F31=""),"",IF(AND($F31&gt;=N$7,$F31&lt;EDATE(N$7,1)),"▼",""))</f>
        <v/>
      </c>
      <c r="O31" s="82" t="str">
        <f aca="false">IF(OR($B31="",$F31=""),"",IF(AND($F31&gt;=O$7,$F31&lt;EDATE(O$7,1)),"▼",""))</f>
        <v/>
      </c>
      <c r="P31" s="82" t="str">
        <f aca="false">IF(OR($B31="",$F31=""),"",IF(AND($F31&gt;=P$7,$F31&lt;EDATE(P$7,1)),"▼",""))</f>
        <v/>
      </c>
      <c r="Q31" s="82" t="str">
        <f aca="false">IF(OR($B31="",$F31=""),"",IF(AND($F31&gt;=Q$7,$F31&lt;EDATE(Q$7,1)),"▼",""))</f>
        <v/>
      </c>
      <c r="R31" s="82" t="str">
        <f aca="false">IF(OR($B31="",$F31=""),"",IF(AND($F31&gt;=R$7,$F31&lt;EDATE(R$7,1)),"▼",""))</f>
        <v/>
      </c>
      <c r="S31" s="82" t="str">
        <f aca="false">IF(OR($B31="",$F31=""),"",IF(AND($F31&gt;=S$7,$F31&lt;EDATE(S$7,1)),"▼",""))</f>
        <v/>
      </c>
    </row>
    <row r="32" customFormat="false" ht="19.5" hidden="false" customHeight="true" outlineLevel="0" collapsed="false">
      <c r="A32" s="50" t="str">
        <f aca="false">IF($B32="","","Concurso")</f>
        <v/>
      </c>
      <c r="B32" s="13" t="str">
        <f aca="false">IF(Concurso!B20="","",Concurso!B20)</f>
        <v/>
      </c>
      <c r="C32" s="81" t="str">
        <f aca="false">IF($B32="","",IF(Concurso!U20="","",Concurso!U20))</f>
        <v/>
      </c>
      <c r="D32" s="52" t="str">
        <f aca="false">IF($B32="","",IF(Concurso!I20="","",Concurso!I20))</f>
        <v/>
      </c>
      <c r="E32" s="52" t="str">
        <f aca="false">IF($B32="","",IF(Concurso!J20&lt;&gt;"",Concurso!J20,IF(Concurso!K20&lt;&gt;"",Concurso!K20,"")))</f>
        <v/>
      </c>
      <c r="F32" s="52" t="str">
        <f aca="false">IF($B32="","",IF(Concurso!K20="","",Concurso!K20))</f>
        <v/>
      </c>
      <c r="G32" s="38" t="str">
        <f aca="false">IF($B32="","",Concurso!P20)</f>
        <v/>
      </c>
      <c r="H32" s="82" t="str">
        <f aca="false">IF(OR($B32="",$F32=""),"",IF(AND($F32&gt;=H$7,$F32&lt;EDATE(H$7,1)),"▼",""))</f>
        <v/>
      </c>
      <c r="I32" s="82" t="str">
        <f aca="false">IF(OR($B32="",$F32=""),"",IF(AND($F32&gt;=I$7,$F32&lt;EDATE(I$7,1)),"▼",""))</f>
        <v/>
      </c>
      <c r="J32" s="82" t="str">
        <f aca="false">IF(OR($B32="",$F32=""),"",IF(AND($F32&gt;=J$7,$F32&lt;EDATE(J$7,1)),"▼",""))</f>
        <v/>
      </c>
      <c r="K32" s="82" t="str">
        <f aca="false">IF(OR($B32="",$F32=""),"",IF(AND($F32&gt;=K$7,$F32&lt;EDATE(K$7,1)),"▼",""))</f>
        <v/>
      </c>
      <c r="L32" s="82" t="str">
        <f aca="false">IF(OR($B32="",$F32=""),"",IF(AND($F32&gt;=L$7,$F32&lt;EDATE(L$7,1)),"▼",""))</f>
        <v/>
      </c>
      <c r="M32" s="82" t="str">
        <f aca="false">IF(OR($B32="",$F32=""),"",IF(AND($F32&gt;=M$7,$F32&lt;EDATE(M$7,1)),"▼",""))</f>
        <v/>
      </c>
      <c r="N32" s="82" t="str">
        <f aca="false">IF(OR($B32="",$F32=""),"",IF(AND($F32&gt;=N$7,$F32&lt;EDATE(N$7,1)),"▼",""))</f>
        <v/>
      </c>
      <c r="O32" s="82" t="str">
        <f aca="false">IF(OR($B32="",$F32=""),"",IF(AND($F32&gt;=O$7,$F32&lt;EDATE(O$7,1)),"▼",""))</f>
        <v/>
      </c>
      <c r="P32" s="82" t="str">
        <f aca="false">IF(OR($B32="",$F32=""),"",IF(AND($F32&gt;=P$7,$F32&lt;EDATE(P$7,1)),"▼",""))</f>
        <v/>
      </c>
      <c r="Q32" s="82" t="str">
        <f aca="false">IF(OR($B32="",$F32=""),"",IF(AND($F32&gt;=Q$7,$F32&lt;EDATE(Q$7,1)),"▼",""))</f>
        <v/>
      </c>
      <c r="R32" s="82" t="str">
        <f aca="false">IF(OR($B32="",$F32=""),"",IF(AND($F32&gt;=R$7,$F32&lt;EDATE(R$7,1)),"▼",""))</f>
        <v/>
      </c>
      <c r="S32" s="82" t="str">
        <f aca="false">IF(OR($B32="",$F32=""),"",IF(AND($F32&gt;=S$7,$F32&lt;EDATE(S$7,1)),"▼",""))</f>
        <v/>
      </c>
    </row>
    <row r="33" customFormat="false" ht="19.5" hidden="false" customHeight="true" outlineLevel="0" collapsed="false">
      <c r="A33" s="50" t="str">
        <f aca="false">IF($B33="","","Concurso")</f>
        <v/>
      </c>
      <c r="B33" s="13" t="str">
        <f aca="false">IF(Concurso!B21="","",Concurso!B21)</f>
        <v/>
      </c>
      <c r="C33" s="81" t="str">
        <f aca="false">IF($B33="","",IF(Concurso!U21="","",Concurso!U21))</f>
        <v/>
      </c>
      <c r="D33" s="52" t="str">
        <f aca="false">IF($B33="","",IF(Concurso!I21="","",Concurso!I21))</f>
        <v/>
      </c>
      <c r="E33" s="52" t="str">
        <f aca="false">IF($B33="","",IF(Concurso!J21&lt;&gt;"",Concurso!J21,IF(Concurso!K21&lt;&gt;"",Concurso!K21,"")))</f>
        <v/>
      </c>
      <c r="F33" s="52" t="str">
        <f aca="false">IF($B33="","",IF(Concurso!K21="","",Concurso!K21))</f>
        <v/>
      </c>
      <c r="G33" s="38" t="str">
        <f aca="false">IF($B33="","",Concurso!P21)</f>
        <v/>
      </c>
      <c r="H33" s="82" t="str">
        <f aca="false">IF(OR($B33="",$F33=""),"",IF(AND($F33&gt;=H$7,$F33&lt;EDATE(H$7,1)),"▼",""))</f>
        <v/>
      </c>
      <c r="I33" s="82" t="str">
        <f aca="false">IF(OR($B33="",$F33=""),"",IF(AND($F33&gt;=I$7,$F33&lt;EDATE(I$7,1)),"▼",""))</f>
        <v/>
      </c>
      <c r="J33" s="82" t="str">
        <f aca="false">IF(OR($B33="",$F33=""),"",IF(AND($F33&gt;=J$7,$F33&lt;EDATE(J$7,1)),"▼",""))</f>
        <v/>
      </c>
      <c r="K33" s="82" t="str">
        <f aca="false">IF(OR($B33="",$F33=""),"",IF(AND($F33&gt;=K$7,$F33&lt;EDATE(K$7,1)),"▼",""))</f>
        <v/>
      </c>
      <c r="L33" s="82" t="str">
        <f aca="false">IF(OR($B33="",$F33=""),"",IF(AND($F33&gt;=L$7,$F33&lt;EDATE(L$7,1)),"▼",""))</f>
        <v/>
      </c>
      <c r="M33" s="82" t="str">
        <f aca="false">IF(OR($B33="",$F33=""),"",IF(AND($F33&gt;=M$7,$F33&lt;EDATE(M$7,1)),"▼",""))</f>
        <v/>
      </c>
      <c r="N33" s="82" t="str">
        <f aca="false">IF(OR($B33="",$F33=""),"",IF(AND($F33&gt;=N$7,$F33&lt;EDATE(N$7,1)),"▼",""))</f>
        <v/>
      </c>
      <c r="O33" s="82" t="str">
        <f aca="false">IF(OR($B33="",$F33=""),"",IF(AND($F33&gt;=O$7,$F33&lt;EDATE(O$7,1)),"▼",""))</f>
        <v/>
      </c>
      <c r="P33" s="82" t="str">
        <f aca="false">IF(OR($B33="",$F33=""),"",IF(AND($F33&gt;=P$7,$F33&lt;EDATE(P$7,1)),"▼",""))</f>
        <v/>
      </c>
      <c r="Q33" s="82" t="str">
        <f aca="false">IF(OR($B33="",$F33=""),"",IF(AND($F33&gt;=Q$7,$F33&lt;EDATE(Q$7,1)),"▼",""))</f>
        <v/>
      </c>
      <c r="R33" s="82" t="str">
        <f aca="false">IF(OR($B33="",$F33=""),"",IF(AND($F33&gt;=R$7,$F33&lt;EDATE(R$7,1)),"▼",""))</f>
        <v/>
      </c>
      <c r="S33" s="82" t="str">
        <f aca="false">IF(OR($B33="",$F33=""),"",IF(AND($F33&gt;=S$7,$F33&lt;EDATE(S$7,1)),"▼",""))</f>
        <v/>
      </c>
    </row>
    <row r="34" customFormat="false" ht="19.5" hidden="false" customHeight="true" outlineLevel="0" collapsed="false">
      <c r="A34" s="83" t="s">
        <v>116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</row>
    <row r="35" customFormat="false" ht="19.5" hidden="false" customHeight="true" outlineLevel="0" collapsed="false">
      <c r="A35" s="50" t="str">
        <f aca="false">IF($B35="","","Livros")</f>
        <v>Livros</v>
      </c>
      <c r="B35" s="13" t="str">
        <f aca="false">IF(Livros!B10="","",Livros!B10)</f>
        <v>Hábitos Atômicos (exemplo)</v>
      </c>
      <c r="C35" s="81" t="str">
        <f aca="false">IF($B35="","",IF(Livros!R10="","",Livros!R10))</f>
        <v>Em andamento</v>
      </c>
      <c r="D35" s="52" t="n">
        <f aca="false">IF($B35="","",IF(Livros!I10="","",Livros!I10))</f>
        <v>46290</v>
      </c>
      <c r="E35" s="52" t="n">
        <f aca="false">IF($B35="","",IF(Livros!J10="","",Livros!J10))</f>
        <v>46341</v>
      </c>
      <c r="F35" s="52" t="str">
        <f aca="false">""</f>
        <v/>
      </c>
      <c r="G35" s="38" t="n">
        <f aca="false">IF($B35="","",Livros!M10)</f>
        <v>0.375</v>
      </c>
      <c r="H35" s="82" t="str">
        <f aca="false">IF(OR($B35="",$F35=""),"",IF(AND($F35&gt;=H$7,$F35&lt;EDATE(H$7,1)),"▼",""))</f>
        <v/>
      </c>
      <c r="I35" s="82" t="str">
        <f aca="false">IF(OR($B35="",$F35=""),"",IF(AND($F35&gt;=I$7,$F35&lt;EDATE(I$7,1)),"▼",""))</f>
        <v/>
      </c>
      <c r="J35" s="82" t="str">
        <f aca="false">IF(OR($B35="",$F35=""),"",IF(AND($F35&gt;=J$7,$F35&lt;EDATE(J$7,1)),"▼",""))</f>
        <v/>
      </c>
      <c r="K35" s="82" t="str">
        <f aca="false">IF(OR($B35="",$F35=""),"",IF(AND($F35&gt;=K$7,$F35&lt;EDATE(K$7,1)),"▼",""))</f>
        <v/>
      </c>
      <c r="L35" s="82" t="str">
        <f aca="false">IF(OR($B35="",$F35=""),"",IF(AND($F35&gt;=L$7,$F35&lt;EDATE(L$7,1)),"▼",""))</f>
        <v/>
      </c>
      <c r="M35" s="82" t="str">
        <f aca="false">IF(OR($B35="",$F35=""),"",IF(AND($F35&gt;=M$7,$F35&lt;EDATE(M$7,1)),"▼",""))</f>
        <v/>
      </c>
      <c r="N35" s="82" t="str">
        <f aca="false">IF(OR($B35="",$F35=""),"",IF(AND($F35&gt;=N$7,$F35&lt;EDATE(N$7,1)),"▼",""))</f>
        <v/>
      </c>
      <c r="O35" s="82" t="str">
        <f aca="false">IF(OR($B35="",$F35=""),"",IF(AND($F35&gt;=O$7,$F35&lt;EDATE(O$7,1)),"▼",""))</f>
        <v/>
      </c>
      <c r="P35" s="82" t="str">
        <f aca="false">IF(OR($B35="",$F35=""),"",IF(AND($F35&gt;=P$7,$F35&lt;EDATE(P$7,1)),"▼",""))</f>
        <v/>
      </c>
      <c r="Q35" s="82" t="str">
        <f aca="false">IF(OR($B35="",$F35=""),"",IF(AND($F35&gt;=Q$7,$F35&lt;EDATE(Q$7,1)),"▼",""))</f>
        <v/>
      </c>
      <c r="R35" s="82" t="str">
        <f aca="false">IF(OR($B35="",$F35=""),"",IF(AND($F35&gt;=R$7,$F35&lt;EDATE(R$7,1)),"▼",""))</f>
        <v/>
      </c>
      <c r="S35" s="82" t="str">
        <f aca="false">IF(OR($B35="",$F35=""),"",IF(AND($F35&gt;=S$7,$F35&lt;EDATE(S$7,1)),"▼",""))</f>
        <v/>
      </c>
    </row>
    <row r="36" customFormat="false" ht="19.5" hidden="false" customHeight="true" outlineLevel="0" collapsed="false">
      <c r="A36" s="50" t="str">
        <f aca="false">IF($B36="","","Livros")</f>
        <v/>
      </c>
      <c r="B36" s="13" t="str">
        <f aca="false">IF(Livros!B11="","",Livros!B11)</f>
        <v/>
      </c>
      <c r="C36" s="81" t="str">
        <f aca="false">IF($B36="","",IF(Livros!R11="","",Livros!R11))</f>
        <v/>
      </c>
      <c r="D36" s="52" t="str">
        <f aca="false">IF($B36="","",IF(Livros!I11="","",Livros!I11))</f>
        <v/>
      </c>
      <c r="E36" s="52" t="str">
        <f aca="false">IF($B36="","",IF(Livros!J11="","",Livros!J11))</f>
        <v/>
      </c>
      <c r="F36" s="52" t="str">
        <f aca="false">""</f>
        <v/>
      </c>
      <c r="G36" s="38" t="str">
        <f aca="false">IF($B36="","",Livros!M11)</f>
        <v/>
      </c>
      <c r="H36" s="82" t="str">
        <f aca="false">IF(OR($B36="",$F36=""),"",IF(AND($F36&gt;=H$7,$F36&lt;EDATE(H$7,1)),"▼",""))</f>
        <v/>
      </c>
      <c r="I36" s="82" t="str">
        <f aca="false">IF(OR($B36="",$F36=""),"",IF(AND($F36&gt;=I$7,$F36&lt;EDATE(I$7,1)),"▼",""))</f>
        <v/>
      </c>
      <c r="J36" s="82" t="str">
        <f aca="false">IF(OR($B36="",$F36=""),"",IF(AND($F36&gt;=J$7,$F36&lt;EDATE(J$7,1)),"▼",""))</f>
        <v/>
      </c>
      <c r="K36" s="82" t="str">
        <f aca="false">IF(OR($B36="",$F36=""),"",IF(AND($F36&gt;=K$7,$F36&lt;EDATE(K$7,1)),"▼",""))</f>
        <v/>
      </c>
      <c r="L36" s="82" t="str">
        <f aca="false">IF(OR($B36="",$F36=""),"",IF(AND($F36&gt;=L$7,$F36&lt;EDATE(L$7,1)),"▼",""))</f>
        <v/>
      </c>
      <c r="M36" s="82" t="str">
        <f aca="false">IF(OR($B36="",$F36=""),"",IF(AND($F36&gt;=M$7,$F36&lt;EDATE(M$7,1)),"▼",""))</f>
        <v/>
      </c>
      <c r="N36" s="82" t="str">
        <f aca="false">IF(OR($B36="",$F36=""),"",IF(AND($F36&gt;=N$7,$F36&lt;EDATE(N$7,1)),"▼",""))</f>
        <v/>
      </c>
      <c r="O36" s="82" t="str">
        <f aca="false">IF(OR($B36="",$F36=""),"",IF(AND($F36&gt;=O$7,$F36&lt;EDATE(O$7,1)),"▼",""))</f>
        <v/>
      </c>
      <c r="P36" s="82" t="str">
        <f aca="false">IF(OR($B36="",$F36=""),"",IF(AND($F36&gt;=P$7,$F36&lt;EDATE(P$7,1)),"▼",""))</f>
        <v/>
      </c>
      <c r="Q36" s="82" t="str">
        <f aca="false">IF(OR($B36="",$F36=""),"",IF(AND($F36&gt;=Q$7,$F36&lt;EDATE(Q$7,1)),"▼",""))</f>
        <v/>
      </c>
      <c r="R36" s="82" t="str">
        <f aca="false">IF(OR($B36="",$F36=""),"",IF(AND($F36&gt;=R$7,$F36&lt;EDATE(R$7,1)),"▼",""))</f>
        <v/>
      </c>
      <c r="S36" s="82" t="str">
        <f aca="false">IF(OR($B36="",$F36=""),"",IF(AND($F36&gt;=S$7,$F36&lt;EDATE(S$7,1)),"▼",""))</f>
        <v/>
      </c>
    </row>
    <row r="37" customFormat="false" ht="19.5" hidden="false" customHeight="true" outlineLevel="0" collapsed="false">
      <c r="A37" s="50" t="str">
        <f aca="false">IF($B37="","","Livros")</f>
        <v/>
      </c>
      <c r="B37" s="13" t="str">
        <f aca="false">IF(Livros!B12="","",Livros!B12)</f>
        <v/>
      </c>
      <c r="C37" s="81" t="str">
        <f aca="false">IF($B37="","",IF(Livros!R12="","",Livros!R12))</f>
        <v/>
      </c>
      <c r="D37" s="52" t="str">
        <f aca="false">IF($B37="","",IF(Livros!I12="","",Livros!I12))</f>
        <v/>
      </c>
      <c r="E37" s="52" t="str">
        <f aca="false">IF($B37="","",IF(Livros!J12="","",Livros!J12))</f>
        <v/>
      </c>
      <c r="F37" s="52" t="str">
        <f aca="false">""</f>
        <v/>
      </c>
      <c r="G37" s="38" t="str">
        <f aca="false">IF($B37="","",Livros!M12)</f>
        <v/>
      </c>
      <c r="H37" s="82" t="str">
        <f aca="false">IF(OR($B37="",$F37=""),"",IF(AND($F37&gt;=H$7,$F37&lt;EDATE(H$7,1)),"▼",""))</f>
        <v/>
      </c>
      <c r="I37" s="82" t="str">
        <f aca="false">IF(OR($B37="",$F37=""),"",IF(AND($F37&gt;=I$7,$F37&lt;EDATE(I$7,1)),"▼",""))</f>
        <v/>
      </c>
      <c r="J37" s="82" t="str">
        <f aca="false">IF(OR($B37="",$F37=""),"",IF(AND($F37&gt;=J$7,$F37&lt;EDATE(J$7,1)),"▼",""))</f>
        <v/>
      </c>
      <c r="K37" s="82" t="str">
        <f aca="false">IF(OR($B37="",$F37=""),"",IF(AND($F37&gt;=K$7,$F37&lt;EDATE(K$7,1)),"▼",""))</f>
        <v/>
      </c>
      <c r="L37" s="82" t="str">
        <f aca="false">IF(OR($B37="",$F37=""),"",IF(AND($F37&gt;=L$7,$F37&lt;EDATE(L$7,1)),"▼",""))</f>
        <v/>
      </c>
      <c r="M37" s="82" t="str">
        <f aca="false">IF(OR($B37="",$F37=""),"",IF(AND($F37&gt;=M$7,$F37&lt;EDATE(M$7,1)),"▼",""))</f>
        <v/>
      </c>
      <c r="N37" s="82" t="str">
        <f aca="false">IF(OR($B37="",$F37=""),"",IF(AND($F37&gt;=N$7,$F37&lt;EDATE(N$7,1)),"▼",""))</f>
        <v/>
      </c>
      <c r="O37" s="82" t="str">
        <f aca="false">IF(OR($B37="",$F37=""),"",IF(AND($F37&gt;=O$7,$F37&lt;EDATE(O$7,1)),"▼",""))</f>
        <v/>
      </c>
      <c r="P37" s="82" t="str">
        <f aca="false">IF(OR($B37="",$F37=""),"",IF(AND($F37&gt;=P$7,$F37&lt;EDATE(P$7,1)),"▼",""))</f>
        <v/>
      </c>
      <c r="Q37" s="82" t="str">
        <f aca="false">IF(OR($B37="",$F37=""),"",IF(AND($F37&gt;=Q$7,$F37&lt;EDATE(Q$7,1)),"▼",""))</f>
        <v/>
      </c>
      <c r="R37" s="82" t="str">
        <f aca="false">IF(OR($B37="",$F37=""),"",IF(AND($F37&gt;=R$7,$F37&lt;EDATE(R$7,1)),"▼",""))</f>
        <v/>
      </c>
      <c r="S37" s="82" t="str">
        <f aca="false">IF(OR($B37="",$F37=""),"",IF(AND($F37&gt;=S$7,$F37&lt;EDATE(S$7,1)),"▼",""))</f>
        <v/>
      </c>
    </row>
    <row r="38" customFormat="false" ht="19.5" hidden="false" customHeight="true" outlineLevel="0" collapsed="false">
      <c r="A38" s="50" t="str">
        <f aca="false">IF($B38="","","Livros")</f>
        <v/>
      </c>
      <c r="B38" s="13" t="str">
        <f aca="false">IF(Livros!B13="","",Livros!B13)</f>
        <v/>
      </c>
      <c r="C38" s="81" t="str">
        <f aca="false">IF($B38="","",IF(Livros!R13="","",Livros!R13))</f>
        <v/>
      </c>
      <c r="D38" s="52" t="str">
        <f aca="false">IF($B38="","",IF(Livros!I13="","",Livros!I13))</f>
        <v/>
      </c>
      <c r="E38" s="52" t="str">
        <f aca="false">IF($B38="","",IF(Livros!J13="","",Livros!J13))</f>
        <v/>
      </c>
      <c r="F38" s="52" t="str">
        <f aca="false">""</f>
        <v/>
      </c>
      <c r="G38" s="38" t="str">
        <f aca="false">IF($B38="","",Livros!M13)</f>
        <v/>
      </c>
      <c r="H38" s="82" t="str">
        <f aca="false">IF(OR($B38="",$F38=""),"",IF(AND($F38&gt;=H$7,$F38&lt;EDATE(H$7,1)),"▼",""))</f>
        <v/>
      </c>
      <c r="I38" s="82" t="str">
        <f aca="false">IF(OR($B38="",$F38=""),"",IF(AND($F38&gt;=I$7,$F38&lt;EDATE(I$7,1)),"▼",""))</f>
        <v/>
      </c>
      <c r="J38" s="82" t="str">
        <f aca="false">IF(OR($B38="",$F38=""),"",IF(AND($F38&gt;=J$7,$F38&lt;EDATE(J$7,1)),"▼",""))</f>
        <v/>
      </c>
      <c r="K38" s="82" t="str">
        <f aca="false">IF(OR($B38="",$F38=""),"",IF(AND($F38&gt;=K$7,$F38&lt;EDATE(K$7,1)),"▼",""))</f>
        <v/>
      </c>
      <c r="L38" s="82" t="str">
        <f aca="false">IF(OR($B38="",$F38=""),"",IF(AND($F38&gt;=L$7,$F38&lt;EDATE(L$7,1)),"▼",""))</f>
        <v/>
      </c>
      <c r="M38" s="82" t="str">
        <f aca="false">IF(OR($B38="",$F38=""),"",IF(AND($F38&gt;=M$7,$F38&lt;EDATE(M$7,1)),"▼",""))</f>
        <v/>
      </c>
      <c r="N38" s="82" t="str">
        <f aca="false">IF(OR($B38="",$F38=""),"",IF(AND($F38&gt;=N$7,$F38&lt;EDATE(N$7,1)),"▼",""))</f>
        <v/>
      </c>
      <c r="O38" s="82" t="str">
        <f aca="false">IF(OR($B38="",$F38=""),"",IF(AND($F38&gt;=O$7,$F38&lt;EDATE(O$7,1)),"▼",""))</f>
        <v/>
      </c>
      <c r="P38" s="82" t="str">
        <f aca="false">IF(OR($B38="",$F38=""),"",IF(AND($F38&gt;=P$7,$F38&lt;EDATE(P$7,1)),"▼",""))</f>
        <v/>
      </c>
      <c r="Q38" s="82" t="str">
        <f aca="false">IF(OR($B38="",$F38=""),"",IF(AND($F38&gt;=Q$7,$F38&lt;EDATE(Q$7,1)),"▼",""))</f>
        <v/>
      </c>
      <c r="R38" s="82" t="str">
        <f aca="false">IF(OR($B38="",$F38=""),"",IF(AND($F38&gt;=R$7,$F38&lt;EDATE(R$7,1)),"▼",""))</f>
        <v/>
      </c>
      <c r="S38" s="82" t="str">
        <f aca="false">IF(OR($B38="",$F38=""),"",IF(AND($F38&gt;=S$7,$F38&lt;EDATE(S$7,1)),"▼",""))</f>
        <v/>
      </c>
    </row>
    <row r="39" customFormat="false" ht="19.5" hidden="false" customHeight="true" outlineLevel="0" collapsed="false">
      <c r="A39" s="50" t="str">
        <f aca="false">IF($B39="","","Livros")</f>
        <v/>
      </c>
      <c r="B39" s="13" t="str">
        <f aca="false">IF(Livros!B14="","",Livros!B14)</f>
        <v/>
      </c>
      <c r="C39" s="81" t="str">
        <f aca="false">IF($B39="","",IF(Livros!R14="","",Livros!R14))</f>
        <v/>
      </c>
      <c r="D39" s="52" t="str">
        <f aca="false">IF($B39="","",IF(Livros!I14="","",Livros!I14))</f>
        <v/>
      </c>
      <c r="E39" s="52" t="str">
        <f aca="false">IF($B39="","",IF(Livros!J14="","",Livros!J14))</f>
        <v/>
      </c>
      <c r="F39" s="52" t="str">
        <f aca="false">""</f>
        <v/>
      </c>
      <c r="G39" s="38" t="str">
        <f aca="false">IF($B39="","",Livros!M14)</f>
        <v/>
      </c>
      <c r="H39" s="82" t="str">
        <f aca="false">IF(OR($B39="",$F39=""),"",IF(AND($F39&gt;=H$7,$F39&lt;EDATE(H$7,1)),"▼",""))</f>
        <v/>
      </c>
      <c r="I39" s="82" t="str">
        <f aca="false">IF(OR($B39="",$F39=""),"",IF(AND($F39&gt;=I$7,$F39&lt;EDATE(I$7,1)),"▼",""))</f>
        <v/>
      </c>
      <c r="J39" s="82" t="str">
        <f aca="false">IF(OR($B39="",$F39=""),"",IF(AND($F39&gt;=J$7,$F39&lt;EDATE(J$7,1)),"▼",""))</f>
        <v/>
      </c>
      <c r="K39" s="82" t="str">
        <f aca="false">IF(OR($B39="",$F39=""),"",IF(AND($F39&gt;=K$7,$F39&lt;EDATE(K$7,1)),"▼",""))</f>
        <v/>
      </c>
      <c r="L39" s="82" t="str">
        <f aca="false">IF(OR($B39="",$F39=""),"",IF(AND($F39&gt;=L$7,$F39&lt;EDATE(L$7,1)),"▼",""))</f>
        <v/>
      </c>
      <c r="M39" s="82" t="str">
        <f aca="false">IF(OR($B39="",$F39=""),"",IF(AND($F39&gt;=M$7,$F39&lt;EDATE(M$7,1)),"▼",""))</f>
        <v/>
      </c>
      <c r="N39" s="82" t="str">
        <f aca="false">IF(OR($B39="",$F39=""),"",IF(AND($F39&gt;=N$7,$F39&lt;EDATE(N$7,1)),"▼",""))</f>
        <v/>
      </c>
      <c r="O39" s="82" t="str">
        <f aca="false">IF(OR($B39="",$F39=""),"",IF(AND($F39&gt;=O$7,$F39&lt;EDATE(O$7,1)),"▼",""))</f>
        <v/>
      </c>
      <c r="P39" s="82" t="str">
        <f aca="false">IF(OR($B39="",$F39=""),"",IF(AND($F39&gt;=P$7,$F39&lt;EDATE(P$7,1)),"▼",""))</f>
        <v/>
      </c>
      <c r="Q39" s="82" t="str">
        <f aca="false">IF(OR($B39="",$F39=""),"",IF(AND($F39&gt;=Q$7,$F39&lt;EDATE(Q$7,1)),"▼",""))</f>
        <v/>
      </c>
      <c r="R39" s="82" t="str">
        <f aca="false">IF(OR($B39="",$F39=""),"",IF(AND($F39&gt;=R$7,$F39&lt;EDATE(R$7,1)),"▼",""))</f>
        <v/>
      </c>
      <c r="S39" s="82" t="str">
        <f aca="false">IF(OR($B39="",$F39=""),"",IF(AND($F39&gt;=S$7,$F39&lt;EDATE(S$7,1)),"▼",""))</f>
        <v/>
      </c>
    </row>
    <row r="40" customFormat="false" ht="19.5" hidden="false" customHeight="true" outlineLevel="0" collapsed="false">
      <c r="A40" s="50" t="str">
        <f aca="false">IF($B40="","","Livros")</f>
        <v/>
      </c>
      <c r="B40" s="13" t="str">
        <f aca="false">IF(Livros!B15="","",Livros!B15)</f>
        <v/>
      </c>
      <c r="C40" s="81" t="str">
        <f aca="false">IF($B40="","",IF(Livros!R15="","",Livros!R15))</f>
        <v/>
      </c>
      <c r="D40" s="52" t="str">
        <f aca="false">IF($B40="","",IF(Livros!I15="","",Livros!I15))</f>
        <v/>
      </c>
      <c r="E40" s="52" t="str">
        <f aca="false">IF($B40="","",IF(Livros!J15="","",Livros!J15))</f>
        <v/>
      </c>
      <c r="F40" s="52" t="str">
        <f aca="false">""</f>
        <v/>
      </c>
      <c r="G40" s="38" t="str">
        <f aca="false">IF($B40="","",Livros!M15)</f>
        <v/>
      </c>
      <c r="H40" s="82" t="str">
        <f aca="false">IF(OR($B40="",$F40=""),"",IF(AND($F40&gt;=H$7,$F40&lt;EDATE(H$7,1)),"▼",""))</f>
        <v/>
      </c>
      <c r="I40" s="82" t="str">
        <f aca="false">IF(OR($B40="",$F40=""),"",IF(AND($F40&gt;=I$7,$F40&lt;EDATE(I$7,1)),"▼",""))</f>
        <v/>
      </c>
      <c r="J40" s="82" t="str">
        <f aca="false">IF(OR($B40="",$F40=""),"",IF(AND($F40&gt;=J$7,$F40&lt;EDATE(J$7,1)),"▼",""))</f>
        <v/>
      </c>
      <c r="K40" s="82" t="str">
        <f aca="false">IF(OR($B40="",$F40=""),"",IF(AND($F40&gt;=K$7,$F40&lt;EDATE(K$7,1)),"▼",""))</f>
        <v/>
      </c>
      <c r="L40" s="82" t="str">
        <f aca="false">IF(OR($B40="",$F40=""),"",IF(AND($F40&gt;=L$7,$F40&lt;EDATE(L$7,1)),"▼",""))</f>
        <v/>
      </c>
      <c r="M40" s="82" t="str">
        <f aca="false">IF(OR($B40="",$F40=""),"",IF(AND($F40&gt;=M$7,$F40&lt;EDATE(M$7,1)),"▼",""))</f>
        <v/>
      </c>
      <c r="N40" s="82" t="str">
        <f aca="false">IF(OR($B40="",$F40=""),"",IF(AND($F40&gt;=N$7,$F40&lt;EDATE(N$7,1)),"▼",""))</f>
        <v/>
      </c>
      <c r="O40" s="82" t="str">
        <f aca="false">IF(OR($B40="",$F40=""),"",IF(AND($F40&gt;=O$7,$F40&lt;EDATE(O$7,1)),"▼",""))</f>
        <v/>
      </c>
      <c r="P40" s="82" t="str">
        <f aca="false">IF(OR($B40="",$F40=""),"",IF(AND($F40&gt;=P$7,$F40&lt;EDATE(P$7,1)),"▼",""))</f>
        <v/>
      </c>
      <c r="Q40" s="82" t="str">
        <f aca="false">IF(OR($B40="",$F40=""),"",IF(AND($F40&gt;=Q$7,$F40&lt;EDATE(Q$7,1)),"▼",""))</f>
        <v/>
      </c>
      <c r="R40" s="82" t="str">
        <f aca="false">IF(OR($B40="",$F40=""),"",IF(AND($F40&gt;=R$7,$F40&lt;EDATE(R$7,1)),"▼",""))</f>
        <v/>
      </c>
      <c r="S40" s="82" t="str">
        <f aca="false">IF(OR($B40="",$F40=""),"",IF(AND($F40&gt;=S$7,$F40&lt;EDATE(S$7,1)),"▼",""))</f>
        <v/>
      </c>
    </row>
    <row r="41" customFormat="false" ht="19.5" hidden="false" customHeight="true" outlineLevel="0" collapsed="false">
      <c r="A41" s="50" t="str">
        <f aca="false">IF($B41="","","Livros")</f>
        <v/>
      </c>
      <c r="B41" s="13" t="str">
        <f aca="false">IF(Livros!B16="","",Livros!B16)</f>
        <v/>
      </c>
      <c r="C41" s="81" t="str">
        <f aca="false">IF($B41="","",IF(Livros!R16="","",Livros!R16))</f>
        <v/>
      </c>
      <c r="D41" s="52" t="str">
        <f aca="false">IF($B41="","",IF(Livros!I16="","",Livros!I16))</f>
        <v/>
      </c>
      <c r="E41" s="52" t="str">
        <f aca="false">IF($B41="","",IF(Livros!J16="","",Livros!J16))</f>
        <v/>
      </c>
      <c r="F41" s="52" t="str">
        <f aca="false">""</f>
        <v/>
      </c>
      <c r="G41" s="38" t="str">
        <f aca="false">IF($B41="","",Livros!M16)</f>
        <v/>
      </c>
      <c r="H41" s="82" t="str">
        <f aca="false">IF(OR($B41="",$F41=""),"",IF(AND($F41&gt;=H$7,$F41&lt;EDATE(H$7,1)),"▼",""))</f>
        <v/>
      </c>
      <c r="I41" s="82" t="str">
        <f aca="false">IF(OR($B41="",$F41=""),"",IF(AND($F41&gt;=I$7,$F41&lt;EDATE(I$7,1)),"▼",""))</f>
        <v/>
      </c>
      <c r="J41" s="82" t="str">
        <f aca="false">IF(OR($B41="",$F41=""),"",IF(AND($F41&gt;=J$7,$F41&lt;EDATE(J$7,1)),"▼",""))</f>
        <v/>
      </c>
      <c r="K41" s="82" t="str">
        <f aca="false">IF(OR($B41="",$F41=""),"",IF(AND($F41&gt;=K$7,$F41&lt;EDATE(K$7,1)),"▼",""))</f>
        <v/>
      </c>
      <c r="L41" s="82" t="str">
        <f aca="false">IF(OR($B41="",$F41=""),"",IF(AND($F41&gt;=L$7,$F41&lt;EDATE(L$7,1)),"▼",""))</f>
        <v/>
      </c>
      <c r="M41" s="82" t="str">
        <f aca="false">IF(OR($B41="",$F41=""),"",IF(AND($F41&gt;=M$7,$F41&lt;EDATE(M$7,1)),"▼",""))</f>
        <v/>
      </c>
      <c r="N41" s="82" t="str">
        <f aca="false">IF(OR($B41="",$F41=""),"",IF(AND($F41&gt;=N$7,$F41&lt;EDATE(N$7,1)),"▼",""))</f>
        <v/>
      </c>
      <c r="O41" s="82" t="str">
        <f aca="false">IF(OR($B41="",$F41=""),"",IF(AND($F41&gt;=O$7,$F41&lt;EDATE(O$7,1)),"▼",""))</f>
        <v/>
      </c>
      <c r="P41" s="82" t="str">
        <f aca="false">IF(OR($B41="",$F41=""),"",IF(AND($F41&gt;=P$7,$F41&lt;EDATE(P$7,1)),"▼",""))</f>
        <v/>
      </c>
      <c r="Q41" s="82" t="str">
        <f aca="false">IF(OR($B41="",$F41=""),"",IF(AND($F41&gt;=Q$7,$F41&lt;EDATE(Q$7,1)),"▼",""))</f>
        <v/>
      </c>
      <c r="R41" s="82" t="str">
        <f aca="false">IF(OR($B41="",$F41=""),"",IF(AND($F41&gt;=R$7,$F41&lt;EDATE(R$7,1)),"▼",""))</f>
        <v/>
      </c>
      <c r="S41" s="82" t="str">
        <f aca="false">IF(OR($B41="",$F41=""),"",IF(AND($F41&gt;=S$7,$F41&lt;EDATE(S$7,1)),"▼",""))</f>
        <v/>
      </c>
    </row>
    <row r="42" customFormat="false" ht="19.5" hidden="false" customHeight="true" outlineLevel="0" collapsed="false">
      <c r="A42" s="50" t="str">
        <f aca="false">IF($B42="","","Livros")</f>
        <v/>
      </c>
      <c r="B42" s="13" t="str">
        <f aca="false">IF(Livros!B17="","",Livros!B17)</f>
        <v/>
      </c>
      <c r="C42" s="81" t="str">
        <f aca="false">IF($B42="","",IF(Livros!R17="","",Livros!R17))</f>
        <v/>
      </c>
      <c r="D42" s="52" t="str">
        <f aca="false">IF($B42="","",IF(Livros!I17="","",Livros!I17))</f>
        <v/>
      </c>
      <c r="E42" s="52" t="str">
        <f aca="false">IF($B42="","",IF(Livros!J17="","",Livros!J17))</f>
        <v/>
      </c>
      <c r="F42" s="52" t="str">
        <f aca="false">""</f>
        <v/>
      </c>
      <c r="G42" s="38" t="str">
        <f aca="false">IF($B42="","",Livros!M17)</f>
        <v/>
      </c>
      <c r="H42" s="82" t="str">
        <f aca="false">IF(OR($B42="",$F42=""),"",IF(AND($F42&gt;=H$7,$F42&lt;EDATE(H$7,1)),"▼",""))</f>
        <v/>
      </c>
      <c r="I42" s="82" t="str">
        <f aca="false">IF(OR($B42="",$F42=""),"",IF(AND($F42&gt;=I$7,$F42&lt;EDATE(I$7,1)),"▼",""))</f>
        <v/>
      </c>
      <c r="J42" s="82" t="str">
        <f aca="false">IF(OR($B42="",$F42=""),"",IF(AND($F42&gt;=J$7,$F42&lt;EDATE(J$7,1)),"▼",""))</f>
        <v/>
      </c>
      <c r="K42" s="82" t="str">
        <f aca="false">IF(OR($B42="",$F42=""),"",IF(AND($F42&gt;=K$7,$F42&lt;EDATE(K$7,1)),"▼",""))</f>
        <v/>
      </c>
      <c r="L42" s="82" t="str">
        <f aca="false">IF(OR($B42="",$F42=""),"",IF(AND($F42&gt;=L$7,$F42&lt;EDATE(L$7,1)),"▼",""))</f>
        <v/>
      </c>
      <c r="M42" s="82" t="str">
        <f aca="false">IF(OR($B42="",$F42=""),"",IF(AND($F42&gt;=M$7,$F42&lt;EDATE(M$7,1)),"▼",""))</f>
        <v/>
      </c>
      <c r="N42" s="82" t="str">
        <f aca="false">IF(OR($B42="",$F42=""),"",IF(AND($F42&gt;=N$7,$F42&lt;EDATE(N$7,1)),"▼",""))</f>
        <v/>
      </c>
      <c r="O42" s="82" t="str">
        <f aca="false">IF(OR($B42="",$F42=""),"",IF(AND($F42&gt;=O$7,$F42&lt;EDATE(O$7,1)),"▼",""))</f>
        <v/>
      </c>
      <c r="P42" s="82" t="str">
        <f aca="false">IF(OR($B42="",$F42=""),"",IF(AND($F42&gt;=P$7,$F42&lt;EDATE(P$7,1)),"▼",""))</f>
        <v/>
      </c>
      <c r="Q42" s="82" t="str">
        <f aca="false">IF(OR($B42="",$F42=""),"",IF(AND($F42&gt;=Q$7,$F42&lt;EDATE(Q$7,1)),"▼",""))</f>
        <v/>
      </c>
      <c r="R42" s="82" t="str">
        <f aca="false">IF(OR($B42="",$F42=""),"",IF(AND($F42&gt;=R$7,$F42&lt;EDATE(R$7,1)),"▼",""))</f>
        <v/>
      </c>
      <c r="S42" s="82" t="str">
        <f aca="false">IF(OR($B42="",$F42=""),"",IF(AND($F42&gt;=S$7,$F42&lt;EDATE(S$7,1)),"▼",""))</f>
        <v/>
      </c>
    </row>
    <row r="43" customFormat="false" ht="19.5" hidden="false" customHeight="true" outlineLevel="0" collapsed="false">
      <c r="A43" s="50" t="str">
        <f aca="false">IF($B43="","","Livros")</f>
        <v/>
      </c>
      <c r="B43" s="13" t="str">
        <f aca="false">IF(Livros!B18="","",Livros!B18)</f>
        <v/>
      </c>
      <c r="C43" s="81" t="str">
        <f aca="false">IF($B43="","",IF(Livros!R18="","",Livros!R18))</f>
        <v/>
      </c>
      <c r="D43" s="52" t="str">
        <f aca="false">IF($B43="","",IF(Livros!I18="","",Livros!I18))</f>
        <v/>
      </c>
      <c r="E43" s="52" t="str">
        <f aca="false">IF($B43="","",IF(Livros!J18="","",Livros!J18))</f>
        <v/>
      </c>
      <c r="F43" s="52" t="str">
        <f aca="false">""</f>
        <v/>
      </c>
      <c r="G43" s="38" t="str">
        <f aca="false">IF($B43="","",Livros!M18)</f>
        <v/>
      </c>
      <c r="H43" s="82" t="str">
        <f aca="false">IF(OR($B43="",$F43=""),"",IF(AND($F43&gt;=H$7,$F43&lt;EDATE(H$7,1)),"▼",""))</f>
        <v/>
      </c>
      <c r="I43" s="82" t="str">
        <f aca="false">IF(OR($B43="",$F43=""),"",IF(AND($F43&gt;=I$7,$F43&lt;EDATE(I$7,1)),"▼",""))</f>
        <v/>
      </c>
      <c r="J43" s="82" t="str">
        <f aca="false">IF(OR($B43="",$F43=""),"",IF(AND($F43&gt;=J$7,$F43&lt;EDATE(J$7,1)),"▼",""))</f>
        <v/>
      </c>
      <c r="K43" s="82" t="str">
        <f aca="false">IF(OR($B43="",$F43=""),"",IF(AND($F43&gt;=K$7,$F43&lt;EDATE(K$7,1)),"▼",""))</f>
        <v/>
      </c>
      <c r="L43" s="82" t="str">
        <f aca="false">IF(OR($B43="",$F43=""),"",IF(AND($F43&gt;=L$7,$F43&lt;EDATE(L$7,1)),"▼",""))</f>
        <v/>
      </c>
      <c r="M43" s="82" t="str">
        <f aca="false">IF(OR($B43="",$F43=""),"",IF(AND($F43&gt;=M$7,$F43&lt;EDATE(M$7,1)),"▼",""))</f>
        <v/>
      </c>
      <c r="N43" s="82" t="str">
        <f aca="false">IF(OR($B43="",$F43=""),"",IF(AND($F43&gt;=N$7,$F43&lt;EDATE(N$7,1)),"▼",""))</f>
        <v/>
      </c>
      <c r="O43" s="82" t="str">
        <f aca="false">IF(OR($B43="",$F43=""),"",IF(AND($F43&gt;=O$7,$F43&lt;EDATE(O$7,1)),"▼",""))</f>
        <v/>
      </c>
      <c r="P43" s="82" t="str">
        <f aca="false">IF(OR($B43="",$F43=""),"",IF(AND($F43&gt;=P$7,$F43&lt;EDATE(P$7,1)),"▼",""))</f>
        <v/>
      </c>
      <c r="Q43" s="82" t="str">
        <f aca="false">IF(OR($B43="",$F43=""),"",IF(AND($F43&gt;=Q$7,$F43&lt;EDATE(Q$7,1)),"▼",""))</f>
        <v/>
      </c>
      <c r="R43" s="82" t="str">
        <f aca="false">IF(OR($B43="",$F43=""),"",IF(AND($F43&gt;=R$7,$F43&lt;EDATE(R$7,1)),"▼",""))</f>
        <v/>
      </c>
      <c r="S43" s="82" t="str">
        <f aca="false">IF(OR($B43="",$F43=""),"",IF(AND($F43&gt;=S$7,$F43&lt;EDATE(S$7,1)),"▼",""))</f>
        <v/>
      </c>
    </row>
    <row r="44" customFormat="false" ht="19.5" hidden="false" customHeight="true" outlineLevel="0" collapsed="false">
      <c r="A44" s="50" t="str">
        <f aca="false">IF($B44="","","Livros")</f>
        <v/>
      </c>
      <c r="B44" s="13" t="str">
        <f aca="false">IF(Livros!B19="","",Livros!B19)</f>
        <v/>
      </c>
      <c r="C44" s="81" t="str">
        <f aca="false">IF($B44="","",IF(Livros!R19="","",Livros!R19))</f>
        <v/>
      </c>
      <c r="D44" s="52" t="str">
        <f aca="false">IF($B44="","",IF(Livros!I19="","",Livros!I19))</f>
        <v/>
      </c>
      <c r="E44" s="52" t="str">
        <f aca="false">IF($B44="","",IF(Livros!J19="","",Livros!J19))</f>
        <v/>
      </c>
      <c r="F44" s="52" t="str">
        <f aca="false">""</f>
        <v/>
      </c>
      <c r="G44" s="38" t="str">
        <f aca="false">IF($B44="","",Livros!M19)</f>
        <v/>
      </c>
      <c r="H44" s="82" t="str">
        <f aca="false">IF(OR($B44="",$F44=""),"",IF(AND($F44&gt;=H$7,$F44&lt;EDATE(H$7,1)),"▼",""))</f>
        <v/>
      </c>
      <c r="I44" s="82" t="str">
        <f aca="false">IF(OR($B44="",$F44=""),"",IF(AND($F44&gt;=I$7,$F44&lt;EDATE(I$7,1)),"▼",""))</f>
        <v/>
      </c>
      <c r="J44" s="82" t="str">
        <f aca="false">IF(OR($B44="",$F44=""),"",IF(AND($F44&gt;=J$7,$F44&lt;EDATE(J$7,1)),"▼",""))</f>
        <v/>
      </c>
      <c r="K44" s="82" t="str">
        <f aca="false">IF(OR($B44="",$F44=""),"",IF(AND($F44&gt;=K$7,$F44&lt;EDATE(K$7,1)),"▼",""))</f>
        <v/>
      </c>
      <c r="L44" s="82" t="str">
        <f aca="false">IF(OR($B44="",$F44=""),"",IF(AND($F44&gt;=L$7,$F44&lt;EDATE(L$7,1)),"▼",""))</f>
        <v/>
      </c>
      <c r="M44" s="82" t="str">
        <f aca="false">IF(OR($B44="",$F44=""),"",IF(AND($F44&gt;=M$7,$F44&lt;EDATE(M$7,1)),"▼",""))</f>
        <v/>
      </c>
      <c r="N44" s="82" t="str">
        <f aca="false">IF(OR($B44="",$F44=""),"",IF(AND($F44&gt;=N$7,$F44&lt;EDATE(N$7,1)),"▼",""))</f>
        <v/>
      </c>
      <c r="O44" s="82" t="str">
        <f aca="false">IF(OR($B44="",$F44=""),"",IF(AND($F44&gt;=O$7,$F44&lt;EDATE(O$7,1)),"▼",""))</f>
        <v/>
      </c>
      <c r="P44" s="82" t="str">
        <f aca="false">IF(OR($B44="",$F44=""),"",IF(AND($F44&gt;=P$7,$F44&lt;EDATE(P$7,1)),"▼",""))</f>
        <v/>
      </c>
      <c r="Q44" s="82" t="str">
        <f aca="false">IF(OR($B44="",$F44=""),"",IF(AND($F44&gt;=Q$7,$F44&lt;EDATE(Q$7,1)),"▼",""))</f>
        <v/>
      </c>
      <c r="R44" s="82" t="str">
        <f aca="false">IF(OR($B44="",$F44=""),"",IF(AND($F44&gt;=R$7,$F44&lt;EDATE(R$7,1)),"▼",""))</f>
        <v/>
      </c>
      <c r="S44" s="82" t="str">
        <f aca="false">IF(OR($B44="",$F44=""),"",IF(AND($F44&gt;=S$7,$F44&lt;EDATE(S$7,1)),"▼",""))</f>
        <v/>
      </c>
    </row>
    <row r="45" customFormat="false" ht="19.5" hidden="false" customHeight="true" outlineLevel="0" collapsed="false">
      <c r="A45" s="50" t="str">
        <f aca="false">IF($B45="","","Livros")</f>
        <v/>
      </c>
      <c r="B45" s="13" t="str">
        <f aca="false">IF(Livros!B20="","",Livros!B20)</f>
        <v/>
      </c>
      <c r="C45" s="81" t="str">
        <f aca="false">IF($B45="","",IF(Livros!R20="","",Livros!R20))</f>
        <v/>
      </c>
      <c r="D45" s="52" t="str">
        <f aca="false">IF($B45="","",IF(Livros!I20="","",Livros!I20))</f>
        <v/>
      </c>
      <c r="E45" s="52" t="str">
        <f aca="false">IF($B45="","",IF(Livros!J20="","",Livros!J20))</f>
        <v/>
      </c>
      <c r="F45" s="52" t="str">
        <f aca="false">""</f>
        <v/>
      </c>
      <c r="G45" s="38" t="str">
        <f aca="false">IF($B45="","",Livros!M20)</f>
        <v/>
      </c>
      <c r="H45" s="82" t="str">
        <f aca="false">IF(OR($B45="",$F45=""),"",IF(AND($F45&gt;=H$7,$F45&lt;EDATE(H$7,1)),"▼",""))</f>
        <v/>
      </c>
      <c r="I45" s="82" t="str">
        <f aca="false">IF(OR($B45="",$F45=""),"",IF(AND($F45&gt;=I$7,$F45&lt;EDATE(I$7,1)),"▼",""))</f>
        <v/>
      </c>
      <c r="J45" s="82" t="str">
        <f aca="false">IF(OR($B45="",$F45=""),"",IF(AND($F45&gt;=J$7,$F45&lt;EDATE(J$7,1)),"▼",""))</f>
        <v/>
      </c>
      <c r="K45" s="82" t="str">
        <f aca="false">IF(OR($B45="",$F45=""),"",IF(AND($F45&gt;=K$7,$F45&lt;EDATE(K$7,1)),"▼",""))</f>
        <v/>
      </c>
      <c r="L45" s="82" t="str">
        <f aca="false">IF(OR($B45="",$F45=""),"",IF(AND($F45&gt;=L$7,$F45&lt;EDATE(L$7,1)),"▼",""))</f>
        <v/>
      </c>
      <c r="M45" s="82" t="str">
        <f aca="false">IF(OR($B45="",$F45=""),"",IF(AND($F45&gt;=M$7,$F45&lt;EDATE(M$7,1)),"▼",""))</f>
        <v/>
      </c>
      <c r="N45" s="82" t="str">
        <f aca="false">IF(OR($B45="",$F45=""),"",IF(AND($F45&gt;=N$7,$F45&lt;EDATE(N$7,1)),"▼",""))</f>
        <v/>
      </c>
      <c r="O45" s="82" t="str">
        <f aca="false">IF(OR($B45="",$F45=""),"",IF(AND($F45&gt;=O$7,$F45&lt;EDATE(O$7,1)),"▼",""))</f>
        <v/>
      </c>
      <c r="P45" s="82" t="str">
        <f aca="false">IF(OR($B45="",$F45=""),"",IF(AND($F45&gt;=P$7,$F45&lt;EDATE(P$7,1)),"▼",""))</f>
        <v/>
      </c>
      <c r="Q45" s="82" t="str">
        <f aca="false">IF(OR($B45="",$F45=""),"",IF(AND($F45&gt;=Q$7,$F45&lt;EDATE(Q$7,1)),"▼",""))</f>
        <v/>
      </c>
      <c r="R45" s="82" t="str">
        <f aca="false">IF(OR($B45="",$F45=""),"",IF(AND($F45&gt;=R$7,$F45&lt;EDATE(R$7,1)),"▼",""))</f>
        <v/>
      </c>
      <c r="S45" s="82" t="str">
        <f aca="false">IF(OR($B45="",$F45=""),"",IF(AND($F45&gt;=S$7,$F45&lt;EDATE(S$7,1)),"▼",""))</f>
        <v/>
      </c>
    </row>
    <row r="46" customFormat="false" ht="19.5" hidden="false" customHeight="true" outlineLevel="0" collapsed="false">
      <c r="A46" s="50" t="str">
        <f aca="false">IF($B46="","","Livros")</f>
        <v/>
      </c>
      <c r="B46" s="13" t="str">
        <f aca="false">IF(Livros!B21="","",Livros!B21)</f>
        <v/>
      </c>
      <c r="C46" s="81" t="str">
        <f aca="false">IF($B46="","",IF(Livros!R21="","",Livros!R21))</f>
        <v/>
      </c>
      <c r="D46" s="52" t="str">
        <f aca="false">IF($B46="","",IF(Livros!I21="","",Livros!I21))</f>
        <v/>
      </c>
      <c r="E46" s="52" t="str">
        <f aca="false">IF($B46="","",IF(Livros!J21="","",Livros!J21))</f>
        <v/>
      </c>
      <c r="F46" s="52" t="str">
        <f aca="false">""</f>
        <v/>
      </c>
      <c r="G46" s="38" t="str">
        <f aca="false">IF($B46="","",Livros!M21)</f>
        <v/>
      </c>
      <c r="H46" s="82" t="str">
        <f aca="false">IF(OR($B46="",$F46=""),"",IF(AND($F46&gt;=H$7,$F46&lt;EDATE(H$7,1)),"▼",""))</f>
        <v/>
      </c>
      <c r="I46" s="82" t="str">
        <f aca="false">IF(OR($B46="",$F46=""),"",IF(AND($F46&gt;=I$7,$F46&lt;EDATE(I$7,1)),"▼",""))</f>
        <v/>
      </c>
      <c r="J46" s="82" t="str">
        <f aca="false">IF(OR($B46="",$F46=""),"",IF(AND($F46&gt;=J$7,$F46&lt;EDATE(J$7,1)),"▼",""))</f>
        <v/>
      </c>
      <c r="K46" s="82" t="str">
        <f aca="false">IF(OR($B46="",$F46=""),"",IF(AND($F46&gt;=K$7,$F46&lt;EDATE(K$7,1)),"▼",""))</f>
        <v/>
      </c>
      <c r="L46" s="82" t="str">
        <f aca="false">IF(OR($B46="",$F46=""),"",IF(AND($F46&gt;=L$7,$F46&lt;EDATE(L$7,1)),"▼",""))</f>
        <v/>
      </c>
      <c r="M46" s="82" t="str">
        <f aca="false">IF(OR($B46="",$F46=""),"",IF(AND($F46&gt;=M$7,$F46&lt;EDATE(M$7,1)),"▼",""))</f>
        <v/>
      </c>
      <c r="N46" s="82" t="str">
        <f aca="false">IF(OR($B46="",$F46=""),"",IF(AND($F46&gt;=N$7,$F46&lt;EDATE(N$7,1)),"▼",""))</f>
        <v/>
      </c>
      <c r="O46" s="82" t="str">
        <f aca="false">IF(OR($B46="",$F46=""),"",IF(AND($F46&gt;=O$7,$F46&lt;EDATE(O$7,1)),"▼",""))</f>
        <v/>
      </c>
      <c r="P46" s="82" t="str">
        <f aca="false">IF(OR($B46="",$F46=""),"",IF(AND($F46&gt;=P$7,$F46&lt;EDATE(P$7,1)),"▼",""))</f>
        <v/>
      </c>
      <c r="Q46" s="82" t="str">
        <f aca="false">IF(OR($B46="",$F46=""),"",IF(AND($F46&gt;=Q$7,$F46&lt;EDATE(Q$7,1)),"▼",""))</f>
        <v/>
      </c>
      <c r="R46" s="82" t="str">
        <f aca="false">IF(OR($B46="",$F46=""),"",IF(AND($F46&gt;=R$7,$F46&lt;EDATE(R$7,1)),"▼",""))</f>
        <v/>
      </c>
      <c r="S46" s="82" t="str">
        <f aca="false">IF(OR($B46="",$F46=""),"",IF(AND($F46&gt;=S$7,$F46&lt;EDATE(S$7,1)),"▼",""))</f>
        <v/>
      </c>
    </row>
    <row r="47" customFormat="false" ht="19.5" hidden="false" customHeight="true" outlineLevel="0" collapsed="false">
      <c r="A47" s="80" t="s">
        <v>117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</row>
    <row r="48" customFormat="false" ht="19.5" hidden="false" customHeight="true" outlineLevel="0" collapsed="false">
      <c r="A48" s="50" t="str">
        <f aca="false">IF($B48="","","Cursos IA")</f>
        <v>Cursos IA</v>
      </c>
      <c r="B48" s="13" t="str">
        <f aca="false">IF('Cursos IA'!B10="","",'Cursos IA'!B10)</f>
        <v>Agentes de IA na Prática (exemplo)</v>
      </c>
      <c r="C48" s="81" t="str">
        <f aca="false">IF($B48="","",IF('Cursos IA'!S10="","",'Cursos IA'!S10))</f>
        <v>Em andamento</v>
      </c>
      <c r="D48" s="52" t="n">
        <f aca="false">IF($B48="","",IF('Cursos IA'!G10="","",'Cursos IA'!G10))</f>
        <v>46285</v>
      </c>
      <c r="E48" s="52" t="n">
        <f aca="false">IF($B48="","",IF('Cursos IA'!H10&lt;&gt;"",'Cursos IA'!H10,IF('Cursos IA'!I10&lt;&gt;"",'Cursos IA'!I10,"")))</f>
        <v>46376</v>
      </c>
      <c r="F48" s="52" t="n">
        <f aca="false">IF($B48="","",IF('Cursos IA'!I10="","",'Cursos IA'!I10))</f>
        <v>46642</v>
      </c>
      <c r="G48" s="38" t="n">
        <f aca="false">IF($B48="","",'Cursos IA'!N10)</f>
        <v>0.3</v>
      </c>
      <c r="H48" s="82" t="str">
        <f aca="false">IF(OR($B48="",$F48=""),"",IF(AND($F48&gt;=H$7,$F48&lt;EDATE(H$7,1)),"▼",""))</f>
        <v/>
      </c>
      <c r="I48" s="82" t="str">
        <f aca="false">IF(OR($B48="",$F48=""),"",IF(AND($F48&gt;=I$7,$F48&lt;EDATE(I$7,1)),"▼",""))</f>
        <v/>
      </c>
      <c r="J48" s="82" t="str">
        <f aca="false">IF(OR($B48="",$F48=""),"",IF(AND($F48&gt;=J$7,$F48&lt;EDATE(J$7,1)),"▼",""))</f>
        <v/>
      </c>
      <c r="K48" s="82" t="str">
        <f aca="false">IF(OR($B48="",$F48=""),"",IF(AND($F48&gt;=K$7,$F48&lt;EDATE(K$7,1)),"▼",""))</f>
        <v/>
      </c>
      <c r="L48" s="82" t="str">
        <f aca="false">IF(OR($B48="",$F48=""),"",IF(AND($F48&gt;=L$7,$F48&lt;EDATE(L$7,1)),"▼",""))</f>
        <v/>
      </c>
      <c r="M48" s="82" t="str">
        <f aca="false">IF(OR($B48="",$F48=""),"",IF(AND($F48&gt;=M$7,$F48&lt;EDATE(M$7,1)),"▼",""))</f>
        <v/>
      </c>
      <c r="N48" s="82" t="str">
        <f aca="false">IF(OR($B48="",$F48=""),"",IF(AND($F48&gt;=N$7,$F48&lt;EDATE(N$7,1)),"▼",""))</f>
        <v/>
      </c>
      <c r="O48" s="82" t="str">
        <f aca="false">IF(OR($B48="",$F48=""),"",IF(AND($F48&gt;=O$7,$F48&lt;EDATE(O$7,1)),"▼",""))</f>
        <v/>
      </c>
      <c r="P48" s="82" t="str">
        <f aca="false">IF(OR($B48="",$F48=""),"",IF(AND($F48&gt;=P$7,$F48&lt;EDATE(P$7,1)),"▼",""))</f>
        <v/>
      </c>
      <c r="Q48" s="82" t="str">
        <f aca="false">IF(OR($B48="",$F48=""),"",IF(AND($F48&gt;=Q$7,$F48&lt;EDATE(Q$7,1)),"▼",""))</f>
        <v/>
      </c>
      <c r="R48" s="82" t="str">
        <f aca="false">IF(OR($B48="",$F48=""),"",IF(AND($F48&gt;=R$7,$F48&lt;EDATE(R$7,1)),"▼",""))</f>
        <v/>
      </c>
      <c r="S48" s="82" t="str">
        <f aca="false">IF(OR($B48="",$F48=""),"",IF(AND($F48&gt;=S$7,$F48&lt;EDATE(S$7,1)),"▼",""))</f>
        <v>▼</v>
      </c>
    </row>
    <row r="49" customFormat="false" ht="19.5" hidden="false" customHeight="true" outlineLevel="0" collapsed="false">
      <c r="A49" s="50" t="str">
        <f aca="false">IF($B49="","","Cursos IA")</f>
        <v/>
      </c>
      <c r="B49" s="13" t="str">
        <f aca="false">IF('Cursos IA'!B11="","",'Cursos IA'!B11)</f>
        <v/>
      </c>
      <c r="C49" s="81" t="str">
        <f aca="false">IF($B49="","",IF('Cursos IA'!S11="","",'Cursos IA'!S11))</f>
        <v/>
      </c>
      <c r="D49" s="52" t="str">
        <f aca="false">IF($B49="","",IF('Cursos IA'!G11="","",'Cursos IA'!G11))</f>
        <v/>
      </c>
      <c r="E49" s="52" t="str">
        <f aca="false">IF($B49="","",IF('Cursos IA'!H11&lt;&gt;"",'Cursos IA'!H11,IF('Cursos IA'!I11&lt;&gt;"",'Cursos IA'!I11,"")))</f>
        <v/>
      </c>
      <c r="F49" s="52" t="str">
        <f aca="false">IF($B49="","",IF('Cursos IA'!I11="","",'Cursos IA'!I11))</f>
        <v/>
      </c>
      <c r="G49" s="38" t="str">
        <f aca="false">IF($B49="","",'Cursos IA'!N11)</f>
        <v/>
      </c>
      <c r="H49" s="82" t="str">
        <f aca="false">IF(OR($B49="",$F49=""),"",IF(AND($F49&gt;=H$7,$F49&lt;EDATE(H$7,1)),"▼",""))</f>
        <v/>
      </c>
      <c r="I49" s="82" t="str">
        <f aca="false">IF(OR($B49="",$F49=""),"",IF(AND($F49&gt;=I$7,$F49&lt;EDATE(I$7,1)),"▼",""))</f>
        <v/>
      </c>
      <c r="J49" s="82" t="str">
        <f aca="false">IF(OR($B49="",$F49=""),"",IF(AND($F49&gt;=J$7,$F49&lt;EDATE(J$7,1)),"▼",""))</f>
        <v/>
      </c>
      <c r="K49" s="82" t="str">
        <f aca="false">IF(OR($B49="",$F49=""),"",IF(AND($F49&gt;=K$7,$F49&lt;EDATE(K$7,1)),"▼",""))</f>
        <v/>
      </c>
      <c r="L49" s="82" t="str">
        <f aca="false">IF(OR($B49="",$F49=""),"",IF(AND($F49&gt;=L$7,$F49&lt;EDATE(L$7,1)),"▼",""))</f>
        <v/>
      </c>
      <c r="M49" s="82" t="str">
        <f aca="false">IF(OR($B49="",$F49=""),"",IF(AND($F49&gt;=M$7,$F49&lt;EDATE(M$7,1)),"▼",""))</f>
        <v/>
      </c>
      <c r="N49" s="82" t="str">
        <f aca="false">IF(OR($B49="",$F49=""),"",IF(AND($F49&gt;=N$7,$F49&lt;EDATE(N$7,1)),"▼",""))</f>
        <v/>
      </c>
      <c r="O49" s="82" t="str">
        <f aca="false">IF(OR($B49="",$F49=""),"",IF(AND($F49&gt;=O$7,$F49&lt;EDATE(O$7,1)),"▼",""))</f>
        <v/>
      </c>
      <c r="P49" s="82" t="str">
        <f aca="false">IF(OR($B49="",$F49=""),"",IF(AND($F49&gt;=P$7,$F49&lt;EDATE(P$7,1)),"▼",""))</f>
        <v/>
      </c>
      <c r="Q49" s="82" t="str">
        <f aca="false">IF(OR($B49="",$F49=""),"",IF(AND($F49&gt;=Q$7,$F49&lt;EDATE(Q$7,1)),"▼",""))</f>
        <v/>
      </c>
      <c r="R49" s="82" t="str">
        <f aca="false">IF(OR($B49="",$F49=""),"",IF(AND($F49&gt;=R$7,$F49&lt;EDATE(R$7,1)),"▼",""))</f>
        <v/>
      </c>
      <c r="S49" s="82" t="str">
        <f aca="false">IF(OR($B49="",$F49=""),"",IF(AND($F49&gt;=S$7,$F49&lt;EDATE(S$7,1)),"▼",""))</f>
        <v/>
      </c>
    </row>
    <row r="50" customFormat="false" ht="19.5" hidden="false" customHeight="true" outlineLevel="0" collapsed="false">
      <c r="A50" s="50" t="str">
        <f aca="false">IF($B50="","","Cursos IA")</f>
        <v/>
      </c>
      <c r="B50" s="13" t="str">
        <f aca="false">IF('Cursos IA'!B12="","",'Cursos IA'!B12)</f>
        <v/>
      </c>
      <c r="C50" s="81" t="str">
        <f aca="false">IF($B50="","",IF('Cursos IA'!S12="","",'Cursos IA'!S12))</f>
        <v/>
      </c>
      <c r="D50" s="52" t="str">
        <f aca="false">IF($B50="","",IF('Cursos IA'!G12="","",'Cursos IA'!G12))</f>
        <v/>
      </c>
      <c r="E50" s="52" t="str">
        <f aca="false">IF($B50="","",IF('Cursos IA'!H12&lt;&gt;"",'Cursos IA'!H12,IF('Cursos IA'!I12&lt;&gt;"",'Cursos IA'!I12,"")))</f>
        <v/>
      </c>
      <c r="F50" s="52" t="str">
        <f aca="false">IF($B50="","",IF('Cursos IA'!I12="","",'Cursos IA'!I12))</f>
        <v/>
      </c>
      <c r="G50" s="38" t="str">
        <f aca="false">IF($B50="","",'Cursos IA'!N12)</f>
        <v/>
      </c>
      <c r="H50" s="82" t="str">
        <f aca="false">IF(OR($B50="",$F50=""),"",IF(AND($F50&gt;=H$7,$F50&lt;EDATE(H$7,1)),"▼",""))</f>
        <v/>
      </c>
      <c r="I50" s="82" t="str">
        <f aca="false">IF(OR($B50="",$F50=""),"",IF(AND($F50&gt;=I$7,$F50&lt;EDATE(I$7,1)),"▼",""))</f>
        <v/>
      </c>
      <c r="J50" s="82" t="str">
        <f aca="false">IF(OR($B50="",$F50=""),"",IF(AND($F50&gt;=J$7,$F50&lt;EDATE(J$7,1)),"▼",""))</f>
        <v/>
      </c>
      <c r="K50" s="82" t="str">
        <f aca="false">IF(OR($B50="",$F50=""),"",IF(AND($F50&gt;=K$7,$F50&lt;EDATE(K$7,1)),"▼",""))</f>
        <v/>
      </c>
      <c r="L50" s="82" t="str">
        <f aca="false">IF(OR($B50="",$F50=""),"",IF(AND($F50&gt;=L$7,$F50&lt;EDATE(L$7,1)),"▼",""))</f>
        <v/>
      </c>
      <c r="M50" s="82" t="str">
        <f aca="false">IF(OR($B50="",$F50=""),"",IF(AND($F50&gt;=M$7,$F50&lt;EDATE(M$7,1)),"▼",""))</f>
        <v/>
      </c>
      <c r="N50" s="82" t="str">
        <f aca="false">IF(OR($B50="",$F50=""),"",IF(AND($F50&gt;=N$7,$F50&lt;EDATE(N$7,1)),"▼",""))</f>
        <v/>
      </c>
      <c r="O50" s="82" t="str">
        <f aca="false">IF(OR($B50="",$F50=""),"",IF(AND($F50&gt;=O$7,$F50&lt;EDATE(O$7,1)),"▼",""))</f>
        <v/>
      </c>
      <c r="P50" s="82" t="str">
        <f aca="false">IF(OR($B50="",$F50=""),"",IF(AND($F50&gt;=P$7,$F50&lt;EDATE(P$7,1)),"▼",""))</f>
        <v/>
      </c>
      <c r="Q50" s="82" t="str">
        <f aca="false">IF(OR($B50="",$F50=""),"",IF(AND($F50&gt;=Q$7,$F50&lt;EDATE(Q$7,1)),"▼",""))</f>
        <v/>
      </c>
      <c r="R50" s="82" t="str">
        <f aca="false">IF(OR($B50="",$F50=""),"",IF(AND($F50&gt;=R$7,$F50&lt;EDATE(R$7,1)),"▼",""))</f>
        <v/>
      </c>
      <c r="S50" s="82" t="str">
        <f aca="false">IF(OR($B50="",$F50=""),"",IF(AND($F50&gt;=S$7,$F50&lt;EDATE(S$7,1)),"▼",""))</f>
        <v/>
      </c>
    </row>
    <row r="51" customFormat="false" ht="19.5" hidden="false" customHeight="true" outlineLevel="0" collapsed="false">
      <c r="A51" s="50" t="str">
        <f aca="false">IF($B51="","","Cursos IA")</f>
        <v/>
      </c>
      <c r="B51" s="13" t="str">
        <f aca="false">IF('Cursos IA'!B13="","",'Cursos IA'!B13)</f>
        <v/>
      </c>
      <c r="C51" s="81" t="str">
        <f aca="false">IF($B51="","",IF('Cursos IA'!S13="","",'Cursos IA'!S13))</f>
        <v/>
      </c>
      <c r="D51" s="52" t="str">
        <f aca="false">IF($B51="","",IF('Cursos IA'!G13="","",'Cursos IA'!G13))</f>
        <v/>
      </c>
      <c r="E51" s="52" t="str">
        <f aca="false">IF($B51="","",IF('Cursos IA'!H13&lt;&gt;"",'Cursos IA'!H13,IF('Cursos IA'!I13&lt;&gt;"",'Cursos IA'!I13,"")))</f>
        <v/>
      </c>
      <c r="F51" s="52" t="str">
        <f aca="false">IF($B51="","",IF('Cursos IA'!I13="","",'Cursos IA'!I13))</f>
        <v/>
      </c>
      <c r="G51" s="38" t="str">
        <f aca="false">IF($B51="","",'Cursos IA'!N13)</f>
        <v/>
      </c>
      <c r="H51" s="82" t="str">
        <f aca="false">IF(OR($B51="",$F51=""),"",IF(AND($F51&gt;=H$7,$F51&lt;EDATE(H$7,1)),"▼",""))</f>
        <v/>
      </c>
      <c r="I51" s="82" t="str">
        <f aca="false">IF(OR($B51="",$F51=""),"",IF(AND($F51&gt;=I$7,$F51&lt;EDATE(I$7,1)),"▼",""))</f>
        <v/>
      </c>
      <c r="J51" s="82" t="str">
        <f aca="false">IF(OR($B51="",$F51=""),"",IF(AND($F51&gt;=J$7,$F51&lt;EDATE(J$7,1)),"▼",""))</f>
        <v/>
      </c>
      <c r="K51" s="82" t="str">
        <f aca="false">IF(OR($B51="",$F51=""),"",IF(AND($F51&gt;=K$7,$F51&lt;EDATE(K$7,1)),"▼",""))</f>
        <v/>
      </c>
      <c r="L51" s="82" t="str">
        <f aca="false">IF(OR($B51="",$F51=""),"",IF(AND($F51&gt;=L$7,$F51&lt;EDATE(L$7,1)),"▼",""))</f>
        <v/>
      </c>
      <c r="M51" s="82" t="str">
        <f aca="false">IF(OR($B51="",$F51=""),"",IF(AND($F51&gt;=M$7,$F51&lt;EDATE(M$7,1)),"▼",""))</f>
        <v/>
      </c>
      <c r="N51" s="82" t="str">
        <f aca="false">IF(OR($B51="",$F51=""),"",IF(AND($F51&gt;=N$7,$F51&lt;EDATE(N$7,1)),"▼",""))</f>
        <v/>
      </c>
      <c r="O51" s="82" t="str">
        <f aca="false">IF(OR($B51="",$F51=""),"",IF(AND($F51&gt;=O$7,$F51&lt;EDATE(O$7,1)),"▼",""))</f>
        <v/>
      </c>
      <c r="P51" s="82" t="str">
        <f aca="false">IF(OR($B51="",$F51=""),"",IF(AND($F51&gt;=P$7,$F51&lt;EDATE(P$7,1)),"▼",""))</f>
        <v/>
      </c>
      <c r="Q51" s="82" t="str">
        <f aca="false">IF(OR($B51="",$F51=""),"",IF(AND($F51&gt;=Q$7,$F51&lt;EDATE(Q$7,1)),"▼",""))</f>
        <v/>
      </c>
      <c r="R51" s="82" t="str">
        <f aca="false">IF(OR($B51="",$F51=""),"",IF(AND($F51&gt;=R$7,$F51&lt;EDATE(R$7,1)),"▼",""))</f>
        <v/>
      </c>
      <c r="S51" s="82" t="str">
        <f aca="false">IF(OR($B51="",$F51=""),"",IF(AND($F51&gt;=S$7,$F51&lt;EDATE(S$7,1)),"▼",""))</f>
        <v/>
      </c>
    </row>
    <row r="52" customFormat="false" ht="19.5" hidden="false" customHeight="true" outlineLevel="0" collapsed="false">
      <c r="A52" s="50" t="str">
        <f aca="false">IF($B52="","","Cursos IA")</f>
        <v/>
      </c>
      <c r="B52" s="13" t="str">
        <f aca="false">IF('Cursos IA'!B14="","",'Cursos IA'!B14)</f>
        <v/>
      </c>
      <c r="C52" s="81" t="str">
        <f aca="false">IF($B52="","",IF('Cursos IA'!S14="","",'Cursos IA'!S14))</f>
        <v/>
      </c>
      <c r="D52" s="52" t="str">
        <f aca="false">IF($B52="","",IF('Cursos IA'!G14="","",'Cursos IA'!G14))</f>
        <v/>
      </c>
      <c r="E52" s="52" t="str">
        <f aca="false">IF($B52="","",IF('Cursos IA'!H14&lt;&gt;"",'Cursos IA'!H14,IF('Cursos IA'!I14&lt;&gt;"",'Cursos IA'!I14,"")))</f>
        <v/>
      </c>
      <c r="F52" s="52" t="str">
        <f aca="false">IF($B52="","",IF('Cursos IA'!I14="","",'Cursos IA'!I14))</f>
        <v/>
      </c>
      <c r="G52" s="38" t="str">
        <f aca="false">IF($B52="","",'Cursos IA'!N14)</f>
        <v/>
      </c>
      <c r="H52" s="82" t="str">
        <f aca="false">IF(OR($B52="",$F52=""),"",IF(AND($F52&gt;=H$7,$F52&lt;EDATE(H$7,1)),"▼",""))</f>
        <v/>
      </c>
      <c r="I52" s="82" t="str">
        <f aca="false">IF(OR($B52="",$F52=""),"",IF(AND($F52&gt;=I$7,$F52&lt;EDATE(I$7,1)),"▼",""))</f>
        <v/>
      </c>
      <c r="J52" s="82" t="str">
        <f aca="false">IF(OR($B52="",$F52=""),"",IF(AND($F52&gt;=J$7,$F52&lt;EDATE(J$7,1)),"▼",""))</f>
        <v/>
      </c>
      <c r="K52" s="82" t="str">
        <f aca="false">IF(OR($B52="",$F52=""),"",IF(AND($F52&gt;=K$7,$F52&lt;EDATE(K$7,1)),"▼",""))</f>
        <v/>
      </c>
      <c r="L52" s="82" t="str">
        <f aca="false">IF(OR($B52="",$F52=""),"",IF(AND($F52&gt;=L$7,$F52&lt;EDATE(L$7,1)),"▼",""))</f>
        <v/>
      </c>
      <c r="M52" s="82" t="str">
        <f aca="false">IF(OR($B52="",$F52=""),"",IF(AND($F52&gt;=M$7,$F52&lt;EDATE(M$7,1)),"▼",""))</f>
        <v/>
      </c>
      <c r="N52" s="82" t="str">
        <f aca="false">IF(OR($B52="",$F52=""),"",IF(AND($F52&gt;=N$7,$F52&lt;EDATE(N$7,1)),"▼",""))</f>
        <v/>
      </c>
      <c r="O52" s="82" t="str">
        <f aca="false">IF(OR($B52="",$F52=""),"",IF(AND($F52&gt;=O$7,$F52&lt;EDATE(O$7,1)),"▼",""))</f>
        <v/>
      </c>
      <c r="P52" s="82" t="str">
        <f aca="false">IF(OR($B52="",$F52=""),"",IF(AND($F52&gt;=P$7,$F52&lt;EDATE(P$7,1)),"▼",""))</f>
        <v/>
      </c>
      <c r="Q52" s="82" t="str">
        <f aca="false">IF(OR($B52="",$F52=""),"",IF(AND($F52&gt;=Q$7,$F52&lt;EDATE(Q$7,1)),"▼",""))</f>
        <v/>
      </c>
      <c r="R52" s="82" t="str">
        <f aca="false">IF(OR($B52="",$F52=""),"",IF(AND($F52&gt;=R$7,$F52&lt;EDATE(R$7,1)),"▼",""))</f>
        <v/>
      </c>
      <c r="S52" s="82" t="str">
        <f aca="false">IF(OR($B52="",$F52=""),"",IF(AND($F52&gt;=S$7,$F52&lt;EDATE(S$7,1)),"▼",""))</f>
        <v/>
      </c>
    </row>
    <row r="53" customFormat="false" ht="19.5" hidden="false" customHeight="true" outlineLevel="0" collapsed="false">
      <c r="A53" s="50" t="str">
        <f aca="false">IF($B53="","","Cursos IA")</f>
        <v/>
      </c>
      <c r="B53" s="13" t="str">
        <f aca="false">IF('Cursos IA'!B15="","",'Cursos IA'!B15)</f>
        <v/>
      </c>
      <c r="C53" s="81" t="str">
        <f aca="false">IF($B53="","",IF('Cursos IA'!S15="","",'Cursos IA'!S15))</f>
        <v/>
      </c>
      <c r="D53" s="52" t="str">
        <f aca="false">IF($B53="","",IF('Cursos IA'!G15="","",'Cursos IA'!G15))</f>
        <v/>
      </c>
      <c r="E53" s="52" t="str">
        <f aca="false">IF($B53="","",IF('Cursos IA'!H15&lt;&gt;"",'Cursos IA'!H15,IF('Cursos IA'!I15&lt;&gt;"",'Cursos IA'!I15,"")))</f>
        <v/>
      </c>
      <c r="F53" s="52" t="str">
        <f aca="false">IF($B53="","",IF('Cursos IA'!I15="","",'Cursos IA'!I15))</f>
        <v/>
      </c>
      <c r="G53" s="38" t="str">
        <f aca="false">IF($B53="","",'Cursos IA'!N15)</f>
        <v/>
      </c>
      <c r="H53" s="82" t="str">
        <f aca="false">IF(OR($B53="",$F53=""),"",IF(AND($F53&gt;=H$7,$F53&lt;EDATE(H$7,1)),"▼",""))</f>
        <v/>
      </c>
      <c r="I53" s="82" t="str">
        <f aca="false">IF(OR($B53="",$F53=""),"",IF(AND($F53&gt;=I$7,$F53&lt;EDATE(I$7,1)),"▼",""))</f>
        <v/>
      </c>
      <c r="J53" s="82" t="str">
        <f aca="false">IF(OR($B53="",$F53=""),"",IF(AND($F53&gt;=J$7,$F53&lt;EDATE(J$7,1)),"▼",""))</f>
        <v/>
      </c>
      <c r="K53" s="82" t="str">
        <f aca="false">IF(OR($B53="",$F53=""),"",IF(AND($F53&gt;=K$7,$F53&lt;EDATE(K$7,1)),"▼",""))</f>
        <v/>
      </c>
      <c r="L53" s="82" t="str">
        <f aca="false">IF(OR($B53="",$F53=""),"",IF(AND($F53&gt;=L$7,$F53&lt;EDATE(L$7,1)),"▼",""))</f>
        <v/>
      </c>
      <c r="M53" s="82" t="str">
        <f aca="false">IF(OR($B53="",$F53=""),"",IF(AND($F53&gt;=M$7,$F53&lt;EDATE(M$7,1)),"▼",""))</f>
        <v/>
      </c>
      <c r="N53" s="82" t="str">
        <f aca="false">IF(OR($B53="",$F53=""),"",IF(AND($F53&gt;=N$7,$F53&lt;EDATE(N$7,1)),"▼",""))</f>
        <v/>
      </c>
      <c r="O53" s="82" t="str">
        <f aca="false">IF(OR($B53="",$F53=""),"",IF(AND($F53&gt;=O$7,$F53&lt;EDATE(O$7,1)),"▼",""))</f>
        <v/>
      </c>
      <c r="P53" s="82" t="str">
        <f aca="false">IF(OR($B53="",$F53=""),"",IF(AND($F53&gt;=P$7,$F53&lt;EDATE(P$7,1)),"▼",""))</f>
        <v/>
      </c>
      <c r="Q53" s="82" t="str">
        <f aca="false">IF(OR($B53="",$F53=""),"",IF(AND($F53&gt;=Q$7,$F53&lt;EDATE(Q$7,1)),"▼",""))</f>
        <v/>
      </c>
      <c r="R53" s="82" t="str">
        <f aca="false">IF(OR($B53="",$F53=""),"",IF(AND($F53&gt;=R$7,$F53&lt;EDATE(R$7,1)),"▼",""))</f>
        <v/>
      </c>
      <c r="S53" s="82" t="str">
        <f aca="false">IF(OR($B53="",$F53=""),"",IF(AND($F53&gt;=S$7,$F53&lt;EDATE(S$7,1)),"▼",""))</f>
        <v/>
      </c>
    </row>
    <row r="54" customFormat="false" ht="19.5" hidden="false" customHeight="true" outlineLevel="0" collapsed="false">
      <c r="A54" s="50" t="str">
        <f aca="false">IF($B54="","","Cursos IA")</f>
        <v/>
      </c>
      <c r="B54" s="13" t="str">
        <f aca="false">IF('Cursos IA'!B16="","",'Cursos IA'!B16)</f>
        <v/>
      </c>
      <c r="C54" s="81" t="str">
        <f aca="false">IF($B54="","",IF('Cursos IA'!S16="","",'Cursos IA'!S16))</f>
        <v/>
      </c>
      <c r="D54" s="52" t="str">
        <f aca="false">IF($B54="","",IF('Cursos IA'!G16="","",'Cursos IA'!G16))</f>
        <v/>
      </c>
      <c r="E54" s="52" t="str">
        <f aca="false">IF($B54="","",IF('Cursos IA'!H16&lt;&gt;"",'Cursos IA'!H16,IF('Cursos IA'!I16&lt;&gt;"",'Cursos IA'!I16,"")))</f>
        <v/>
      </c>
      <c r="F54" s="52" t="str">
        <f aca="false">IF($B54="","",IF('Cursos IA'!I16="","",'Cursos IA'!I16))</f>
        <v/>
      </c>
      <c r="G54" s="38" t="str">
        <f aca="false">IF($B54="","",'Cursos IA'!N16)</f>
        <v/>
      </c>
      <c r="H54" s="82" t="str">
        <f aca="false">IF(OR($B54="",$F54=""),"",IF(AND($F54&gt;=H$7,$F54&lt;EDATE(H$7,1)),"▼",""))</f>
        <v/>
      </c>
      <c r="I54" s="82" t="str">
        <f aca="false">IF(OR($B54="",$F54=""),"",IF(AND($F54&gt;=I$7,$F54&lt;EDATE(I$7,1)),"▼",""))</f>
        <v/>
      </c>
      <c r="J54" s="82" t="str">
        <f aca="false">IF(OR($B54="",$F54=""),"",IF(AND($F54&gt;=J$7,$F54&lt;EDATE(J$7,1)),"▼",""))</f>
        <v/>
      </c>
      <c r="K54" s="82" t="str">
        <f aca="false">IF(OR($B54="",$F54=""),"",IF(AND($F54&gt;=K$7,$F54&lt;EDATE(K$7,1)),"▼",""))</f>
        <v/>
      </c>
      <c r="L54" s="82" t="str">
        <f aca="false">IF(OR($B54="",$F54=""),"",IF(AND($F54&gt;=L$7,$F54&lt;EDATE(L$7,1)),"▼",""))</f>
        <v/>
      </c>
      <c r="M54" s="82" t="str">
        <f aca="false">IF(OR($B54="",$F54=""),"",IF(AND($F54&gt;=M$7,$F54&lt;EDATE(M$7,1)),"▼",""))</f>
        <v/>
      </c>
      <c r="N54" s="82" t="str">
        <f aca="false">IF(OR($B54="",$F54=""),"",IF(AND($F54&gt;=N$7,$F54&lt;EDATE(N$7,1)),"▼",""))</f>
        <v/>
      </c>
      <c r="O54" s="82" t="str">
        <f aca="false">IF(OR($B54="",$F54=""),"",IF(AND($F54&gt;=O$7,$F54&lt;EDATE(O$7,1)),"▼",""))</f>
        <v/>
      </c>
      <c r="P54" s="82" t="str">
        <f aca="false">IF(OR($B54="",$F54=""),"",IF(AND($F54&gt;=P$7,$F54&lt;EDATE(P$7,1)),"▼",""))</f>
        <v/>
      </c>
      <c r="Q54" s="82" t="str">
        <f aca="false">IF(OR($B54="",$F54=""),"",IF(AND($F54&gt;=Q$7,$F54&lt;EDATE(Q$7,1)),"▼",""))</f>
        <v/>
      </c>
      <c r="R54" s="82" t="str">
        <f aca="false">IF(OR($B54="",$F54=""),"",IF(AND($F54&gt;=R$7,$F54&lt;EDATE(R$7,1)),"▼",""))</f>
        <v/>
      </c>
      <c r="S54" s="82" t="str">
        <f aca="false">IF(OR($B54="",$F54=""),"",IF(AND($F54&gt;=S$7,$F54&lt;EDATE(S$7,1)),"▼",""))</f>
        <v/>
      </c>
    </row>
    <row r="55" customFormat="false" ht="19.5" hidden="false" customHeight="true" outlineLevel="0" collapsed="false">
      <c r="A55" s="50" t="str">
        <f aca="false">IF($B55="","","Cursos IA")</f>
        <v/>
      </c>
      <c r="B55" s="13" t="str">
        <f aca="false">IF('Cursos IA'!B17="","",'Cursos IA'!B17)</f>
        <v/>
      </c>
      <c r="C55" s="81" t="str">
        <f aca="false">IF($B55="","",IF('Cursos IA'!S17="","",'Cursos IA'!S17))</f>
        <v/>
      </c>
      <c r="D55" s="52" t="str">
        <f aca="false">IF($B55="","",IF('Cursos IA'!G17="","",'Cursos IA'!G17))</f>
        <v/>
      </c>
      <c r="E55" s="52" t="str">
        <f aca="false">IF($B55="","",IF('Cursos IA'!H17&lt;&gt;"",'Cursos IA'!H17,IF('Cursos IA'!I17&lt;&gt;"",'Cursos IA'!I17,"")))</f>
        <v/>
      </c>
      <c r="F55" s="52" t="str">
        <f aca="false">IF($B55="","",IF('Cursos IA'!I17="","",'Cursos IA'!I17))</f>
        <v/>
      </c>
      <c r="G55" s="38" t="str">
        <f aca="false">IF($B55="","",'Cursos IA'!N17)</f>
        <v/>
      </c>
      <c r="H55" s="82" t="str">
        <f aca="false">IF(OR($B55="",$F55=""),"",IF(AND($F55&gt;=H$7,$F55&lt;EDATE(H$7,1)),"▼",""))</f>
        <v/>
      </c>
      <c r="I55" s="82" t="str">
        <f aca="false">IF(OR($B55="",$F55=""),"",IF(AND($F55&gt;=I$7,$F55&lt;EDATE(I$7,1)),"▼",""))</f>
        <v/>
      </c>
      <c r="J55" s="82" t="str">
        <f aca="false">IF(OR($B55="",$F55=""),"",IF(AND($F55&gt;=J$7,$F55&lt;EDATE(J$7,1)),"▼",""))</f>
        <v/>
      </c>
      <c r="K55" s="82" t="str">
        <f aca="false">IF(OR($B55="",$F55=""),"",IF(AND($F55&gt;=K$7,$F55&lt;EDATE(K$7,1)),"▼",""))</f>
        <v/>
      </c>
      <c r="L55" s="82" t="str">
        <f aca="false">IF(OR($B55="",$F55=""),"",IF(AND($F55&gt;=L$7,$F55&lt;EDATE(L$7,1)),"▼",""))</f>
        <v/>
      </c>
      <c r="M55" s="82" t="str">
        <f aca="false">IF(OR($B55="",$F55=""),"",IF(AND($F55&gt;=M$7,$F55&lt;EDATE(M$7,1)),"▼",""))</f>
        <v/>
      </c>
      <c r="N55" s="82" t="str">
        <f aca="false">IF(OR($B55="",$F55=""),"",IF(AND($F55&gt;=N$7,$F55&lt;EDATE(N$7,1)),"▼",""))</f>
        <v/>
      </c>
      <c r="O55" s="82" t="str">
        <f aca="false">IF(OR($B55="",$F55=""),"",IF(AND($F55&gt;=O$7,$F55&lt;EDATE(O$7,1)),"▼",""))</f>
        <v/>
      </c>
      <c r="P55" s="82" t="str">
        <f aca="false">IF(OR($B55="",$F55=""),"",IF(AND($F55&gt;=P$7,$F55&lt;EDATE(P$7,1)),"▼",""))</f>
        <v/>
      </c>
      <c r="Q55" s="82" t="str">
        <f aca="false">IF(OR($B55="",$F55=""),"",IF(AND($F55&gt;=Q$7,$F55&lt;EDATE(Q$7,1)),"▼",""))</f>
        <v/>
      </c>
      <c r="R55" s="82" t="str">
        <f aca="false">IF(OR($B55="",$F55=""),"",IF(AND($F55&gt;=R$7,$F55&lt;EDATE(R$7,1)),"▼",""))</f>
        <v/>
      </c>
      <c r="S55" s="82" t="str">
        <f aca="false">IF(OR($B55="",$F55=""),"",IF(AND($F55&gt;=S$7,$F55&lt;EDATE(S$7,1)),"▼",""))</f>
        <v/>
      </c>
    </row>
    <row r="56" customFormat="false" ht="19.5" hidden="false" customHeight="true" outlineLevel="0" collapsed="false">
      <c r="A56" s="50" t="str">
        <f aca="false">IF($B56="","","Cursos IA")</f>
        <v/>
      </c>
      <c r="B56" s="13" t="str">
        <f aca="false">IF('Cursos IA'!B18="","",'Cursos IA'!B18)</f>
        <v/>
      </c>
      <c r="C56" s="81" t="str">
        <f aca="false">IF($B56="","",IF('Cursos IA'!S18="","",'Cursos IA'!S18))</f>
        <v/>
      </c>
      <c r="D56" s="52" t="str">
        <f aca="false">IF($B56="","",IF('Cursos IA'!G18="","",'Cursos IA'!G18))</f>
        <v/>
      </c>
      <c r="E56" s="52" t="str">
        <f aca="false">IF($B56="","",IF('Cursos IA'!H18&lt;&gt;"",'Cursos IA'!H18,IF('Cursos IA'!I18&lt;&gt;"",'Cursos IA'!I18,"")))</f>
        <v/>
      </c>
      <c r="F56" s="52" t="str">
        <f aca="false">IF($B56="","",IF('Cursos IA'!I18="","",'Cursos IA'!I18))</f>
        <v/>
      </c>
      <c r="G56" s="38" t="str">
        <f aca="false">IF($B56="","",'Cursos IA'!N18)</f>
        <v/>
      </c>
      <c r="H56" s="82" t="str">
        <f aca="false">IF(OR($B56="",$F56=""),"",IF(AND($F56&gt;=H$7,$F56&lt;EDATE(H$7,1)),"▼",""))</f>
        <v/>
      </c>
      <c r="I56" s="82" t="str">
        <f aca="false">IF(OR($B56="",$F56=""),"",IF(AND($F56&gt;=I$7,$F56&lt;EDATE(I$7,1)),"▼",""))</f>
        <v/>
      </c>
      <c r="J56" s="82" t="str">
        <f aca="false">IF(OR($B56="",$F56=""),"",IF(AND($F56&gt;=J$7,$F56&lt;EDATE(J$7,1)),"▼",""))</f>
        <v/>
      </c>
      <c r="K56" s="82" t="str">
        <f aca="false">IF(OR($B56="",$F56=""),"",IF(AND($F56&gt;=K$7,$F56&lt;EDATE(K$7,1)),"▼",""))</f>
        <v/>
      </c>
      <c r="L56" s="82" t="str">
        <f aca="false">IF(OR($B56="",$F56=""),"",IF(AND($F56&gt;=L$7,$F56&lt;EDATE(L$7,1)),"▼",""))</f>
        <v/>
      </c>
      <c r="M56" s="82" t="str">
        <f aca="false">IF(OR($B56="",$F56=""),"",IF(AND($F56&gt;=M$7,$F56&lt;EDATE(M$7,1)),"▼",""))</f>
        <v/>
      </c>
      <c r="N56" s="82" t="str">
        <f aca="false">IF(OR($B56="",$F56=""),"",IF(AND($F56&gt;=N$7,$F56&lt;EDATE(N$7,1)),"▼",""))</f>
        <v/>
      </c>
      <c r="O56" s="82" t="str">
        <f aca="false">IF(OR($B56="",$F56=""),"",IF(AND($F56&gt;=O$7,$F56&lt;EDATE(O$7,1)),"▼",""))</f>
        <v/>
      </c>
      <c r="P56" s="82" t="str">
        <f aca="false">IF(OR($B56="",$F56=""),"",IF(AND($F56&gt;=P$7,$F56&lt;EDATE(P$7,1)),"▼",""))</f>
        <v/>
      </c>
      <c r="Q56" s="82" t="str">
        <f aca="false">IF(OR($B56="",$F56=""),"",IF(AND($F56&gt;=Q$7,$F56&lt;EDATE(Q$7,1)),"▼",""))</f>
        <v/>
      </c>
      <c r="R56" s="82" t="str">
        <f aca="false">IF(OR($B56="",$F56=""),"",IF(AND($F56&gt;=R$7,$F56&lt;EDATE(R$7,1)),"▼",""))</f>
        <v/>
      </c>
      <c r="S56" s="82" t="str">
        <f aca="false">IF(OR($B56="",$F56=""),"",IF(AND($F56&gt;=S$7,$F56&lt;EDATE(S$7,1)),"▼",""))</f>
        <v/>
      </c>
    </row>
    <row r="57" customFormat="false" ht="19.5" hidden="false" customHeight="true" outlineLevel="0" collapsed="false">
      <c r="A57" s="50" t="str">
        <f aca="false">IF($B57="","","Cursos IA")</f>
        <v/>
      </c>
      <c r="B57" s="13" t="str">
        <f aca="false">IF('Cursos IA'!B19="","",'Cursos IA'!B19)</f>
        <v/>
      </c>
      <c r="C57" s="81" t="str">
        <f aca="false">IF($B57="","",IF('Cursos IA'!S19="","",'Cursos IA'!S19))</f>
        <v/>
      </c>
      <c r="D57" s="52" t="str">
        <f aca="false">IF($B57="","",IF('Cursos IA'!G19="","",'Cursos IA'!G19))</f>
        <v/>
      </c>
      <c r="E57" s="52" t="str">
        <f aca="false">IF($B57="","",IF('Cursos IA'!H19&lt;&gt;"",'Cursos IA'!H19,IF('Cursos IA'!I19&lt;&gt;"",'Cursos IA'!I19,"")))</f>
        <v/>
      </c>
      <c r="F57" s="52" t="str">
        <f aca="false">IF($B57="","",IF('Cursos IA'!I19="","",'Cursos IA'!I19))</f>
        <v/>
      </c>
      <c r="G57" s="38" t="str">
        <f aca="false">IF($B57="","",'Cursos IA'!N19)</f>
        <v/>
      </c>
      <c r="H57" s="82" t="str">
        <f aca="false">IF(OR($B57="",$F57=""),"",IF(AND($F57&gt;=H$7,$F57&lt;EDATE(H$7,1)),"▼",""))</f>
        <v/>
      </c>
      <c r="I57" s="82" t="str">
        <f aca="false">IF(OR($B57="",$F57=""),"",IF(AND($F57&gt;=I$7,$F57&lt;EDATE(I$7,1)),"▼",""))</f>
        <v/>
      </c>
      <c r="J57" s="82" t="str">
        <f aca="false">IF(OR($B57="",$F57=""),"",IF(AND($F57&gt;=J$7,$F57&lt;EDATE(J$7,1)),"▼",""))</f>
        <v/>
      </c>
      <c r="K57" s="82" t="str">
        <f aca="false">IF(OR($B57="",$F57=""),"",IF(AND($F57&gt;=K$7,$F57&lt;EDATE(K$7,1)),"▼",""))</f>
        <v/>
      </c>
      <c r="L57" s="82" t="str">
        <f aca="false">IF(OR($B57="",$F57=""),"",IF(AND($F57&gt;=L$7,$F57&lt;EDATE(L$7,1)),"▼",""))</f>
        <v/>
      </c>
      <c r="M57" s="82" t="str">
        <f aca="false">IF(OR($B57="",$F57=""),"",IF(AND($F57&gt;=M$7,$F57&lt;EDATE(M$7,1)),"▼",""))</f>
        <v/>
      </c>
      <c r="N57" s="82" t="str">
        <f aca="false">IF(OR($B57="",$F57=""),"",IF(AND($F57&gt;=N$7,$F57&lt;EDATE(N$7,1)),"▼",""))</f>
        <v/>
      </c>
      <c r="O57" s="82" t="str">
        <f aca="false">IF(OR($B57="",$F57=""),"",IF(AND($F57&gt;=O$7,$F57&lt;EDATE(O$7,1)),"▼",""))</f>
        <v/>
      </c>
      <c r="P57" s="82" t="str">
        <f aca="false">IF(OR($B57="",$F57=""),"",IF(AND($F57&gt;=P$7,$F57&lt;EDATE(P$7,1)),"▼",""))</f>
        <v/>
      </c>
      <c r="Q57" s="82" t="str">
        <f aca="false">IF(OR($B57="",$F57=""),"",IF(AND($F57&gt;=Q$7,$F57&lt;EDATE(Q$7,1)),"▼",""))</f>
        <v/>
      </c>
      <c r="R57" s="82" t="str">
        <f aca="false">IF(OR($B57="",$F57=""),"",IF(AND($F57&gt;=R$7,$F57&lt;EDATE(R$7,1)),"▼",""))</f>
        <v/>
      </c>
      <c r="S57" s="82" t="str">
        <f aca="false">IF(OR($B57="",$F57=""),"",IF(AND($F57&gt;=S$7,$F57&lt;EDATE(S$7,1)),"▼",""))</f>
        <v/>
      </c>
    </row>
    <row r="58" customFormat="false" ht="19.5" hidden="false" customHeight="true" outlineLevel="0" collapsed="false">
      <c r="A58" s="50" t="str">
        <f aca="false">IF($B58="","","Cursos IA")</f>
        <v/>
      </c>
      <c r="B58" s="13" t="str">
        <f aca="false">IF('Cursos IA'!B20="","",'Cursos IA'!B20)</f>
        <v/>
      </c>
      <c r="C58" s="81" t="str">
        <f aca="false">IF($B58="","",IF('Cursos IA'!S20="","",'Cursos IA'!S20))</f>
        <v/>
      </c>
      <c r="D58" s="52" t="str">
        <f aca="false">IF($B58="","",IF('Cursos IA'!G20="","",'Cursos IA'!G20))</f>
        <v/>
      </c>
      <c r="E58" s="52" t="str">
        <f aca="false">IF($B58="","",IF('Cursos IA'!H20&lt;&gt;"",'Cursos IA'!H20,IF('Cursos IA'!I20&lt;&gt;"",'Cursos IA'!I20,"")))</f>
        <v/>
      </c>
      <c r="F58" s="52" t="str">
        <f aca="false">IF($B58="","",IF('Cursos IA'!I20="","",'Cursos IA'!I20))</f>
        <v/>
      </c>
      <c r="G58" s="38" t="str">
        <f aca="false">IF($B58="","",'Cursos IA'!N20)</f>
        <v/>
      </c>
      <c r="H58" s="82" t="str">
        <f aca="false">IF(OR($B58="",$F58=""),"",IF(AND($F58&gt;=H$7,$F58&lt;EDATE(H$7,1)),"▼",""))</f>
        <v/>
      </c>
      <c r="I58" s="82" t="str">
        <f aca="false">IF(OR($B58="",$F58=""),"",IF(AND($F58&gt;=I$7,$F58&lt;EDATE(I$7,1)),"▼",""))</f>
        <v/>
      </c>
      <c r="J58" s="82" t="str">
        <f aca="false">IF(OR($B58="",$F58=""),"",IF(AND($F58&gt;=J$7,$F58&lt;EDATE(J$7,1)),"▼",""))</f>
        <v/>
      </c>
      <c r="K58" s="82" t="str">
        <f aca="false">IF(OR($B58="",$F58=""),"",IF(AND($F58&gt;=K$7,$F58&lt;EDATE(K$7,1)),"▼",""))</f>
        <v/>
      </c>
      <c r="L58" s="82" t="str">
        <f aca="false">IF(OR($B58="",$F58=""),"",IF(AND($F58&gt;=L$7,$F58&lt;EDATE(L$7,1)),"▼",""))</f>
        <v/>
      </c>
      <c r="M58" s="82" t="str">
        <f aca="false">IF(OR($B58="",$F58=""),"",IF(AND($F58&gt;=M$7,$F58&lt;EDATE(M$7,1)),"▼",""))</f>
        <v/>
      </c>
      <c r="N58" s="82" t="str">
        <f aca="false">IF(OR($B58="",$F58=""),"",IF(AND($F58&gt;=N$7,$F58&lt;EDATE(N$7,1)),"▼",""))</f>
        <v/>
      </c>
      <c r="O58" s="82" t="str">
        <f aca="false">IF(OR($B58="",$F58=""),"",IF(AND($F58&gt;=O$7,$F58&lt;EDATE(O$7,1)),"▼",""))</f>
        <v/>
      </c>
      <c r="P58" s="82" t="str">
        <f aca="false">IF(OR($B58="",$F58=""),"",IF(AND($F58&gt;=P$7,$F58&lt;EDATE(P$7,1)),"▼",""))</f>
        <v/>
      </c>
      <c r="Q58" s="82" t="str">
        <f aca="false">IF(OR($B58="",$F58=""),"",IF(AND($F58&gt;=Q$7,$F58&lt;EDATE(Q$7,1)),"▼",""))</f>
        <v/>
      </c>
      <c r="R58" s="82" t="str">
        <f aca="false">IF(OR($B58="",$F58=""),"",IF(AND($F58&gt;=R$7,$F58&lt;EDATE(R$7,1)),"▼",""))</f>
        <v/>
      </c>
      <c r="S58" s="82" t="str">
        <f aca="false">IF(OR($B58="",$F58=""),"",IF(AND($F58&gt;=S$7,$F58&lt;EDATE(S$7,1)),"▼",""))</f>
        <v/>
      </c>
    </row>
    <row r="59" customFormat="false" ht="19.5" hidden="false" customHeight="true" outlineLevel="0" collapsed="false">
      <c r="A59" s="50" t="str">
        <f aca="false">IF($B59="","","Cursos IA")</f>
        <v/>
      </c>
      <c r="B59" s="13" t="str">
        <f aca="false">IF('Cursos IA'!B21="","",'Cursos IA'!B21)</f>
        <v/>
      </c>
      <c r="C59" s="81" t="str">
        <f aca="false">IF($B59="","",IF('Cursos IA'!S21="","",'Cursos IA'!S21))</f>
        <v/>
      </c>
      <c r="D59" s="52" t="str">
        <f aca="false">IF($B59="","",IF('Cursos IA'!G21="","",'Cursos IA'!G21))</f>
        <v/>
      </c>
      <c r="E59" s="52" t="str">
        <f aca="false">IF($B59="","",IF('Cursos IA'!H21&lt;&gt;"",'Cursos IA'!H21,IF('Cursos IA'!I21&lt;&gt;"",'Cursos IA'!I21,"")))</f>
        <v/>
      </c>
      <c r="F59" s="52" t="str">
        <f aca="false">IF($B59="","",IF('Cursos IA'!I21="","",'Cursos IA'!I21))</f>
        <v/>
      </c>
      <c r="G59" s="38" t="str">
        <f aca="false">IF($B59="","",'Cursos IA'!N21)</f>
        <v/>
      </c>
      <c r="H59" s="82" t="str">
        <f aca="false">IF(OR($B59="",$F59=""),"",IF(AND($F59&gt;=H$7,$F59&lt;EDATE(H$7,1)),"▼",""))</f>
        <v/>
      </c>
      <c r="I59" s="82" t="str">
        <f aca="false">IF(OR($B59="",$F59=""),"",IF(AND($F59&gt;=I$7,$F59&lt;EDATE(I$7,1)),"▼",""))</f>
        <v/>
      </c>
      <c r="J59" s="82" t="str">
        <f aca="false">IF(OR($B59="",$F59=""),"",IF(AND($F59&gt;=J$7,$F59&lt;EDATE(J$7,1)),"▼",""))</f>
        <v/>
      </c>
      <c r="K59" s="82" t="str">
        <f aca="false">IF(OR($B59="",$F59=""),"",IF(AND($F59&gt;=K$7,$F59&lt;EDATE(K$7,1)),"▼",""))</f>
        <v/>
      </c>
      <c r="L59" s="82" t="str">
        <f aca="false">IF(OR($B59="",$F59=""),"",IF(AND($F59&gt;=L$7,$F59&lt;EDATE(L$7,1)),"▼",""))</f>
        <v/>
      </c>
      <c r="M59" s="82" t="str">
        <f aca="false">IF(OR($B59="",$F59=""),"",IF(AND($F59&gt;=M$7,$F59&lt;EDATE(M$7,1)),"▼",""))</f>
        <v/>
      </c>
      <c r="N59" s="82" t="str">
        <f aca="false">IF(OR($B59="",$F59=""),"",IF(AND($F59&gt;=N$7,$F59&lt;EDATE(N$7,1)),"▼",""))</f>
        <v/>
      </c>
      <c r="O59" s="82" t="str">
        <f aca="false">IF(OR($B59="",$F59=""),"",IF(AND($F59&gt;=O$7,$F59&lt;EDATE(O$7,1)),"▼",""))</f>
        <v/>
      </c>
      <c r="P59" s="82" t="str">
        <f aca="false">IF(OR($B59="",$F59=""),"",IF(AND($F59&gt;=P$7,$F59&lt;EDATE(P$7,1)),"▼",""))</f>
        <v/>
      </c>
      <c r="Q59" s="82" t="str">
        <f aca="false">IF(OR($B59="",$F59=""),"",IF(AND($F59&gt;=Q$7,$F59&lt;EDATE(Q$7,1)),"▼",""))</f>
        <v/>
      </c>
      <c r="R59" s="82" t="str">
        <f aca="false">IF(OR($B59="",$F59=""),"",IF(AND($F59&gt;=R$7,$F59&lt;EDATE(R$7,1)),"▼",""))</f>
        <v/>
      </c>
      <c r="S59" s="82" t="str">
        <f aca="false">IF(OR($B59="",$F59=""),"",IF(AND($F59&gt;=S$7,$F59&lt;EDATE(S$7,1)),"▼",""))</f>
        <v/>
      </c>
    </row>
    <row r="60" customFormat="false" ht="19.5" hidden="false" customHeight="true" outlineLevel="0" collapsed="false">
      <c r="A60" s="83" t="s">
        <v>118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</row>
    <row r="61" customFormat="false" ht="19.5" hidden="false" customHeight="true" outlineLevel="0" collapsed="false">
      <c r="A61" s="50" t="str">
        <f aca="false">IF($B61="","","Renda Extra")</f>
        <v>Renda Extra</v>
      </c>
      <c r="B61" s="13" t="str">
        <f aca="false">IF('Renda Extra'!B10="","",'Renda Extra'!B10)</f>
        <v>Marketing de Afiliados do Zero (exemplo)</v>
      </c>
      <c r="C61" s="81" t="str">
        <f aca="false">IF($B61="","",IF('Renda Extra'!S10="","",'Renda Extra'!S10))</f>
        <v>Em andamento</v>
      </c>
      <c r="D61" s="52" t="n">
        <f aca="false">IF($B61="","",IF('Renda Extra'!G10="","",'Renda Extra'!G10))</f>
        <v>46268</v>
      </c>
      <c r="E61" s="52" t="n">
        <f aca="false">IF($B61="","",IF('Renda Extra'!H10&lt;&gt;"",'Renda Extra'!H10,IF('Renda Extra'!I10&lt;&gt;"",'Renda Extra'!I10,"")))</f>
        <v>46356</v>
      </c>
      <c r="F61" s="52" t="n">
        <f aca="false">IF($B61="","",IF('Renda Extra'!I10="","",'Renda Extra'!I10))</f>
        <v>46631</v>
      </c>
      <c r="G61" s="38" t="n">
        <f aca="false">IF($B61="","",'Renda Extra'!N10)</f>
        <v>0.222222222222222</v>
      </c>
      <c r="H61" s="82" t="str">
        <f aca="false">IF(OR($B61="",$F61=""),"",IF(AND($F61&gt;=H$7,$F61&lt;EDATE(H$7,1)),"▼",""))</f>
        <v/>
      </c>
      <c r="I61" s="82" t="str">
        <f aca="false">IF(OR($B61="",$F61=""),"",IF(AND($F61&gt;=I$7,$F61&lt;EDATE(I$7,1)),"▼",""))</f>
        <v/>
      </c>
      <c r="J61" s="82" t="str">
        <f aca="false">IF(OR($B61="",$F61=""),"",IF(AND($F61&gt;=J$7,$F61&lt;EDATE(J$7,1)),"▼",""))</f>
        <v/>
      </c>
      <c r="K61" s="82" t="str">
        <f aca="false">IF(OR($B61="",$F61=""),"",IF(AND($F61&gt;=K$7,$F61&lt;EDATE(K$7,1)),"▼",""))</f>
        <v/>
      </c>
      <c r="L61" s="82" t="str">
        <f aca="false">IF(OR($B61="",$F61=""),"",IF(AND($F61&gt;=L$7,$F61&lt;EDATE(L$7,1)),"▼",""))</f>
        <v/>
      </c>
      <c r="M61" s="82" t="str">
        <f aca="false">IF(OR($B61="",$F61=""),"",IF(AND($F61&gt;=M$7,$F61&lt;EDATE(M$7,1)),"▼",""))</f>
        <v/>
      </c>
      <c r="N61" s="82" t="str">
        <f aca="false">IF(OR($B61="",$F61=""),"",IF(AND($F61&gt;=N$7,$F61&lt;EDATE(N$7,1)),"▼",""))</f>
        <v/>
      </c>
      <c r="O61" s="82" t="str">
        <f aca="false">IF(OR($B61="",$F61=""),"",IF(AND($F61&gt;=O$7,$F61&lt;EDATE(O$7,1)),"▼",""))</f>
        <v/>
      </c>
      <c r="P61" s="82" t="str">
        <f aca="false">IF(OR($B61="",$F61=""),"",IF(AND($F61&gt;=P$7,$F61&lt;EDATE(P$7,1)),"▼",""))</f>
        <v/>
      </c>
      <c r="Q61" s="82" t="str">
        <f aca="false">IF(OR($B61="",$F61=""),"",IF(AND($F61&gt;=Q$7,$F61&lt;EDATE(Q$7,1)),"▼",""))</f>
        <v/>
      </c>
      <c r="R61" s="82" t="str">
        <f aca="false">IF(OR($B61="",$F61=""),"",IF(AND($F61&gt;=R$7,$F61&lt;EDATE(R$7,1)),"▼",""))</f>
        <v/>
      </c>
      <c r="S61" s="82" t="str">
        <f aca="false">IF(OR($B61="",$F61=""),"",IF(AND($F61&gt;=S$7,$F61&lt;EDATE(S$7,1)),"▼",""))</f>
        <v>▼</v>
      </c>
    </row>
    <row r="62" customFormat="false" ht="19.5" hidden="false" customHeight="true" outlineLevel="0" collapsed="false">
      <c r="A62" s="50" t="str">
        <f aca="false">IF($B62="","","Renda Extra")</f>
        <v/>
      </c>
      <c r="B62" s="13" t="str">
        <f aca="false">IF('Renda Extra'!B11="","",'Renda Extra'!B11)</f>
        <v/>
      </c>
      <c r="C62" s="81" t="str">
        <f aca="false">IF($B62="","",IF('Renda Extra'!S11="","",'Renda Extra'!S11))</f>
        <v/>
      </c>
      <c r="D62" s="52" t="str">
        <f aca="false">IF($B62="","",IF('Renda Extra'!G11="","",'Renda Extra'!G11))</f>
        <v/>
      </c>
      <c r="E62" s="52" t="str">
        <f aca="false">IF($B62="","",IF('Renda Extra'!H11&lt;&gt;"",'Renda Extra'!H11,IF('Renda Extra'!I11&lt;&gt;"",'Renda Extra'!I11,"")))</f>
        <v/>
      </c>
      <c r="F62" s="52" t="str">
        <f aca="false">IF($B62="","",IF('Renda Extra'!I11="","",'Renda Extra'!I11))</f>
        <v/>
      </c>
      <c r="G62" s="38" t="str">
        <f aca="false">IF($B62="","",'Renda Extra'!N11)</f>
        <v/>
      </c>
      <c r="H62" s="82" t="str">
        <f aca="false">IF(OR($B62="",$F62=""),"",IF(AND($F62&gt;=H$7,$F62&lt;EDATE(H$7,1)),"▼",""))</f>
        <v/>
      </c>
      <c r="I62" s="82" t="str">
        <f aca="false">IF(OR($B62="",$F62=""),"",IF(AND($F62&gt;=I$7,$F62&lt;EDATE(I$7,1)),"▼",""))</f>
        <v/>
      </c>
      <c r="J62" s="82" t="str">
        <f aca="false">IF(OR($B62="",$F62=""),"",IF(AND($F62&gt;=J$7,$F62&lt;EDATE(J$7,1)),"▼",""))</f>
        <v/>
      </c>
      <c r="K62" s="82" t="str">
        <f aca="false">IF(OR($B62="",$F62=""),"",IF(AND($F62&gt;=K$7,$F62&lt;EDATE(K$7,1)),"▼",""))</f>
        <v/>
      </c>
      <c r="L62" s="82" t="str">
        <f aca="false">IF(OR($B62="",$F62=""),"",IF(AND($F62&gt;=L$7,$F62&lt;EDATE(L$7,1)),"▼",""))</f>
        <v/>
      </c>
      <c r="M62" s="82" t="str">
        <f aca="false">IF(OR($B62="",$F62=""),"",IF(AND($F62&gt;=M$7,$F62&lt;EDATE(M$7,1)),"▼",""))</f>
        <v/>
      </c>
      <c r="N62" s="82" t="str">
        <f aca="false">IF(OR($B62="",$F62=""),"",IF(AND($F62&gt;=N$7,$F62&lt;EDATE(N$7,1)),"▼",""))</f>
        <v/>
      </c>
      <c r="O62" s="82" t="str">
        <f aca="false">IF(OR($B62="",$F62=""),"",IF(AND($F62&gt;=O$7,$F62&lt;EDATE(O$7,1)),"▼",""))</f>
        <v/>
      </c>
      <c r="P62" s="82" t="str">
        <f aca="false">IF(OR($B62="",$F62=""),"",IF(AND($F62&gt;=P$7,$F62&lt;EDATE(P$7,1)),"▼",""))</f>
        <v/>
      </c>
      <c r="Q62" s="82" t="str">
        <f aca="false">IF(OR($B62="",$F62=""),"",IF(AND($F62&gt;=Q$7,$F62&lt;EDATE(Q$7,1)),"▼",""))</f>
        <v/>
      </c>
      <c r="R62" s="82" t="str">
        <f aca="false">IF(OR($B62="",$F62=""),"",IF(AND($F62&gt;=R$7,$F62&lt;EDATE(R$7,1)),"▼",""))</f>
        <v/>
      </c>
      <c r="S62" s="82" t="str">
        <f aca="false">IF(OR($B62="",$F62=""),"",IF(AND($F62&gt;=S$7,$F62&lt;EDATE(S$7,1)),"▼",""))</f>
        <v/>
      </c>
    </row>
    <row r="63" customFormat="false" ht="19.5" hidden="false" customHeight="true" outlineLevel="0" collapsed="false">
      <c r="A63" s="50" t="str">
        <f aca="false">IF($B63="","","Renda Extra")</f>
        <v/>
      </c>
      <c r="B63" s="13" t="str">
        <f aca="false">IF('Renda Extra'!B12="","",'Renda Extra'!B12)</f>
        <v/>
      </c>
      <c r="C63" s="81" t="str">
        <f aca="false">IF($B63="","",IF('Renda Extra'!S12="","",'Renda Extra'!S12))</f>
        <v/>
      </c>
      <c r="D63" s="52" t="str">
        <f aca="false">IF($B63="","",IF('Renda Extra'!G12="","",'Renda Extra'!G12))</f>
        <v/>
      </c>
      <c r="E63" s="52" t="str">
        <f aca="false">IF($B63="","",IF('Renda Extra'!H12&lt;&gt;"",'Renda Extra'!H12,IF('Renda Extra'!I12&lt;&gt;"",'Renda Extra'!I12,"")))</f>
        <v/>
      </c>
      <c r="F63" s="52" t="str">
        <f aca="false">IF($B63="","",IF('Renda Extra'!I12="","",'Renda Extra'!I12))</f>
        <v/>
      </c>
      <c r="G63" s="38" t="str">
        <f aca="false">IF($B63="","",'Renda Extra'!N12)</f>
        <v/>
      </c>
      <c r="H63" s="82" t="str">
        <f aca="false">IF(OR($B63="",$F63=""),"",IF(AND($F63&gt;=H$7,$F63&lt;EDATE(H$7,1)),"▼",""))</f>
        <v/>
      </c>
      <c r="I63" s="82" t="str">
        <f aca="false">IF(OR($B63="",$F63=""),"",IF(AND($F63&gt;=I$7,$F63&lt;EDATE(I$7,1)),"▼",""))</f>
        <v/>
      </c>
      <c r="J63" s="82" t="str">
        <f aca="false">IF(OR($B63="",$F63=""),"",IF(AND($F63&gt;=J$7,$F63&lt;EDATE(J$7,1)),"▼",""))</f>
        <v/>
      </c>
      <c r="K63" s="82" t="str">
        <f aca="false">IF(OR($B63="",$F63=""),"",IF(AND($F63&gt;=K$7,$F63&lt;EDATE(K$7,1)),"▼",""))</f>
        <v/>
      </c>
      <c r="L63" s="82" t="str">
        <f aca="false">IF(OR($B63="",$F63=""),"",IF(AND($F63&gt;=L$7,$F63&lt;EDATE(L$7,1)),"▼",""))</f>
        <v/>
      </c>
      <c r="M63" s="82" t="str">
        <f aca="false">IF(OR($B63="",$F63=""),"",IF(AND($F63&gt;=M$7,$F63&lt;EDATE(M$7,1)),"▼",""))</f>
        <v/>
      </c>
      <c r="N63" s="82" t="str">
        <f aca="false">IF(OR($B63="",$F63=""),"",IF(AND($F63&gt;=N$7,$F63&lt;EDATE(N$7,1)),"▼",""))</f>
        <v/>
      </c>
      <c r="O63" s="82" t="str">
        <f aca="false">IF(OR($B63="",$F63=""),"",IF(AND($F63&gt;=O$7,$F63&lt;EDATE(O$7,1)),"▼",""))</f>
        <v/>
      </c>
      <c r="P63" s="82" t="str">
        <f aca="false">IF(OR($B63="",$F63=""),"",IF(AND($F63&gt;=P$7,$F63&lt;EDATE(P$7,1)),"▼",""))</f>
        <v/>
      </c>
      <c r="Q63" s="82" t="str">
        <f aca="false">IF(OR($B63="",$F63=""),"",IF(AND($F63&gt;=Q$7,$F63&lt;EDATE(Q$7,1)),"▼",""))</f>
        <v/>
      </c>
      <c r="R63" s="82" t="str">
        <f aca="false">IF(OR($B63="",$F63=""),"",IF(AND($F63&gt;=R$7,$F63&lt;EDATE(R$7,1)),"▼",""))</f>
        <v/>
      </c>
      <c r="S63" s="82" t="str">
        <f aca="false">IF(OR($B63="",$F63=""),"",IF(AND($F63&gt;=S$7,$F63&lt;EDATE(S$7,1)),"▼",""))</f>
        <v/>
      </c>
    </row>
    <row r="64" customFormat="false" ht="19.5" hidden="false" customHeight="true" outlineLevel="0" collapsed="false">
      <c r="A64" s="50" t="str">
        <f aca="false">IF($B64="","","Renda Extra")</f>
        <v/>
      </c>
      <c r="B64" s="13" t="str">
        <f aca="false">IF('Renda Extra'!B13="","",'Renda Extra'!B13)</f>
        <v/>
      </c>
      <c r="C64" s="81" t="str">
        <f aca="false">IF($B64="","",IF('Renda Extra'!S13="","",'Renda Extra'!S13))</f>
        <v/>
      </c>
      <c r="D64" s="52" t="str">
        <f aca="false">IF($B64="","",IF('Renda Extra'!G13="","",'Renda Extra'!G13))</f>
        <v/>
      </c>
      <c r="E64" s="52" t="str">
        <f aca="false">IF($B64="","",IF('Renda Extra'!H13&lt;&gt;"",'Renda Extra'!H13,IF('Renda Extra'!I13&lt;&gt;"",'Renda Extra'!I13,"")))</f>
        <v/>
      </c>
      <c r="F64" s="52" t="str">
        <f aca="false">IF($B64="","",IF('Renda Extra'!I13="","",'Renda Extra'!I13))</f>
        <v/>
      </c>
      <c r="G64" s="38" t="str">
        <f aca="false">IF($B64="","",'Renda Extra'!N13)</f>
        <v/>
      </c>
      <c r="H64" s="82" t="str">
        <f aca="false">IF(OR($B64="",$F64=""),"",IF(AND($F64&gt;=H$7,$F64&lt;EDATE(H$7,1)),"▼",""))</f>
        <v/>
      </c>
      <c r="I64" s="82" t="str">
        <f aca="false">IF(OR($B64="",$F64=""),"",IF(AND($F64&gt;=I$7,$F64&lt;EDATE(I$7,1)),"▼",""))</f>
        <v/>
      </c>
      <c r="J64" s="82" t="str">
        <f aca="false">IF(OR($B64="",$F64=""),"",IF(AND($F64&gt;=J$7,$F64&lt;EDATE(J$7,1)),"▼",""))</f>
        <v/>
      </c>
      <c r="K64" s="82" t="str">
        <f aca="false">IF(OR($B64="",$F64=""),"",IF(AND($F64&gt;=K$7,$F64&lt;EDATE(K$7,1)),"▼",""))</f>
        <v/>
      </c>
      <c r="L64" s="82" t="str">
        <f aca="false">IF(OR($B64="",$F64=""),"",IF(AND($F64&gt;=L$7,$F64&lt;EDATE(L$7,1)),"▼",""))</f>
        <v/>
      </c>
      <c r="M64" s="82" t="str">
        <f aca="false">IF(OR($B64="",$F64=""),"",IF(AND($F64&gt;=M$7,$F64&lt;EDATE(M$7,1)),"▼",""))</f>
        <v/>
      </c>
      <c r="N64" s="82" t="str">
        <f aca="false">IF(OR($B64="",$F64=""),"",IF(AND($F64&gt;=N$7,$F64&lt;EDATE(N$7,1)),"▼",""))</f>
        <v/>
      </c>
      <c r="O64" s="82" t="str">
        <f aca="false">IF(OR($B64="",$F64=""),"",IF(AND($F64&gt;=O$7,$F64&lt;EDATE(O$7,1)),"▼",""))</f>
        <v/>
      </c>
      <c r="P64" s="82" t="str">
        <f aca="false">IF(OR($B64="",$F64=""),"",IF(AND($F64&gt;=P$7,$F64&lt;EDATE(P$7,1)),"▼",""))</f>
        <v/>
      </c>
      <c r="Q64" s="82" t="str">
        <f aca="false">IF(OR($B64="",$F64=""),"",IF(AND($F64&gt;=Q$7,$F64&lt;EDATE(Q$7,1)),"▼",""))</f>
        <v/>
      </c>
      <c r="R64" s="82" t="str">
        <f aca="false">IF(OR($B64="",$F64=""),"",IF(AND($F64&gt;=R$7,$F64&lt;EDATE(R$7,1)),"▼",""))</f>
        <v/>
      </c>
      <c r="S64" s="82" t="str">
        <f aca="false">IF(OR($B64="",$F64=""),"",IF(AND($F64&gt;=S$7,$F64&lt;EDATE(S$7,1)),"▼",""))</f>
        <v/>
      </c>
    </row>
    <row r="65" customFormat="false" ht="19.5" hidden="false" customHeight="true" outlineLevel="0" collapsed="false">
      <c r="A65" s="50" t="str">
        <f aca="false">IF($B65="","","Renda Extra")</f>
        <v/>
      </c>
      <c r="B65" s="13" t="str">
        <f aca="false">IF('Renda Extra'!B14="","",'Renda Extra'!B14)</f>
        <v/>
      </c>
      <c r="C65" s="81" t="str">
        <f aca="false">IF($B65="","",IF('Renda Extra'!S14="","",'Renda Extra'!S14))</f>
        <v/>
      </c>
      <c r="D65" s="52" t="str">
        <f aca="false">IF($B65="","",IF('Renda Extra'!G14="","",'Renda Extra'!G14))</f>
        <v/>
      </c>
      <c r="E65" s="52" t="str">
        <f aca="false">IF($B65="","",IF('Renda Extra'!H14&lt;&gt;"",'Renda Extra'!H14,IF('Renda Extra'!I14&lt;&gt;"",'Renda Extra'!I14,"")))</f>
        <v/>
      </c>
      <c r="F65" s="52" t="str">
        <f aca="false">IF($B65="","",IF('Renda Extra'!I14="","",'Renda Extra'!I14))</f>
        <v/>
      </c>
      <c r="G65" s="38" t="str">
        <f aca="false">IF($B65="","",'Renda Extra'!N14)</f>
        <v/>
      </c>
      <c r="H65" s="82" t="str">
        <f aca="false">IF(OR($B65="",$F65=""),"",IF(AND($F65&gt;=H$7,$F65&lt;EDATE(H$7,1)),"▼",""))</f>
        <v/>
      </c>
      <c r="I65" s="82" t="str">
        <f aca="false">IF(OR($B65="",$F65=""),"",IF(AND($F65&gt;=I$7,$F65&lt;EDATE(I$7,1)),"▼",""))</f>
        <v/>
      </c>
      <c r="J65" s="82" t="str">
        <f aca="false">IF(OR($B65="",$F65=""),"",IF(AND($F65&gt;=J$7,$F65&lt;EDATE(J$7,1)),"▼",""))</f>
        <v/>
      </c>
      <c r="K65" s="82" t="str">
        <f aca="false">IF(OR($B65="",$F65=""),"",IF(AND($F65&gt;=K$7,$F65&lt;EDATE(K$7,1)),"▼",""))</f>
        <v/>
      </c>
      <c r="L65" s="82" t="str">
        <f aca="false">IF(OR($B65="",$F65=""),"",IF(AND($F65&gt;=L$7,$F65&lt;EDATE(L$7,1)),"▼",""))</f>
        <v/>
      </c>
      <c r="M65" s="82" t="str">
        <f aca="false">IF(OR($B65="",$F65=""),"",IF(AND($F65&gt;=M$7,$F65&lt;EDATE(M$7,1)),"▼",""))</f>
        <v/>
      </c>
      <c r="N65" s="82" t="str">
        <f aca="false">IF(OR($B65="",$F65=""),"",IF(AND($F65&gt;=N$7,$F65&lt;EDATE(N$7,1)),"▼",""))</f>
        <v/>
      </c>
      <c r="O65" s="82" t="str">
        <f aca="false">IF(OR($B65="",$F65=""),"",IF(AND($F65&gt;=O$7,$F65&lt;EDATE(O$7,1)),"▼",""))</f>
        <v/>
      </c>
      <c r="P65" s="82" t="str">
        <f aca="false">IF(OR($B65="",$F65=""),"",IF(AND($F65&gt;=P$7,$F65&lt;EDATE(P$7,1)),"▼",""))</f>
        <v/>
      </c>
      <c r="Q65" s="82" t="str">
        <f aca="false">IF(OR($B65="",$F65=""),"",IF(AND($F65&gt;=Q$7,$F65&lt;EDATE(Q$7,1)),"▼",""))</f>
        <v/>
      </c>
      <c r="R65" s="82" t="str">
        <f aca="false">IF(OR($B65="",$F65=""),"",IF(AND($F65&gt;=R$7,$F65&lt;EDATE(R$7,1)),"▼",""))</f>
        <v/>
      </c>
      <c r="S65" s="82" t="str">
        <f aca="false">IF(OR($B65="",$F65=""),"",IF(AND($F65&gt;=S$7,$F65&lt;EDATE(S$7,1)),"▼",""))</f>
        <v/>
      </c>
    </row>
    <row r="66" customFormat="false" ht="19.5" hidden="false" customHeight="true" outlineLevel="0" collapsed="false">
      <c r="A66" s="50" t="str">
        <f aca="false">IF($B66="","","Renda Extra")</f>
        <v/>
      </c>
      <c r="B66" s="13" t="str">
        <f aca="false">IF('Renda Extra'!B15="","",'Renda Extra'!B15)</f>
        <v/>
      </c>
      <c r="C66" s="81" t="str">
        <f aca="false">IF($B66="","",IF('Renda Extra'!S15="","",'Renda Extra'!S15))</f>
        <v/>
      </c>
      <c r="D66" s="52" t="str">
        <f aca="false">IF($B66="","",IF('Renda Extra'!G15="","",'Renda Extra'!G15))</f>
        <v/>
      </c>
      <c r="E66" s="52" t="str">
        <f aca="false">IF($B66="","",IF('Renda Extra'!H15&lt;&gt;"",'Renda Extra'!H15,IF('Renda Extra'!I15&lt;&gt;"",'Renda Extra'!I15,"")))</f>
        <v/>
      </c>
      <c r="F66" s="52" t="str">
        <f aca="false">IF($B66="","",IF('Renda Extra'!I15="","",'Renda Extra'!I15))</f>
        <v/>
      </c>
      <c r="G66" s="38" t="str">
        <f aca="false">IF($B66="","",'Renda Extra'!N15)</f>
        <v/>
      </c>
      <c r="H66" s="82" t="str">
        <f aca="false">IF(OR($B66="",$F66=""),"",IF(AND($F66&gt;=H$7,$F66&lt;EDATE(H$7,1)),"▼",""))</f>
        <v/>
      </c>
      <c r="I66" s="82" t="str">
        <f aca="false">IF(OR($B66="",$F66=""),"",IF(AND($F66&gt;=I$7,$F66&lt;EDATE(I$7,1)),"▼",""))</f>
        <v/>
      </c>
      <c r="J66" s="82" t="str">
        <f aca="false">IF(OR($B66="",$F66=""),"",IF(AND($F66&gt;=J$7,$F66&lt;EDATE(J$7,1)),"▼",""))</f>
        <v/>
      </c>
      <c r="K66" s="82" t="str">
        <f aca="false">IF(OR($B66="",$F66=""),"",IF(AND($F66&gt;=K$7,$F66&lt;EDATE(K$7,1)),"▼",""))</f>
        <v/>
      </c>
      <c r="L66" s="82" t="str">
        <f aca="false">IF(OR($B66="",$F66=""),"",IF(AND($F66&gt;=L$7,$F66&lt;EDATE(L$7,1)),"▼",""))</f>
        <v/>
      </c>
      <c r="M66" s="82" t="str">
        <f aca="false">IF(OR($B66="",$F66=""),"",IF(AND($F66&gt;=M$7,$F66&lt;EDATE(M$7,1)),"▼",""))</f>
        <v/>
      </c>
      <c r="N66" s="82" t="str">
        <f aca="false">IF(OR($B66="",$F66=""),"",IF(AND($F66&gt;=N$7,$F66&lt;EDATE(N$7,1)),"▼",""))</f>
        <v/>
      </c>
      <c r="O66" s="82" t="str">
        <f aca="false">IF(OR($B66="",$F66=""),"",IF(AND($F66&gt;=O$7,$F66&lt;EDATE(O$7,1)),"▼",""))</f>
        <v/>
      </c>
      <c r="P66" s="82" t="str">
        <f aca="false">IF(OR($B66="",$F66=""),"",IF(AND($F66&gt;=P$7,$F66&lt;EDATE(P$7,1)),"▼",""))</f>
        <v/>
      </c>
      <c r="Q66" s="82" t="str">
        <f aca="false">IF(OR($B66="",$F66=""),"",IF(AND($F66&gt;=Q$7,$F66&lt;EDATE(Q$7,1)),"▼",""))</f>
        <v/>
      </c>
      <c r="R66" s="82" t="str">
        <f aca="false">IF(OR($B66="",$F66=""),"",IF(AND($F66&gt;=R$7,$F66&lt;EDATE(R$7,1)),"▼",""))</f>
        <v/>
      </c>
      <c r="S66" s="82" t="str">
        <f aca="false">IF(OR($B66="",$F66=""),"",IF(AND($F66&gt;=S$7,$F66&lt;EDATE(S$7,1)),"▼",""))</f>
        <v/>
      </c>
    </row>
    <row r="67" customFormat="false" ht="19.5" hidden="false" customHeight="true" outlineLevel="0" collapsed="false">
      <c r="A67" s="50" t="str">
        <f aca="false">IF($B67="","","Renda Extra")</f>
        <v/>
      </c>
      <c r="B67" s="13" t="str">
        <f aca="false">IF('Renda Extra'!B16="","",'Renda Extra'!B16)</f>
        <v/>
      </c>
      <c r="C67" s="81" t="str">
        <f aca="false">IF($B67="","",IF('Renda Extra'!S16="","",'Renda Extra'!S16))</f>
        <v/>
      </c>
      <c r="D67" s="52" t="str">
        <f aca="false">IF($B67="","",IF('Renda Extra'!G16="","",'Renda Extra'!G16))</f>
        <v/>
      </c>
      <c r="E67" s="52" t="str">
        <f aca="false">IF($B67="","",IF('Renda Extra'!H16&lt;&gt;"",'Renda Extra'!H16,IF('Renda Extra'!I16&lt;&gt;"",'Renda Extra'!I16,"")))</f>
        <v/>
      </c>
      <c r="F67" s="52" t="str">
        <f aca="false">IF($B67="","",IF('Renda Extra'!I16="","",'Renda Extra'!I16))</f>
        <v/>
      </c>
      <c r="G67" s="38" t="str">
        <f aca="false">IF($B67="","",'Renda Extra'!N16)</f>
        <v/>
      </c>
      <c r="H67" s="82" t="str">
        <f aca="false">IF(OR($B67="",$F67=""),"",IF(AND($F67&gt;=H$7,$F67&lt;EDATE(H$7,1)),"▼",""))</f>
        <v/>
      </c>
      <c r="I67" s="82" t="str">
        <f aca="false">IF(OR($B67="",$F67=""),"",IF(AND($F67&gt;=I$7,$F67&lt;EDATE(I$7,1)),"▼",""))</f>
        <v/>
      </c>
      <c r="J67" s="82" t="str">
        <f aca="false">IF(OR($B67="",$F67=""),"",IF(AND($F67&gt;=J$7,$F67&lt;EDATE(J$7,1)),"▼",""))</f>
        <v/>
      </c>
      <c r="K67" s="82" t="str">
        <f aca="false">IF(OR($B67="",$F67=""),"",IF(AND($F67&gt;=K$7,$F67&lt;EDATE(K$7,1)),"▼",""))</f>
        <v/>
      </c>
      <c r="L67" s="82" t="str">
        <f aca="false">IF(OR($B67="",$F67=""),"",IF(AND($F67&gt;=L$7,$F67&lt;EDATE(L$7,1)),"▼",""))</f>
        <v/>
      </c>
      <c r="M67" s="82" t="str">
        <f aca="false">IF(OR($B67="",$F67=""),"",IF(AND($F67&gt;=M$7,$F67&lt;EDATE(M$7,1)),"▼",""))</f>
        <v/>
      </c>
      <c r="N67" s="82" t="str">
        <f aca="false">IF(OR($B67="",$F67=""),"",IF(AND($F67&gt;=N$7,$F67&lt;EDATE(N$7,1)),"▼",""))</f>
        <v/>
      </c>
      <c r="O67" s="82" t="str">
        <f aca="false">IF(OR($B67="",$F67=""),"",IF(AND($F67&gt;=O$7,$F67&lt;EDATE(O$7,1)),"▼",""))</f>
        <v/>
      </c>
      <c r="P67" s="82" t="str">
        <f aca="false">IF(OR($B67="",$F67=""),"",IF(AND($F67&gt;=P$7,$F67&lt;EDATE(P$7,1)),"▼",""))</f>
        <v/>
      </c>
      <c r="Q67" s="82" t="str">
        <f aca="false">IF(OR($B67="",$F67=""),"",IF(AND($F67&gt;=Q$7,$F67&lt;EDATE(Q$7,1)),"▼",""))</f>
        <v/>
      </c>
      <c r="R67" s="82" t="str">
        <f aca="false">IF(OR($B67="",$F67=""),"",IF(AND($F67&gt;=R$7,$F67&lt;EDATE(R$7,1)),"▼",""))</f>
        <v/>
      </c>
      <c r="S67" s="82" t="str">
        <f aca="false">IF(OR($B67="",$F67=""),"",IF(AND($F67&gt;=S$7,$F67&lt;EDATE(S$7,1)),"▼",""))</f>
        <v/>
      </c>
    </row>
    <row r="68" customFormat="false" ht="19.5" hidden="false" customHeight="true" outlineLevel="0" collapsed="false">
      <c r="A68" s="50" t="str">
        <f aca="false">IF($B68="","","Renda Extra")</f>
        <v/>
      </c>
      <c r="B68" s="13" t="str">
        <f aca="false">IF('Renda Extra'!B17="","",'Renda Extra'!B17)</f>
        <v/>
      </c>
      <c r="C68" s="81" t="str">
        <f aca="false">IF($B68="","",IF('Renda Extra'!S17="","",'Renda Extra'!S17))</f>
        <v/>
      </c>
      <c r="D68" s="52" t="str">
        <f aca="false">IF($B68="","",IF('Renda Extra'!G17="","",'Renda Extra'!G17))</f>
        <v/>
      </c>
      <c r="E68" s="52" t="str">
        <f aca="false">IF($B68="","",IF('Renda Extra'!H17&lt;&gt;"",'Renda Extra'!H17,IF('Renda Extra'!I17&lt;&gt;"",'Renda Extra'!I17,"")))</f>
        <v/>
      </c>
      <c r="F68" s="52" t="str">
        <f aca="false">IF($B68="","",IF('Renda Extra'!I17="","",'Renda Extra'!I17))</f>
        <v/>
      </c>
      <c r="G68" s="38" t="str">
        <f aca="false">IF($B68="","",'Renda Extra'!N17)</f>
        <v/>
      </c>
      <c r="H68" s="82" t="str">
        <f aca="false">IF(OR($B68="",$F68=""),"",IF(AND($F68&gt;=H$7,$F68&lt;EDATE(H$7,1)),"▼",""))</f>
        <v/>
      </c>
      <c r="I68" s="82" t="str">
        <f aca="false">IF(OR($B68="",$F68=""),"",IF(AND($F68&gt;=I$7,$F68&lt;EDATE(I$7,1)),"▼",""))</f>
        <v/>
      </c>
      <c r="J68" s="82" t="str">
        <f aca="false">IF(OR($B68="",$F68=""),"",IF(AND($F68&gt;=J$7,$F68&lt;EDATE(J$7,1)),"▼",""))</f>
        <v/>
      </c>
      <c r="K68" s="82" t="str">
        <f aca="false">IF(OR($B68="",$F68=""),"",IF(AND($F68&gt;=K$7,$F68&lt;EDATE(K$7,1)),"▼",""))</f>
        <v/>
      </c>
      <c r="L68" s="82" t="str">
        <f aca="false">IF(OR($B68="",$F68=""),"",IF(AND($F68&gt;=L$7,$F68&lt;EDATE(L$7,1)),"▼",""))</f>
        <v/>
      </c>
      <c r="M68" s="82" t="str">
        <f aca="false">IF(OR($B68="",$F68=""),"",IF(AND($F68&gt;=M$7,$F68&lt;EDATE(M$7,1)),"▼",""))</f>
        <v/>
      </c>
      <c r="N68" s="82" t="str">
        <f aca="false">IF(OR($B68="",$F68=""),"",IF(AND($F68&gt;=N$7,$F68&lt;EDATE(N$7,1)),"▼",""))</f>
        <v/>
      </c>
      <c r="O68" s="82" t="str">
        <f aca="false">IF(OR($B68="",$F68=""),"",IF(AND($F68&gt;=O$7,$F68&lt;EDATE(O$7,1)),"▼",""))</f>
        <v/>
      </c>
      <c r="P68" s="82" t="str">
        <f aca="false">IF(OR($B68="",$F68=""),"",IF(AND($F68&gt;=P$7,$F68&lt;EDATE(P$7,1)),"▼",""))</f>
        <v/>
      </c>
      <c r="Q68" s="82" t="str">
        <f aca="false">IF(OR($B68="",$F68=""),"",IF(AND($F68&gt;=Q$7,$F68&lt;EDATE(Q$7,1)),"▼",""))</f>
        <v/>
      </c>
      <c r="R68" s="82" t="str">
        <f aca="false">IF(OR($B68="",$F68=""),"",IF(AND($F68&gt;=R$7,$F68&lt;EDATE(R$7,1)),"▼",""))</f>
        <v/>
      </c>
      <c r="S68" s="82" t="str">
        <f aca="false">IF(OR($B68="",$F68=""),"",IF(AND($F68&gt;=S$7,$F68&lt;EDATE(S$7,1)),"▼",""))</f>
        <v/>
      </c>
    </row>
    <row r="69" customFormat="false" ht="19.5" hidden="false" customHeight="true" outlineLevel="0" collapsed="false">
      <c r="A69" s="50" t="str">
        <f aca="false">IF($B69="","","Renda Extra")</f>
        <v/>
      </c>
      <c r="B69" s="13" t="str">
        <f aca="false">IF('Renda Extra'!B18="","",'Renda Extra'!B18)</f>
        <v/>
      </c>
      <c r="C69" s="81" t="str">
        <f aca="false">IF($B69="","",IF('Renda Extra'!S18="","",'Renda Extra'!S18))</f>
        <v/>
      </c>
      <c r="D69" s="52" t="str">
        <f aca="false">IF($B69="","",IF('Renda Extra'!G18="","",'Renda Extra'!G18))</f>
        <v/>
      </c>
      <c r="E69" s="52" t="str">
        <f aca="false">IF($B69="","",IF('Renda Extra'!H18&lt;&gt;"",'Renda Extra'!H18,IF('Renda Extra'!I18&lt;&gt;"",'Renda Extra'!I18,"")))</f>
        <v/>
      </c>
      <c r="F69" s="52" t="str">
        <f aca="false">IF($B69="","",IF('Renda Extra'!I18="","",'Renda Extra'!I18))</f>
        <v/>
      </c>
      <c r="G69" s="38" t="str">
        <f aca="false">IF($B69="","",'Renda Extra'!N18)</f>
        <v/>
      </c>
      <c r="H69" s="82" t="str">
        <f aca="false">IF(OR($B69="",$F69=""),"",IF(AND($F69&gt;=H$7,$F69&lt;EDATE(H$7,1)),"▼",""))</f>
        <v/>
      </c>
      <c r="I69" s="82" t="str">
        <f aca="false">IF(OR($B69="",$F69=""),"",IF(AND($F69&gt;=I$7,$F69&lt;EDATE(I$7,1)),"▼",""))</f>
        <v/>
      </c>
      <c r="J69" s="82" t="str">
        <f aca="false">IF(OR($B69="",$F69=""),"",IF(AND($F69&gt;=J$7,$F69&lt;EDATE(J$7,1)),"▼",""))</f>
        <v/>
      </c>
      <c r="K69" s="82" t="str">
        <f aca="false">IF(OR($B69="",$F69=""),"",IF(AND($F69&gt;=K$7,$F69&lt;EDATE(K$7,1)),"▼",""))</f>
        <v/>
      </c>
      <c r="L69" s="82" t="str">
        <f aca="false">IF(OR($B69="",$F69=""),"",IF(AND($F69&gt;=L$7,$F69&lt;EDATE(L$7,1)),"▼",""))</f>
        <v/>
      </c>
      <c r="M69" s="82" t="str">
        <f aca="false">IF(OR($B69="",$F69=""),"",IF(AND($F69&gt;=M$7,$F69&lt;EDATE(M$7,1)),"▼",""))</f>
        <v/>
      </c>
      <c r="N69" s="82" t="str">
        <f aca="false">IF(OR($B69="",$F69=""),"",IF(AND($F69&gt;=N$7,$F69&lt;EDATE(N$7,1)),"▼",""))</f>
        <v/>
      </c>
      <c r="O69" s="82" t="str">
        <f aca="false">IF(OR($B69="",$F69=""),"",IF(AND($F69&gt;=O$7,$F69&lt;EDATE(O$7,1)),"▼",""))</f>
        <v/>
      </c>
      <c r="P69" s="82" t="str">
        <f aca="false">IF(OR($B69="",$F69=""),"",IF(AND($F69&gt;=P$7,$F69&lt;EDATE(P$7,1)),"▼",""))</f>
        <v/>
      </c>
      <c r="Q69" s="82" t="str">
        <f aca="false">IF(OR($B69="",$F69=""),"",IF(AND($F69&gt;=Q$7,$F69&lt;EDATE(Q$7,1)),"▼",""))</f>
        <v/>
      </c>
      <c r="R69" s="82" t="str">
        <f aca="false">IF(OR($B69="",$F69=""),"",IF(AND($F69&gt;=R$7,$F69&lt;EDATE(R$7,1)),"▼",""))</f>
        <v/>
      </c>
      <c r="S69" s="82" t="str">
        <f aca="false">IF(OR($B69="",$F69=""),"",IF(AND($F69&gt;=S$7,$F69&lt;EDATE(S$7,1)),"▼",""))</f>
        <v/>
      </c>
    </row>
    <row r="70" customFormat="false" ht="19.5" hidden="false" customHeight="true" outlineLevel="0" collapsed="false">
      <c r="A70" s="50" t="str">
        <f aca="false">IF($B70="","","Renda Extra")</f>
        <v/>
      </c>
      <c r="B70" s="13" t="str">
        <f aca="false">IF('Renda Extra'!B19="","",'Renda Extra'!B19)</f>
        <v/>
      </c>
      <c r="C70" s="81" t="str">
        <f aca="false">IF($B70="","",IF('Renda Extra'!S19="","",'Renda Extra'!S19))</f>
        <v/>
      </c>
      <c r="D70" s="52" t="str">
        <f aca="false">IF($B70="","",IF('Renda Extra'!G19="","",'Renda Extra'!G19))</f>
        <v/>
      </c>
      <c r="E70" s="52" t="str">
        <f aca="false">IF($B70="","",IF('Renda Extra'!H19&lt;&gt;"",'Renda Extra'!H19,IF('Renda Extra'!I19&lt;&gt;"",'Renda Extra'!I19,"")))</f>
        <v/>
      </c>
      <c r="F70" s="52" t="str">
        <f aca="false">IF($B70="","",IF('Renda Extra'!I19="","",'Renda Extra'!I19))</f>
        <v/>
      </c>
      <c r="G70" s="38" t="str">
        <f aca="false">IF($B70="","",'Renda Extra'!N19)</f>
        <v/>
      </c>
      <c r="H70" s="82" t="str">
        <f aca="false">IF(OR($B70="",$F70=""),"",IF(AND($F70&gt;=H$7,$F70&lt;EDATE(H$7,1)),"▼",""))</f>
        <v/>
      </c>
      <c r="I70" s="82" t="str">
        <f aca="false">IF(OR($B70="",$F70=""),"",IF(AND($F70&gt;=I$7,$F70&lt;EDATE(I$7,1)),"▼",""))</f>
        <v/>
      </c>
      <c r="J70" s="82" t="str">
        <f aca="false">IF(OR($B70="",$F70=""),"",IF(AND($F70&gt;=J$7,$F70&lt;EDATE(J$7,1)),"▼",""))</f>
        <v/>
      </c>
      <c r="K70" s="82" t="str">
        <f aca="false">IF(OR($B70="",$F70=""),"",IF(AND($F70&gt;=K$7,$F70&lt;EDATE(K$7,1)),"▼",""))</f>
        <v/>
      </c>
      <c r="L70" s="82" t="str">
        <f aca="false">IF(OR($B70="",$F70=""),"",IF(AND($F70&gt;=L$7,$F70&lt;EDATE(L$7,1)),"▼",""))</f>
        <v/>
      </c>
      <c r="M70" s="82" t="str">
        <f aca="false">IF(OR($B70="",$F70=""),"",IF(AND($F70&gt;=M$7,$F70&lt;EDATE(M$7,1)),"▼",""))</f>
        <v/>
      </c>
      <c r="N70" s="82" t="str">
        <f aca="false">IF(OR($B70="",$F70=""),"",IF(AND($F70&gt;=N$7,$F70&lt;EDATE(N$7,1)),"▼",""))</f>
        <v/>
      </c>
      <c r="O70" s="82" t="str">
        <f aca="false">IF(OR($B70="",$F70=""),"",IF(AND($F70&gt;=O$7,$F70&lt;EDATE(O$7,1)),"▼",""))</f>
        <v/>
      </c>
      <c r="P70" s="82" t="str">
        <f aca="false">IF(OR($B70="",$F70=""),"",IF(AND($F70&gt;=P$7,$F70&lt;EDATE(P$7,1)),"▼",""))</f>
        <v/>
      </c>
      <c r="Q70" s="82" t="str">
        <f aca="false">IF(OR($B70="",$F70=""),"",IF(AND($F70&gt;=Q$7,$F70&lt;EDATE(Q$7,1)),"▼",""))</f>
        <v/>
      </c>
      <c r="R70" s="82" t="str">
        <f aca="false">IF(OR($B70="",$F70=""),"",IF(AND($F70&gt;=R$7,$F70&lt;EDATE(R$7,1)),"▼",""))</f>
        <v/>
      </c>
      <c r="S70" s="82" t="str">
        <f aca="false">IF(OR($B70="",$F70=""),"",IF(AND($F70&gt;=S$7,$F70&lt;EDATE(S$7,1)),"▼",""))</f>
        <v/>
      </c>
    </row>
    <row r="71" customFormat="false" ht="19.5" hidden="false" customHeight="true" outlineLevel="0" collapsed="false">
      <c r="A71" s="50" t="str">
        <f aca="false">IF($B71="","","Renda Extra")</f>
        <v/>
      </c>
      <c r="B71" s="13" t="str">
        <f aca="false">IF('Renda Extra'!B20="","",'Renda Extra'!B20)</f>
        <v/>
      </c>
      <c r="C71" s="81" t="str">
        <f aca="false">IF($B71="","",IF('Renda Extra'!S20="","",'Renda Extra'!S20))</f>
        <v/>
      </c>
      <c r="D71" s="52" t="str">
        <f aca="false">IF($B71="","",IF('Renda Extra'!G20="","",'Renda Extra'!G20))</f>
        <v/>
      </c>
      <c r="E71" s="52" t="str">
        <f aca="false">IF($B71="","",IF('Renda Extra'!H20&lt;&gt;"",'Renda Extra'!H20,IF('Renda Extra'!I20&lt;&gt;"",'Renda Extra'!I20,"")))</f>
        <v/>
      </c>
      <c r="F71" s="52" t="str">
        <f aca="false">IF($B71="","",IF('Renda Extra'!I20="","",'Renda Extra'!I20))</f>
        <v/>
      </c>
      <c r="G71" s="38" t="str">
        <f aca="false">IF($B71="","",'Renda Extra'!N20)</f>
        <v/>
      </c>
      <c r="H71" s="82" t="str">
        <f aca="false">IF(OR($B71="",$F71=""),"",IF(AND($F71&gt;=H$7,$F71&lt;EDATE(H$7,1)),"▼",""))</f>
        <v/>
      </c>
      <c r="I71" s="82" t="str">
        <f aca="false">IF(OR($B71="",$F71=""),"",IF(AND($F71&gt;=I$7,$F71&lt;EDATE(I$7,1)),"▼",""))</f>
        <v/>
      </c>
      <c r="J71" s="82" t="str">
        <f aca="false">IF(OR($B71="",$F71=""),"",IF(AND($F71&gt;=J$7,$F71&lt;EDATE(J$7,1)),"▼",""))</f>
        <v/>
      </c>
      <c r="K71" s="82" t="str">
        <f aca="false">IF(OR($B71="",$F71=""),"",IF(AND($F71&gt;=K$7,$F71&lt;EDATE(K$7,1)),"▼",""))</f>
        <v/>
      </c>
      <c r="L71" s="82" t="str">
        <f aca="false">IF(OR($B71="",$F71=""),"",IF(AND($F71&gt;=L$7,$F71&lt;EDATE(L$7,1)),"▼",""))</f>
        <v/>
      </c>
      <c r="M71" s="82" t="str">
        <f aca="false">IF(OR($B71="",$F71=""),"",IF(AND($F71&gt;=M$7,$F71&lt;EDATE(M$7,1)),"▼",""))</f>
        <v/>
      </c>
      <c r="N71" s="82" t="str">
        <f aca="false">IF(OR($B71="",$F71=""),"",IF(AND($F71&gt;=N$7,$F71&lt;EDATE(N$7,1)),"▼",""))</f>
        <v/>
      </c>
      <c r="O71" s="82" t="str">
        <f aca="false">IF(OR($B71="",$F71=""),"",IF(AND($F71&gt;=O$7,$F71&lt;EDATE(O$7,1)),"▼",""))</f>
        <v/>
      </c>
      <c r="P71" s="82" t="str">
        <f aca="false">IF(OR($B71="",$F71=""),"",IF(AND($F71&gt;=P$7,$F71&lt;EDATE(P$7,1)),"▼",""))</f>
        <v/>
      </c>
      <c r="Q71" s="82" t="str">
        <f aca="false">IF(OR($B71="",$F71=""),"",IF(AND($F71&gt;=Q$7,$F71&lt;EDATE(Q$7,1)),"▼",""))</f>
        <v/>
      </c>
      <c r="R71" s="82" t="str">
        <f aca="false">IF(OR($B71="",$F71=""),"",IF(AND($F71&gt;=R$7,$F71&lt;EDATE(R$7,1)),"▼",""))</f>
        <v/>
      </c>
      <c r="S71" s="82" t="str">
        <f aca="false">IF(OR($B71="",$F71=""),"",IF(AND($F71&gt;=S$7,$F71&lt;EDATE(S$7,1)),"▼",""))</f>
        <v/>
      </c>
    </row>
    <row r="72" customFormat="false" ht="19.5" hidden="false" customHeight="true" outlineLevel="0" collapsed="false">
      <c r="A72" s="50" t="str">
        <f aca="false">IF($B72="","","Renda Extra")</f>
        <v/>
      </c>
      <c r="B72" s="13" t="str">
        <f aca="false">IF('Renda Extra'!B21="","",'Renda Extra'!B21)</f>
        <v/>
      </c>
      <c r="C72" s="81" t="str">
        <f aca="false">IF($B72="","",IF('Renda Extra'!S21="","",'Renda Extra'!S21))</f>
        <v/>
      </c>
      <c r="D72" s="52" t="str">
        <f aca="false">IF($B72="","",IF('Renda Extra'!G21="","",'Renda Extra'!G21))</f>
        <v/>
      </c>
      <c r="E72" s="52" t="str">
        <f aca="false">IF($B72="","",IF('Renda Extra'!H21&lt;&gt;"",'Renda Extra'!H21,IF('Renda Extra'!I21&lt;&gt;"",'Renda Extra'!I21,"")))</f>
        <v/>
      </c>
      <c r="F72" s="52" t="str">
        <f aca="false">IF($B72="","",IF('Renda Extra'!I21="","",'Renda Extra'!I21))</f>
        <v/>
      </c>
      <c r="G72" s="38" t="str">
        <f aca="false">IF($B72="","",'Renda Extra'!N21)</f>
        <v/>
      </c>
      <c r="H72" s="82" t="str">
        <f aca="false">IF(OR($B72="",$F72=""),"",IF(AND($F72&gt;=H$7,$F72&lt;EDATE(H$7,1)),"▼",""))</f>
        <v/>
      </c>
      <c r="I72" s="82" t="str">
        <f aca="false">IF(OR($B72="",$F72=""),"",IF(AND($F72&gt;=I$7,$F72&lt;EDATE(I$7,1)),"▼",""))</f>
        <v/>
      </c>
      <c r="J72" s="82" t="str">
        <f aca="false">IF(OR($B72="",$F72=""),"",IF(AND($F72&gt;=J$7,$F72&lt;EDATE(J$7,1)),"▼",""))</f>
        <v/>
      </c>
      <c r="K72" s="82" t="str">
        <f aca="false">IF(OR($B72="",$F72=""),"",IF(AND($F72&gt;=K$7,$F72&lt;EDATE(K$7,1)),"▼",""))</f>
        <v/>
      </c>
      <c r="L72" s="82" t="str">
        <f aca="false">IF(OR($B72="",$F72=""),"",IF(AND($F72&gt;=L$7,$F72&lt;EDATE(L$7,1)),"▼",""))</f>
        <v/>
      </c>
      <c r="M72" s="82" t="str">
        <f aca="false">IF(OR($B72="",$F72=""),"",IF(AND($F72&gt;=M$7,$F72&lt;EDATE(M$7,1)),"▼",""))</f>
        <v/>
      </c>
      <c r="N72" s="82" t="str">
        <f aca="false">IF(OR($B72="",$F72=""),"",IF(AND($F72&gt;=N$7,$F72&lt;EDATE(N$7,1)),"▼",""))</f>
        <v/>
      </c>
      <c r="O72" s="82" t="str">
        <f aca="false">IF(OR($B72="",$F72=""),"",IF(AND($F72&gt;=O$7,$F72&lt;EDATE(O$7,1)),"▼",""))</f>
        <v/>
      </c>
      <c r="P72" s="82" t="str">
        <f aca="false">IF(OR($B72="",$F72=""),"",IF(AND($F72&gt;=P$7,$F72&lt;EDATE(P$7,1)),"▼",""))</f>
        <v/>
      </c>
      <c r="Q72" s="82" t="str">
        <f aca="false">IF(OR($B72="",$F72=""),"",IF(AND($F72&gt;=Q$7,$F72&lt;EDATE(Q$7,1)),"▼",""))</f>
        <v/>
      </c>
      <c r="R72" s="82" t="str">
        <f aca="false">IF(OR($B72="",$F72=""),"",IF(AND($F72&gt;=R$7,$F72&lt;EDATE(R$7,1)),"▼",""))</f>
        <v/>
      </c>
      <c r="S72" s="82" t="str">
        <f aca="false">IF(OR($B72="",$F72=""),"",IF(AND($F72&gt;=S$7,$F72&lt;EDATE(S$7,1)),"▼",""))</f>
        <v/>
      </c>
    </row>
  </sheetData>
  <mergeCells count="8">
    <mergeCell ref="A1:S1"/>
    <mergeCell ref="A2:P2"/>
    <mergeCell ref="Q2:S2"/>
    <mergeCell ref="A8:S8"/>
    <mergeCell ref="A21:S21"/>
    <mergeCell ref="A34:S34"/>
    <mergeCell ref="A47:S47"/>
    <mergeCell ref="A60:S60"/>
  </mergeCells>
  <conditionalFormatting sqref="H8:S72">
    <cfRule type="expression" priority="2" aboveAverage="0" equalAverage="0" bottom="0" percent="0" rank="0" text="" dxfId="4">
      <formula>AND(AND(ISNUMBER($D8),ISNUMBER($E8),$D8&lt;=EDATE(H$7,1)-1,$E8&gt;=H$7),$C8="Concluído")</formula>
    </cfRule>
    <cfRule type="expression" priority="3" aboveAverage="0" equalAverage="0" bottom="0" percent="0" rank="0" text="" dxfId="5">
      <formula>AND(AND(ISNUMBER($D8),ISNUMBER($E8),$D8&lt;=EDATE(H$7,1)-1,$E8&gt;=H$7),$C8="Em andamento")</formula>
    </cfRule>
    <cfRule type="expression" priority="4" aboveAverage="0" equalAverage="0" bottom="0" percent="0" rank="0" text="" dxfId="6">
      <formula>AND(ISNUMBER($D8),ISNUMBER($E8),$D8&lt;=EDATE(H$7,1)-1,$E8&gt;=H$7)</formula>
    </cfRule>
  </conditionalFormatting>
  <conditionalFormatting sqref="H7:S7">
    <cfRule type="expression" priority="5" aboveAverage="0" equalAverage="0" bottom="0" percent="0" rank="0" text="" dxfId="7">
      <formula>AND(TODAY()&gt;=H$7,TODAY()&lt;EDATE(H$7,1))</formula>
    </cfRule>
  </conditionalFormatting>
  <conditionalFormatting sqref="C8:C72">
    <cfRule type="cellIs" priority="6" operator="equal" aboveAverage="0" equalAverage="0" bottom="0" percent="0" rank="0" text="" dxfId="8">
      <formula>"Concluído"</formula>
    </cfRule>
    <cfRule type="cellIs" priority="7" operator="equal" aboveAverage="0" equalAverage="0" bottom="0" percent="0" rank="0" text="" dxfId="9">
      <formula>"Em andamento"</formula>
    </cfRule>
  </conditionalFormatting>
  <conditionalFormatting sqref="G8:G72">
    <cfRule type="dataBar" priority="8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{EDF0C120-4A40-4740-8D8B-25AEE0753EEE}</x14:id>
        </ext>
      </extLst>
    </cfRule>
  </conditionalFormatting>
  <dataValidations count="1">
    <dataValidation allowBlank="false" error="Valor inválido." errorStyle="stop" operator="greaterThan" showDropDown="false" showErrorMessage="true" showInputMessage="false" sqref="B5" type="date">
      <formula1>36526</formula1>
      <formula2>0</formula2>
    </dataValidation>
  </dataValidations>
  <hyperlinks>
    <hyperlink ref="Q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0C120-4A40-4740-8D8B-25AEE0753EE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G8:G72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"/>
    <col collapsed="false" customWidth="true" hidden="false" outlineLevel="0" max="16" min="10" style="0" width="9.51"/>
  </cols>
  <sheetData>
    <row r="1" customFormat="false" ht="37.5" hidden="false" customHeight="true" outlineLevel="0" collapsed="false">
      <c r="A1" s="20" t="s">
        <v>119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9.5" hidden="false" customHeight="true" outlineLevel="0" collapsed="false">
      <c r="A2" s="21" t="s">
        <v>120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 t="s">
        <v>57</v>
      </c>
      <c r="O2" s="22"/>
      <c r="P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7.5" hidden="false" customHeight="true" outlineLevel="0" collapsed="false"/>
    <row r="5" customFormat="false" ht="24" hidden="false" customHeight="true" outlineLevel="0" collapsed="false">
      <c r="B5" s="77" t="s">
        <v>121</v>
      </c>
      <c r="C5" s="84" t="n">
        <v>46296</v>
      </c>
      <c r="D5" s="85" t="s">
        <v>122</v>
      </c>
      <c r="E5" s="86" t="n">
        <f aca="false">DATE(YEAR($C$5),MONTH($C$5),1)</f>
        <v>46296</v>
      </c>
      <c r="F5" s="85" t="s">
        <v>123</v>
      </c>
      <c r="G5" s="87" t="n">
        <f aca="true">MAX(0,MIN(1,(TODAY()-$E$5+1)/(EOMONTH($E$5,0)-$E$5+1)))</f>
        <v>0.0967741935483871</v>
      </c>
      <c r="H5" s="32" t="s">
        <v>124</v>
      </c>
    </row>
    <row r="7" customFormat="false" ht="15" hidden="false" customHeight="true" outlineLevel="0" collapsed="false">
      <c r="B7" s="23" t="s">
        <v>125</v>
      </c>
      <c r="C7" s="23"/>
      <c r="D7" s="23" t="s">
        <v>126</v>
      </c>
      <c r="E7" s="23"/>
      <c r="F7" s="23" t="s">
        <v>127</v>
      </c>
      <c r="G7" s="23" t="s">
        <v>128</v>
      </c>
      <c r="H7" s="23"/>
    </row>
    <row r="8" customFormat="false" ht="27.75" hidden="false" customHeight="true" outlineLevel="0" collapsed="false">
      <c r="B8" s="30" t="n">
        <f aca="false">D18</f>
        <v>4.5</v>
      </c>
      <c r="C8" s="30"/>
      <c r="D8" s="30" t="n">
        <f aca="false">C18</f>
        <v>73</v>
      </c>
      <c r="E8" s="30"/>
      <c r="F8" s="26" t="n">
        <f aca="false">E18</f>
        <v>0.0616438356164384</v>
      </c>
      <c r="G8" s="24" t="n">
        <f aca="false">COUNTIF(J14:P14,"&gt;0")+COUNTIF(J16:P16,"&gt;0")+COUNTIF(J18:P18,"&gt;0")+COUNTIF(J20:P20,"&gt;0")+COUNTIF(J22:P22,"&gt;0")+COUNTIF(J24:P24,"&gt;0")</f>
        <v>3</v>
      </c>
      <c r="H8" s="24"/>
    </row>
    <row r="9" customFormat="false" ht="3.75" hidden="false" customHeight="true" outlineLevel="0" collapsed="false">
      <c r="B9" s="27"/>
      <c r="C9" s="27"/>
      <c r="D9" s="28"/>
      <c r="E9" s="28"/>
      <c r="F9" s="88"/>
      <c r="G9" s="27"/>
      <c r="H9" s="27"/>
    </row>
    <row r="10" customFormat="false" ht="7.5" hidden="false" customHeight="true" outlineLevel="0" collapsed="false"/>
    <row r="11" customFormat="false" ht="21.75" hidden="false" customHeight="true" outlineLevel="0" collapsed="false">
      <c r="B11" s="4" t="s">
        <v>129</v>
      </c>
      <c r="C11" s="4"/>
      <c r="D11" s="4"/>
      <c r="E11" s="4"/>
      <c r="F11" s="4"/>
      <c r="G11" s="4"/>
      <c r="H11" s="4"/>
      <c r="J11" s="4" t="s">
        <v>130</v>
      </c>
      <c r="K11" s="4"/>
      <c r="L11" s="4"/>
      <c r="M11" s="4"/>
      <c r="N11" s="4"/>
      <c r="O11" s="4"/>
      <c r="P11" s="4"/>
    </row>
    <row r="12" customFormat="false" ht="25.5" hidden="false" customHeight="true" outlineLevel="0" collapsed="false">
      <c r="B12" s="34" t="s">
        <v>72</v>
      </c>
      <c r="C12" s="34" t="s">
        <v>89</v>
      </c>
      <c r="D12" s="34" t="s">
        <v>131</v>
      </c>
      <c r="E12" s="34" t="s">
        <v>132</v>
      </c>
      <c r="F12" s="34" t="s">
        <v>78</v>
      </c>
      <c r="G12" s="34" t="s">
        <v>133</v>
      </c>
      <c r="H12" s="34" t="s">
        <v>134</v>
      </c>
      <c r="J12" s="34" t="s">
        <v>135</v>
      </c>
      <c r="K12" s="34" t="s">
        <v>136</v>
      </c>
      <c r="L12" s="34" t="s">
        <v>137</v>
      </c>
      <c r="M12" s="34" t="s">
        <v>138</v>
      </c>
      <c r="N12" s="34" t="s">
        <v>139</v>
      </c>
      <c r="O12" s="34" t="s">
        <v>140</v>
      </c>
      <c r="P12" s="34" t="s">
        <v>141</v>
      </c>
    </row>
    <row r="13" customFormat="false" ht="21.75" hidden="false" customHeight="true" outlineLevel="0" collapsed="false">
      <c r="B13" s="89" t="str">
        <f aca="false">Listas!$E$6</f>
        <v>Pós-graduação</v>
      </c>
      <c r="C13" s="55" t="n">
        <v>20</v>
      </c>
      <c r="D13" s="63" t="n">
        <f aca="false">SUMIFS('Diário de Estudo'!$D$7:$D$506,'Diário de Estudo'!$B$7:$B$506,$B13,'Diário de Estudo'!$A$7:$A$506,"&gt;="&amp;$E$5,'Diário de Estudo'!$A$7:$A$506,"&lt;"&amp;EDATE($E$5,1))</f>
        <v>2</v>
      </c>
      <c r="E13" s="43" t="n">
        <f aca="false">IF(C13=0,0,D13/C13)</f>
        <v>0.1</v>
      </c>
      <c r="F13" s="44" t="str">
        <f aca="false">REPT("█",MIN(10,ROUND(E13*10,0)))&amp;REPT("░",10-MIN(10,ROUND(E13*10,0)))</f>
        <v>█░░░░░░░░░</v>
      </c>
      <c r="G13" s="63" t="n">
        <f aca="false">MAX(0,C13-D13)</f>
        <v>18</v>
      </c>
      <c r="H13" s="41" t="str">
        <f aca="false">IF(C13=0,"—",IF(D13&gt;=C13,"Meta batida",IF(D13&gt;=C13*$G$5,"No ritmo","Abaixo do ritmo")))</f>
        <v>No ritmo</v>
      </c>
      <c r="J13" s="90" t="str">
        <f aca="false">IF(MONTH($E$5-WEEKDAY($E$5,2)+1+0)=MONTH($E$5),$E$5-WEEKDAY($E$5,2)+1+0,"")</f>
        <v/>
      </c>
      <c r="K13" s="90" t="str">
        <f aca="false">IF(MONTH($E$5-WEEKDAY($E$5,2)+1+1)=MONTH($E$5),$E$5-WEEKDAY($E$5,2)+1+1,"")</f>
        <v/>
      </c>
      <c r="L13" s="90" t="str">
        <f aca="false">IF(MONTH($E$5-WEEKDAY($E$5,2)+1+2)=MONTH($E$5),$E$5-WEEKDAY($E$5,2)+1+2,"")</f>
        <v/>
      </c>
      <c r="M13" s="90" t="n">
        <f aca="false">IF(MONTH($E$5-WEEKDAY($E$5,2)+1+3)=MONTH($E$5),$E$5-WEEKDAY($E$5,2)+1+3,"")</f>
        <v>46296</v>
      </c>
      <c r="N13" s="90" t="n">
        <f aca="false">IF(MONTH($E$5-WEEKDAY($E$5,2)+1+4)=MONTH($E$5),$E$5-WEEKDAY($E$5,2)+1+4,"")</f>
        <v>46297</v>
      </c>
      <c r="O13" s="90" t="n">
        <f aca="false">IF(MONTH($E$5-WEEKDAY($E$5,2)+1+5)=MONTH($E$5),$E$5-WEEKDAY($E$5,2)+1+5,"")</f>
        <v>46298</v>
      </c>
      <c r="P13" s="90" t="n">
        <f aca="false">IF(MONTH($E$5-WEEKDAY($E$5,2)+1+6)=MONTH($E$5),$E$5-WEEKDAY($E$5,2)+1+6,"")</f>
        <v>46299</v>
      </c>
    </row>
    <row r="14" customFormat="false" ht="21.75" hidden="false" customHeight="true" outlineLevel="0" collapsed="false">
      <c r="B14" s="89" t="str">
        <f aca="false">Listas!$E$7</f>
        <v>Concurso</v>
      </c>
      <c r="C14" s="55" t="n">
        <v>20</v>
      </c>
      <c r="D14" s="63" t="n">
        <f aca="false">SUMIFS('Diário de Estudo'!$D$7:$D$506,'Diário de Estudo'!$B$7:$B$506,$B14,'Diário de Estudo'!$A$7:$A$506,"&gt;="&amp;$E$5,'Diário de Estudo'!$A$7:$A$506,"&lt;"&amp;EDATE($E$5,1))</f>
        <v>0</v>
      </c>
      <c r="E14" s="43" t="n">
        <f aca="false">IF(C14=0,0,D14/C14)</f>
        <v>0</v>
      </c>
      <c r="F14" s="44" t="str">
        <f aca="false">REPT("█",MIN(10,ROUND(E14*10,0)))&amp;REPT("░",10-MIN(10,ROUND(E14*10,0)))</f>
        <v>░░░░░░░░░░</v>
      </c>
      <c r="G14" s="63" t="n">
        <f aca="false">MAX(0,C14-D14)</f>
        <v>20</v>
      </c>
      <c r="H14" s="41" t="str">
        <f aca="false">IF(C14=0,"—",IF(D14&gt;=C14,"Meta batida",IF(D14&gt;=C14*$G$5,"No ritmo","Abaixo do ritmo")))</f>
        <v>Abaixo do ritmo</v>
      </c>
      <c r="J14" s="91" t="str">
        <f aca="false">IF(J13="","",SUMIFS('Diário de Estudo'!$D$7:$D$506,'Diário de Estudo'!$A$7:$A$506,J13))</f>
        <v/>
      </c>
      <c r="K14" s="91" t="str">
        <f aca="false">IF(K13="","",SUMIFS('Diário de Estudo'!$D$7:$D$506,'Diário de Estudo'!$A$7:$A$506,K13))</f>
        <v/>
      </c>
      <c r="L14" s="91" t="str">
        <f aca="false">IF(L13="","",SUMIFS('Diário de Estudo'!$D$7:$D$506,'Diário de Estudo'!$A$7:$A$506,L13))</f>
        <v/>
      </c>
      <c r="M14" s="91" t="n">
        <f aca="false">IF(M13="","",SUMIFS('Diário de Estudo'!$D$7:$D$506,'Diário de Estudo'!$A$7:$A$506,M13))</f>
        <v>2</v>
      </c>
      <c r="N14" s="91" t="n">
        <f aca="false">IF(N13="","",SUMIFS('Diário de Estudo'!$D$7:$D$506,'Diário de Estudo'!$A$7:$A$506,N13))</f>
        <v>1.5</v>
      </c>
      <c r="O14" s="91" t="n">
        <f aca="false">IF(O13="","",SUMIFS('Diário de Estudo'!$D$7:$D$506,'Diário de Estudo'!$A$7:$A$506,O13))</f>
        <v>1</v>
      </c>
      <c r="P14" s="91" t="n">
        <f aca="false">IF(P13="","",SUMIFS('Diário de Estudo'!$D$7:$D$506,'Diário de Estudo'!$A$7:$A$506,P13))</f>
        <v>0</v>
      </c>
    </row>
    <row r="15" customFormat="false" ht="21.75" hidden="false" customHeight="true" outlineLevel="0" collapsed="false">
      <c r="B15" s="89" t="str">
        <f aca="false">Listas!$E$8</f>
        <v>Livros</v>
      </c>
      <c r="C15" s="55" t="n">
        <v>8</v>
      </c>
      <c r="D15" s="63" t="n">
        <f aca="false">SUMIFS('Diário de Estudo'!$D$7:$D$506,'Diário de Estudo'!$B$7:$B$506,$B15,'Diário de Estudo'!$A$7:$A$506,"&gt;="&amp;$E$5,'Diário de Estudo'!$A$7:$A$506,"&lt;"&amp;EDATE($E$5,1))</f>
        <v>1</v>
      </c>
      <c r="E15" s="43" t="n">
        <f aca="false">IF(C15=0,0,D15/C15)</f>
        <v>0.125</v>
      </c>
      <c r="F15" s="44" t="str">
        <f aca="false">REPT("█",MIN(10,ROUND(E15*10,0)))&amp;REPT("░",10-MIN(10,ROUND(E15*10,0)))</f>
        <v>█░░░░░░░░░</v>
      </c>
      <c r="G15" s="63" t="n">
        <f aca="false">MAX(0,C15-D15)</f>
        <v>7</v>
      </c>
      <c r="H15" s="41" t="str">
        <f aca="false">IF(C15=0,"—",IF(D15&gt;=C15,"Meta batida",IF(D15&gt;=C15*$G$5,"No ritmo","Abaixo do ritmo")))</f>
        <v>No ritmo</v>
      </c>
      <c r="J15" s="90" t="n">
        <f aca="false">IF(MONTH($E$5-WEEKDAY($E$5,2)+1+7)=MONTH($E$5),$E$5-WEEKDAY($E$5,2)+1+7,"")</f>
        <v>46300</v>
      </c>
      <c r="K15" s="90" t="n">
        <f aca="false">IF(MONTH($E$5-WEEKDAY($E$5,2)+1+8)=MONTH($E$5),$E$5-WEEKDAY($E$5,2)+1+8,"")</f>
        <v>46301</v>
      </c>
      <c r="L15" s="90" t="n">
        <f aca="false">IF(MONTH($E$5-WEEKDAY($E$5,2)+1+9)=MONTH($E$5),$E$5-WEEKDAY($E$5,2)+1+9,"")</f>
        <v>46302</v>
      </c>
      <c r="M15" s="90" t="n">
        <f aca="false">IF(MONTH($E$5-WEEKDAY($E$5,2)+1+10)=MONTH($E$5),$E$5-WEEKDAY($E$5,2)+1+10,"")</f>
        <v>46303</v>
      </c>
      <c r="N15" s="90" t="n">
        <f aca="false">IF(MONTH($E$5-WEEKDAY($E$5,2)+1+11)=MONTH($E$5),$E$5-WEEKDAY($E$5,2)+1+11,"")</f>
        <v>46304</v>
      </c>
      <c r="O15" s="90" t="n">
        <f aca="false">IF(MONTH($E$5-WEEKDAY($E$5,2)+1+12)=MONTH($E$5),$E$5-WEEKDAY($E$5,2)+1+12,"")</f>
        <v>46305</v>
      </c>
      <c r="P15" s="90" t="n">
        <f aca="false">IF(MONTH($E$5-WEEKDAY($E$5,2)+1+13)=MONTH($E$5),$E$5-WEEKDAY($E$5,2)+1+13,"")</f>
        <v>46306</v>
      </c>
    </row>
    <row r="16" customFormat="false" ht="21.75" hidden="false" customHeight="true" outlineLevel="0" collapsed="false">
      <c r="B16" s="89" t="str">
        <f aca="false">Listas!$E$9</f>
        <v>Cursos IA</v>
      </c>
      <c r="C16" s="55" t="n">
        <v>15</v>
      </c>
      <c r="D16" s="63" t="n">
        <f aca="false">SUMIFS('Diário de Estudo'!$D$7:$D$506,'Diário de Estudo'!$B$7:$B$506,$B16,'Diário de Estudo'!$A$7:$A$506,"&gt;="&amp;$E$5,'Diário de Estudo'!$A$7:$A$506,"&lt;"&amp;EDATE($E$5,1))</f>
        <v>1.5</v>
      </c>
      <c r="E16" s="43" t="n">
        <f aca="false">IF(C16=0,0,D16/C16)</f>
        <v>0.1</v>
      </c>
      <c r="F16" s="44" t="str">
        <f aca="false">REPT("█",MIN(10,ROUND(E16*10,0)))&amp;REPT("░",10-MIN(10,ROUND(E16*10,0)))</f>
        <v>█░░░░░░░░░</v>
      </c>
      <c r="G16" s="63" t="n">
        <f aca="false">MAX(0,C16-D16)</f>
        <v>13.5</v>
      </c>
      <c r="H16" s="41" t="str">
        <f aca="false">IF(C16=0,"—",IF(D16&gt;=C16,"Meta batida",IF(D16&gt;=C16*$G$5,"No ritmo","Abaixo do ritmo")))</f>
        <v>No ritmo</v>
      </c>
      <c r="J16" s="91" t="n">
        <f aca="false">IF(J15="","",SUMIFS('Diário de Estudo'!$D$7:$D$506,'Diário de Estudo'!$A$7:$A$506,J15))</f>
        <v>0</v>
      </c>
      <c r="K16" s="91" t="n">
        <f aca="false">IF(K15="","",SUMIFS('Diário de Estudo'!$D$7:$D$506,'Diário de Estudo'!$A$7:$A$506,K15))</f>
        <v>0</v>
      </c>
      <c r="L16" s="91" t="n">
        <f aca="false">IF(L15="","",SUMIFS('Diário de Estudo'!$D$7:$D$506,'Diário de Estudo'!$A$7:$A$506,L15))</f>
        <v>0</v>
      </c>
      <c r="M16" s="91" t="n">
        <f aca="false">IF(M15="","",SUMIFS('Diário de Estudo'!$D$7:$D$506,'Diário de Estudo'!$A$7:$A$506,M15))</f>
        <v>0</v>
      </c>
      <c r="N16" s="91" t="n">
        <f aca="false">IF(N15="","",SUMIFS('Diário de Estudo'!$D$7:$D$506,'Diário de Estudo'!$A$7:$A$506,N15))</f>
        <v>0</v>
      </c>
      <c r="O16" s="91" t="n">
        <f aca="false">IF(O15="","",SUMIFS('Diário de Estudo'!$D$7:$D$506,'Diário de Estudo'!$A$7:$A$506,O15))</f>
        <v>0</v>
      </c>
      <c r="P16" s="91" t="n">
        <f aca="false">IF(P15="","",SUMIFS('Diário de Estudo'!$D$7:$D$506,'Diário de Estudo'!$A$7:$A$506,P15))</f>
        <v>0</v>
      </c>
    </row>
    <row r="17" customFormat="false" ht="21.75" hidden="false" customHeight="true" outlineLevel="0" collapsed="false">
      <c r="B17" s="89" t="str">
        <f aca="false">Listas!$E$10</f>
        <v>Renda Extra</v>
      </c>
      <c r="C17" s="55" t="n">
        <v>10</v>
      </c>
      <c r="D17" s="63" t="n">
        <f aca="false">SUMIFS('Diário de Estudo'!$D$7:$D$506,'Diário de Estudo'!$B$7:$B$506,$B17,'Diário de Estudo'!$A$7:$A$506,"&gt;="&amp;$E$5,'Diário de Estudo'!$A$7:$A$506,"&lt;"&amp;EDATE($E$5,1))</f>
        <v>0</v>
      </c>
      <c r="E17" s="43" t="n">
        <f aca="false">IF(C17=0,0,D17/C17)</f>
        <v>0</v>
      </c>
      <c r="F17" s="44" t="str">
        <f aca="false">REPT("█",MIN(10,ROUND(E17*10,0)))&amp;REPT("░",10-MIN(10,ROUND(E17*10,0)))</f>
        <v>░░░░░░░░░░</v>
      </c>
      <c r="G17" s="63" t="n">
        <f aca="false">MAX(0,C17-D17)</f>
        <v>10</v>
      </c>
      <c r="H17" s="41" t="str">
        <f aca="false">IF(C17=0,"—",IF(D17&gt;=C17,"Meta batida",IF(D17&gt;=C17*$G$5,"No ritmo","Abaixo do ritmo")))</f>
        <v>Abaixo do ritmo</v>
      </c>
      <c r="J17" s="90" t="n">
        <f aca="false">IF(MONTH($E$5-WEEKDAY($E$5,2)+1+14)=MONTH($E$5),$E$5-WEEKDAY($E$5,2)+1+14,"")</f>
        <v>46307</v>
      </c>
      <c r="K17" s="90" t="n">
        <f aca="false">IF(MONTH($E$5-WEEKDAY($E$5,2)+1+15)=MONTH($E$5),$E$5-WEEKDAY($E$5,2)+1+15,"")</f>
        <v>46308</v>
      </c>
      <c r="L17" s="90" t="n">
        <f aca="false">IF(MONTH($E$5-WEEKDAY($E$5,2)+1+16)=MONTH($E$5),$E$5-WEEKDAY($E$5,2)+1+16,"")</f>
        <v>46309</v>
      </c>
      <c r="M17" s="90" t="n">
        <f aca="false">IF(MONTH($E$5-WEEKDAY($E$5,2)+1+17)=MONTH($E$5),$E$5-WEEKDAY($E$5,2)+1+17,"")</f>
        <v>46310</v>
      </c>
      <c r="N17" s="90" t="n">
        <f aca="false">IF(MONTH($E$5-WEEKDAY($E$5,2)+1+18)=MONTH($E$5),$E$5-WEEKDAY($E$5,2)+1+18,"")</f>
        <v>46311</v>
      </c>
      <c r="O17" s="90" t="n">
        <f aca="false">IF(MONTH($E$5-WEEKDAY($E$5,2)+1+19)=MONTH($E$5),$E$5-WEEKDAY($E$5,2)+1+19,"")</f>
        <v>46312</v>
      </c>
      <c r="P17" s="90" t="n">
        <f aca="false">IF(MONTH($E$5-WEEKDAY($E$5,2)+1+20)=MONTH($E$5),$E$5-WEEKDAY($E$5,2)+1+20,"")</f>
        <v>46313</v>
      </c>
    </row>
    <row r="18" customFormat="false" ht="21.75" hidden="false" customHeight="true" outlineLevel="0" collapsed="false">
      <c r="B18" s="69" t="s">
        <v>83</v>
      </c>
      <c r="C18" s="92" t="n">
        <f aca="false">SUM(C13:C17)</f>
        <v>73</v>
      </c>
      <c r="D18" s="92" t="n">
        <f aca="false">SUM(D13:D17)</f>
        <v>4.5</v>
      </c>
      <c r="E18" s="93" t="n">
        <f aca="false">IF(C18=0,0,D18/C18)</f>
        <v>0.0616438356164384</v>
      </c>
      <c r="F18" s="94" t="str">
        <f aca="false">REPT("█",MIN(10,ROUND(E18*10,0)))&amp;REPT("░",10-MIN(10,ROUND(E18*10,0)))</f>
        <v>█░░░░░░░░░</v>
      </c>
      <c r="G18" s="92" t="n">
        <f aca="false">MAX(0,C18-D18)</f>
        <v>68.5</v>
      </c>
      <c r="H18" s="95" t="str">
        <f aca="false">IF(C18=0,"—",IF(D18&gt;=C18,"Meta batida",IF(D18&gt;=C18*$G$5,"No ritmo","Abaixo do ritmo")))</f>
        <v>Abaixo do ritmo</v>
      </c>
      <c r="J18" s="91" t="n">
        <f aca="false">IF(J17="","",SUMIFS('Diário de Estudo'!$D$7:$D$506,'Diário de Estudo'!$A$7:$A$506,J17))</f>
        <v>0</v>
      </c>
      <c r="K18" s="91" t="n">
        <f aca="false">IF(K17="","",SUMIFS('Diário de Estudo'!$D$7:$D$506,'Diário de Estudo'!$A$7:$A$506,K17))</f>
        <v>0</v>
      </c>
      <c r="L18" s="91" t="n">
        <f aca="false">IF(L17="","",SUMIFS('Diário de Estudo'!$D$7:$D$506,'Diário de Estudo'!$A$7:$A$506,L17))</f>
        <v>0</v>
      </c>
      <c r="M18" s="91" t="n">
        <f aca="false">IF(M17="","",SUMIFS('Diário de Estudo'!$D$7:$D$506,'Diário de Estudo'!$A$7:$A$506,M17))</f>
        <v>0</v>
      </c>
      <c r="N18" s="91" t="n">
        <f aca="false">IF(N17="","",SUMIFS('Diário de Estudo'!$D$7:$D$506,'Diário de Estudo'!$A$7:$A$506,N17))</f>
        <v>0</v>
      </c>
      <c r="O18" s="91" t="n">
        <f aca="false">IF(O17="","",SUMIFS('Diário de Estudo'!$D$7:$D$506,'Diário de Estudo'!$A$7:$A$506,O17))</f>
        <v>0</v>
      </c>
      <c r="P18" s="91" t="n">
        <f aca="false">IF(P17="","",SUMIFS('Diário de Estudo'!$D$7:$D$506,'Diário de Estudo'!$A$7:$A$506,P17))</f>
        <v>0</v>
      </c>
    </row>
    <row r="19" customFormat="false" ht="21.75" hidden="false" customHeight="true" outlineLevel="0" collapsed="false">
      <c r="J19" s="90" t="n">
        <f aca="false">IF(MONTH($E$5-WEEKDAY($E$5,2)+1+21)=MONTH($E$5),$E$5-WEEKDAY($E$5,2)+1+21,"")</f>
        <v>46314</v>
      </c>
      <c r="K19" s="90" t="n">
        <f aca="false">IF(MONTH($E$5-WEEKDAY($E$5,2)+1+22)=MONTH($E$5),$E$5-WEEKDAY($E$5,2)+1+22,"")</f>
        <v>46315</v>
      </c>
      <c r="L19" s="90" t="n">
        <f aca="false">IF(MONTH($E$5-WEEKDAY($E$5,2)+1+23)=MONTH($E$5),$E$5-WEEKDAY($E$5,2)+1+23,"")</f>
        <v>46316</v>
      </c>
      <c r="M19" s="90" t="n">
        <f aca="false">IF(MONTH($E$5-WEEKDAY($E$5,2)+1+24)=MONTH($E$5),$E$5-WEEKDAY($E$5,2)+1+24,"")</f>
        <v>46317</v>
      </c>
      <c r="N19" s="90" t="n">
        <f aca="false">IF(MONTH($E$5-WEEKDAY($E$5,2)+1+25)=MONTH($E$5),$E$5-WEEKDAY($E$5,2)+1+25,"")</f>
        <v>46318</v>
      </c>
      <c r="O19" s="90" t="n">
        <f aca="false">IF(MONTH($E$5-WEEKDAY($E$5,2)+1+26)=MONTH($E$5),$E$5-WEEKDAY($E$5,2)+1+26,"")</f>
        <v>46319</v>
      </c>
      <c r="P19" s="90" t="n">
        <f aca="false">IF(MONTH($E$5-WEEKDAY($E$5,2)+1+27)=MONTH($E$5),$E$5-WEEKDAY($E$5,2)+1+27,"")</f>
        <v>46320</v>
      </c>
    </row>
    <row r="20" customFormat="false" ht="21.75" hidden="false" customHeight="true" outlineLevel="0" collapsed="false">
      <c r="J20" s="91" t="n">
        <f aca="false">IF(J19="","",SUMIFS('Diário de Estudo'!$D$7:$D$506,'Diário de Estudo'!$A$7:$A$506,J19))</f>
        <v>0</v>
      </c>
      <c r="K20" s="91" t="n">
        <f aca="false">IF(K19="","",SUMIFS('Diário de Estudo'!$D$7:$D$506,'Diário de Estudo'!$A$7:$A$506,K19))</f>
        <v>0</v>
      </c>
      <c r="L20" s="91" t="n">
        <f aca="false">IF(L19="","",SUMIFS('Diário de Estudo'!$D$7:$D$506,'Diário de Estudo'!$A$7:$A$506,L19))</f>
        <v>0</v>
      </c>
      <c r="M20" s="91" t="n">
        <f aca="false">IF(M19="","",SUMIFS('Diário de Estudo'!$D$7:$D$506,'Diário de Estudo'!$A$7:$A$506,M19))</f>
        <v>0</v>
      </c>
      <c r="N20" s="91" t="n">
        <f aca="false">IF(N19="","",SUMIFS('Diário de Estudo'!$D$7:$D$506,'Diário de Estudo'!$A$7:$A$506,N19))</f>
        <v>0</v>
      </c>
      <c r="O20" s="91" t="n">
        <f aca="false">IF(O19="","",SUMIFS('Diário de Estudo'!$D$7:$D$506,'Diário de Estudo'!$A$7:$A$506,O19))</f>
        <v>0</v>
      </c>
      <c r="P20" s="91" t="n">
        <f aca="false">IF(P19="","",SUMIFS('Diário de Estudo'!$D$7:$D$506,'Diário de Estudo'!$A$7:$A$506,P19))</f>
        <v>0</v>
      </c>
    </row>
    <row r="21" customFormat="false" ht="21.75" hidden="false" customHeight="true" outlineLevel="0" collapsed="false">
      <c r="J21" s="90" t="n">
        <f aca="false">IF(MONTH($E$5-WEEKDAY($E$5,2)+1+28)=MONTH($E$5),$E$5-WEEKDAY($E$5,2)+1+28,"")</f>
        <v>46321</v>
      </c>
      <c r="K21" s="90" t="n">
        <f aca="false">IF(MONTH($E$5-WEEKDAY($E$5,2)+1+29)=MONTH($E$5),$E$5-WEEKDAY($E$5,2)+1+29,"")</f>
        <v>46322</v>
      </c>
      <c r="L21" s="90" t="n">
        <f aca="false">IF(MONTH($E$5-WEEKDAY($E$5,2)+1+30)=MONTH($E$5),$E$5-WEEKDAY($E$5,2)+1+30,"")</f>
        <v>46323</v>
      </c>
      <c r="M21" s="90" t="n">
        <f aca="false">IF(MONTH($E$5-WEEKDAY($E$5,2)+1+31)=MONTH($E$5),$E$5-WEEKDAY($E$5,2)+1+31,"")</f>
        <v>46324</v>
      </c>
      <c r="N21" s="90" t="n">
        <f aca="false">IF(MONTH($E$5-WEEKDAY($E$5,2)+1+32)=MONTH($E$5),$E$5-WEEKDAY($E$5,2)+1+32,"")</f>
        <v>46325</v>
      </c>
      <c r="O21" s="90" t="n">
        <f aca="false">IF(MONTH($E$5-WEEKDAY($E$5,2)+1+33)=MONTH($E$5),$E$5-WEEKDAY($E$5,2)+1+33,"")</f>
        <v>46326</v>
      </c>
      <c r="P21" s="90" t="str">
        <f aca="false">IF(MONTH($E$5-WEEKDAY($E$5,2)+1+34)=MONTH($E$5),$E$5-WEEKDAY($E$5,2)+1+34,"")</f>
        <v/>
      </c>
    </row>
    <row r="22" customFormat="false" ht="21.75" hidden="false" customHeight="true" outlineLevel="0" collapsed="false">
      <c r="J22" s="91" t="n">
        <f aca="false">IF(J21="","",SUMIFS('Diário de Estudo'!$D$7:$D$506,'Diário de Estudo'!$A$7:$A$506,J21))</f>
        <v>0</v>
      </c>
      <c r="K22" s="91" t="n">
        <f aca="false">IF(K21="","",SUMIFS('Diário de Estudo'!$D$7:$D$506,'Diário de Estudo'!$A$7:$A$506,K21))</f>
        <v>0</v>
      </c>
      <c r="L22" s="91" t="n">
        <f aca="false">IF(L21="","",SUMIFS('Diário de Estudo'!$D$7:$D$506,'Diário de Estudo'!$A$7:$A$506,L21))</f>
        <v>0</v>
      </c>
      <c r="M22" s="91" t="n">
        <f aca="false">IF(M21="","",SUMIFS('Diário de Estudo'!$D$7:$D$506,'Diário de Estudo'!$A$7:$A$506,M21))</f>
        <v>0</v>
      </c>
      <c r="N22" s="91" t="n">
        <f aca="false">IF(N21="","",SUMIFS('Diário de Estudo'!$D$7:$D$506,'Diário de Estudo'!$A$7:$A$506,N21))</f>
        <v>0</v>
      </c>
      <c r="O22" s="91" t="n">
        <f aca="false">IF(O21="","",SUMIFS('Diário de Estudo'!$D$7:$D$506,'Diário de Estudo'!$A$7:$A$506,O21))</f>
        <v>0</v>
      </c>
      <c r="P22" s="91" t="str">
        <f aca="false">IF(P21="","",SUMIFS('Diário de Estudo'!$D$7:$D$506,'Diário de Estudo'!$A$7:$A$506,P21))</f>
        <v/>
      </c>
    </row>
    <row r="23" customFormat="false" ht="21.75" hidden="false" customHeight="true" outlineLevel="0" collapsed="false">
      <c r="J23" s="90" t="str">
        <f aca="false">IF(MONTH($E$5-WEEKDAY($E$5,2)+1+35)=MONTH($E$5),$E$5-WEEKDAY($E$5,2)+1+35,"")</f>
        <v/>
      </c>
      <c r="K23" s="90" t="str">
        <f aca="false">IF(MONTH($E$5-WEEKDAY($E$5,2)+1+36)=MONTH($E$5),$E$5-WEEKDAY($E$5,2)+1+36,"")</f>
        <v/>
      </c>
      <c r="L23" s="90" t="str">
        <f aca="false">IF(MONTH($E$5-WEEKDAY($E$5,2)+1+37)=MONTH($E$5),$E$5-WEEKDAY($E$5,2)+1+37,"")</f>
        <v/>
      </c>
      <c r="M23" s="90" t="str">
        <f aca="false">IF(MONTH($E$5-WEEKDAY($E$5,2)+1+38)=MONTH($E$5),$E$5-WEEKDAY($E$5,2)+1+38,"")</f>
        <v/>
      </c>
      <c r="N23" s="90" t="str">
        <f aca="false">IF(MONTH($E$5-WEEKDAY($E$5,2)+1+39)=MONTH($E$5),$E$5-WEEKDAY($E$5,2)+1+39,"")</f>
        <v/>
      </c>
      <c r="O23" s="90" t="str">
        <f aca="false">IF(MONTH($E$5-WEEKDAY($E$5,2)+1+40)=MONTH($E$5),$E$5-WEEKDAY($E$5,2)+1+40,"")</f>
        <v/>
      </c>
      <c r="P23" s="90" t="str">
        <f aca="false">IF(MONTH($E$5-WEEKDAY($E$5,2)+1+41)=MONTH($E$5),$E$5-WEEKDAY($E$5,2)+1+41,"")</f>
        <v/>
      </c>
    </row>
    <row r="24" customFormat="false" ht="21.75" hidden="false" customHeight="true" outlineLevel="0" collapsed="false">
      <c r="J24" s="91" t="str">
        <f aca="false">IF(J23="","",SUMIFS('Diário de Estudo'!$D$7:$D$506,'Diário de Estudo'!$A$7:$A$506,J23))</f>
        <v/>
      </c>
      <c r="K24" s="91" t="str">
        <f aca="false">IF(K23="","",SUMIFS('Diário de Estudo'!$D$7:$D$506,'Diário de Estudo'!$A$7:$A$506,K23))</f>
        <v/>
      </c>
      <c r="L24" s="91" t="str">
        <f aca="false">IF(L23="","",SUMIFS('Diário de Estudo'!$D$7:$D$506,'Diário de Estudo'!$A$7:$A$506,L23))</f>
        <v/>
      </c>
      <c r="M24" s="91" t="str">
        <f aca="false">IF(M23="","",SUMIFS('Diário de Estudo'!$D$7:$D$506,'Diário de Estudo'!$A$7:$A$506,M23))</f>
        <v/>
      </c>
      <c r="N24" s="91" t="str">
        <f aca="false">IF(N23="","",SUMIFS('Diário de Estudo'!$D$7:$D$506,'Diário de Estudo'!$A$7:$A$506,N23))</f>
        <v/>
      </c>
      <c r="O24" s="91" t="str">
        <f aca="false">IF(O23="","",SUMIFS('Diário de Estudo'!$D$7:$D$506,'Diário de Estudo'!$A$7:$A$506,O23))</f>
        <v/>
      </c>
      <c r="P24" s="91" t="str">
        <f aca="false">IF(P23="","",SUMIFS('Diário de Estudo'!$D$7:$D$506,'Diário de Estudo'!$A$7:$A$506,P23))</f>
        <v/>
      </c>
    </row>
    <row r="25" customFormat="false" ht="15" hidden="false" customHeight="false" outlineLevel="0" collapsed="false">
      <c r="J25" s="96" t="s">
        <v>142</v>
      </c>
      <c r="K25" s="96"/>
      <c r="L25" s="96"/>
      <c r="M25" s="96"/>
      <c r="N25" s="96"/>
      <c r="O25" s="96"/>
      <c r="P25" s="96"/>
    </row>
  </sheetData>
  <mergeCells count="15">
    <mergeCell ref="A1:P1"/>
    <mergeCell ref="A2:M2"/>
    <mergeCell ref="N2:P2"/>
    <mergeCell ref="B7:C7"/>
    <mergeCell ref="D7:E7"/>
    <mergeCell ref="G7:H7"/>
    <mergeCell ref="B8:C8"/>
    <mergeCell ref="D8:E8"/>
    <mergeCell ref="G8:H8"/>
    <mergeCell ref="B9:C9"/>
    <mergeCell ref="D9:E9"/>
    <mergeCell ref="G9:H9"/>
    <mergeCell ref="B11:H11"/>
    <mergeCell ref="J11:P11"/>
    <mergeCell ref="J25:P25"/>
  </mergeCells>
  <conditionalFormatting sqref="H13:H18">
    <cfRule type="cellIs" priority="2" operator="equal" aboveAverage="0" equalAverage="0" bottom="0" percent="0" rank="0" text="" dxfId="8">
      <formula>"Meta batida"</formula>
    </cfRule>
    <cfRule type="cellIs" priority="3" operator="equal" aboveAverage="0" equalAverage="0" bottom="0" percent="0" rank="0" text="" dxfId="9">
      <formula>"No ritmo"</formula>
    </cfRule>
    <cfRule type="cellIs" priority="4" operator="equal" aboveAverage="0" equalAverage="0" bottom="0" percent="0" rank="0" text="" dxfId="1">
      <formula>"Abaixo do ritmo"</formula>
    </cfRule>
  </conditionalFormatting>
  <conditionalFormatting sqref="J14:P14">
    <cfRule type="colorScale" priority="5">
      <colorScale>
        <cfvo type="num" val="0"/>
        <cfvo type="max" val="0"/>
        <color rgb="FFDCE5D4"/>
        <color rgb="FFA3B18A"/>
      </colorScale>
    </cfRule>
  </conditionalFormatting>
  <conditionalFormatting sqref="J13:P13">
    <cfRule type="expression" priority="6" aboveAverage="0" equalAverage="0" bottom="0" percent="0" rank="0" text="" dxfId="7">
      <formula>AND(ISNUMBER(J13),J13=TODAY())</formula>
    </cfRule>
  </conditionalFormatting>
  <conditionalFormatting sqref="J16:P16">
    <cfRule type="colorScale" priority="7">
      <colorScale>
        <cfvo type="num" val="0"/>
        <cfvo type="max" val="0"/>
        <color rgb="FFDCE5D4"/>
        <color rgb="FFA3B18A"/>
      </colorScale>
    </cfRule>
  </conditionalFormatting>
  <conditionalFormatting sqref="J15:P15">
    <cfRule type="expression" priority="8" aboveAverage="0" equalAverage="0" bottom="0" percent="0" rank="0" text="" dxfId="7">
      <formula>AND(ISNUMBER(J15),J15=TODAY())</formula>
    </cfRule>
  </conditionalFormatting>
  <conditionalFormatting sqref="J18:P18">
    <cfRule type="colorScale" priority="9">
      <colorScale>
        <cfvo type="num" val="0"/>
        <cfvo type="max" val="0"/>
        <color rgb="FFDCE5D4"/>
        <color rgb="FFA3B18A"/>
      </colorScale>
    </cfRule>
  </conditionalFormatting>
  <conditionalFormatting sqref="J17:P17">
    <cfRule type="expression" priority="10" aboveAverage="0" equalAverage="0" bottom="0" percent="0" rank="0" text="" dxfId="7">
      <formula>AND(ISNUMBER(J17),J17=TODAY())</formula>
    </cfRule>
  </conditionalFormatting>
  <conditionalFormatting sqref="J20:P20">
    <cfRule type="colorScale" priority="11">
      <colorScale>
        <cfvo type="num" val="0"/>
        <cfvo type="max" val="0"/>
        <color rgb="FFDCE5D4"/>
        <color rgb="FFA3B18A"/>
      </colorScale>
    </cfRule>
  </conditionalFormatting>
  <conditionalFormatting sqref="J19:P19">
    <cfRule type="expression" priority="12" aboveAverage="0" equalAverage="0" bottom="0" percent="0" rank="0" text="" dxfId="7">
      <formula>AND(ISNUMBER(J19),J19=TODAY())</formula>
    </cfRule>
  </conditionalFormatting>
  <conditionalFormatting sqref="J22:P22">
    <cfRule type="colorScale" priority="13">
      <colorScale>
        <cfvo type="num" val="0"/>
        <cfvo type="max" val="0"/>
        <color rgb="FFDCE5D4"/>
        <color rgb="FFA3B18A"/>
      </colorScale>
    </cfRule>
  </conditionalFormatting>
  <conditionalFormatting sqref="J21:P21">
    <cfRule type="expression" priority="14" aboveAverage="0" equalAverage="0" bottom="0" percent="0" rank="0" text="" dxfId="7">
      <formula>AND(ISNUMBER(J21),J21=TODAY())</formula>
    </cfRule>
  </conditionalFormatting>
  <conditionalFormatting sqref="J24:P24">
    <cfRule type="colorScale" priority="15">
      <colorScale>
        <cfvo type="num" val="0"/>
        <cfvo type="max" val="0"/>
        <color rgb="FFDCE5D4"/>
        <color rgb="FFA3B18A"/>
      </colorScale>
    </cfRule>
  </conditionalFormatting>
  <conditionalFormatting sqref="J23:P23">
    <cfRule type="expression" priority="16" aboveAverage="0" equalAverage="0" bottom="0" percent="0" rank="0" text="" dxfId="7">
      <formula>AND(ISNUMBER(J23),J23=TODAY())</formula>
    </cfRule>
  </conditionalFormatting>
  <dataValidations count="2">
    <dataValidation allowBlank="false" error="Valor inválido." errorStyle="stop" operator="greaterThan" showDropDown="false" showErrorMessage="true" showInputMessage="false" sqref="C5" type="date">
      <formula1>36526</formula1>
      <formula2>0</formula2>
    </dataValidation>
    <dataValidation allowBlank="true" error="Valor inválido." errorStyle="stop" operator="greaterThanOrEqual" showDropDown="false" showErrorMessage="true" showInputMessage="false" sqref="C13:C17" type="decimal">
      <formula1>0</formula1>
      <formula2>0</formula2>
    </dataValidation>
  </dataValidations>
  <hyperlinks>
    <hyperlink ref="N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F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37.5" hidden="false" customHeight="true" outlineLevel="0" collapsed="false">
      <c r="A1" s="20" t="s">
        <v>143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1" t="s">
        <v>144</v>
      </c>
      <c r="B2" s="21"/>
      <c r="C2" s="21"/>
      <c r="D2" s="22" t="s">
        <v>57</v>
      </c>
      <c r="E2" s="22"/>
      <c r="F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19.5" hidden="false" customHeight="true" outlineLevel="0" collapsed="false">
      <c r="A5" s="97" t="s">
        <v>145</v>
      </c>
      <c r="B5" s="97"/>
      <c r="C5" s="97"/>
      <c r="D5" s="98" t="n">
        <f aca="false">SUM(D7:D506)</f>
        <v>4.5</v>
      </c>
      <c r="E5" s="32" t="s">
        <v>146</v>
      </c>
    </row>
    <row r="6" customFormat="false" ht="30" hidden="false" customHeight="true" outlineLevel="0" collapsed="false">
      <c r="A6" s="34" t="s">
        <v>147</v>
      </c>
      <c r="B6" s="34" t="s">
        <v>72</v>
      </c>
      <c r="C6" s="34" t="s">
        <v>148</v>
      </c>
      <c r="D6" s="34" t="s">
        <v>149</v>
      </c>
      <c r="E6" s="34" t="s">
        <v>150</v>
      </c>
      <c r="F6" s="34" t="s">
        <v>151</v>
      </c>
    </row>
    <row r="7" customFormat="false" ht="19.5" hidden="false" customHeight="true" outlineLevel="0" collapsed="false">
      <c r="A7" s="52" t="n">
        <v>46296</v>
      </c>
      <c r="B7" s="81" t="s">
        <v>11</v>
      </c>
      <c r="C7" s="13" t="s">
        <v>152</v>
      </c>
      <c r="D7" s="55" t="n">
        <v>2</v>
      </c>
      <c r="E7" s="13" t="s">
        <v>153</v>
      </c>
      <c r="F7" s="81" t="n">
        <v>4</v>
      </c>
    </row>
    <row r="8" customFormat="false" ht="19.5" hidden="false" customHeight="true" outlineLevel="0" collapsed="false">
      <c r="A8" s="52" t="n">
        <v>46297</v>
      </c>
      <c r="B8" s="81" t="s">
        <v>14</v>
      </c>
      <c r="C8" s="13" t="s">
        <v>154</v>
      </c>
      <c r="D8" s="55" t="n">
        <v>1.5</v>
      </c>
      <c r="E8" s="13" t="s">
        <v>155</v>
      </c>
      <c r="F8" s="81" t="n">
        <v>5</v>
      </c>
    </row>
    <row r="9" customFormat="false" ht="19.5" hidden="false" customHeight="true" outlineLevel="0" collapsed="false">
      <c r="A9" s="52" t="n">
        <v>46298</v>
      </c>
      <c r="B9" s="81" t="s">
        <v>13</v>
      </c>
      <c r="C9" s="13" t="s">
        <v>156</v>
      </c>
      <c r="D9" s="55" t="n">
        <v>1</v>
      </c>
      <c r="E9" s="13" t="s">
        <v>157</v>
      </c>
      <c r="F9" s="81" t="n">
        <v>4</v>
      </c>
    </row>
    <row r="10" customFormat="false" ht="19.5" hidden="false" customHeight="true" outlineLevel="0" collapsed="false">
      <c r="A10" s="52"/>
      <c r="B10" s="81"/>
      <c r="C10" s="13"/>
      <c r="D10" s="55"/>
      <c r="E10" s="13"/>
      <c r="F10" s="81"/>
    </row>
    <row r="11" customFormat="false" ht="19.5" hidden="false" customHeight="true" outlineLevel="0" collapsed="false">
      <c r="A11" s="52"/>
      <c r="B11" s="81"/>
      <c r="C11" s="13"/>
      <c r="D11" s="55"/>
      <c r="E11" s="13"/>
      <c r="F11" s="81"/>
    </row>
    <row r="12" customFormat="false" ht="19.5" hidden="false" customHeight="true" outlineLevel="0" collapsed="false">
      <c r="A12" s="52"/>
      <c r="B12" s="81"/>
      <c r="C12" s="13"/>
      <c r="D12" s="55"/>
      <c r="E12" s="13"/>
      <c r="F12" s="81"/>
    </row>
    <row r="13" customFormat="false" ht="19.5" hidden="false" customHeight="true" outlineLevel="0" collapsed="false">
      <c r="A13" s="52"/>
      <c r="B13" s="81"/>
      <c r="C13" s="13"/>
      <c r="D13" s="55"/>
      <c r="E13" s="13"/>
      <c r="F13" s="81"/>
    </row>
    <row r="14" customFormat="false" ht="19.5" hidden="false" customHeight="true" outlineLevel="0" collapsed="false">
      <c r="A14" s="52"/>
      <c r="B14" s="81"/>
      <c r="C14" s="13"/>
      <c r="D14" s="55"/>
      <c r="E14" s="13"/>
      <c r="F14" s="81"/>
    </row>
    <row r="15" customFormat="false" ht="19.5" hidden="false" customHeight="true" outlineLevel="0" collapsed="false">
      <c r="A15" s="52"/>
      <c r="B15" s="81"/>
      <c r="C15" s="13"/>
      <c r="D15" s="55"/>
      <c r="E15" s="13"/>
      <c r="F15" s="81"/>
    </row>
    <row r="16" customFormat="false" ht="19.5" hidden="false" customHeight="true" outlineLevel="0" collapsed="false">
      <c r="A16" s="52"/>
      <c r="B16" s="81"/>
      <c r="C16" s="13"/>
      <c r="D16" s="55"/>
      <c r="E16" s="13"/>
      <c r="F16" s="81"/>
    </row>
    <row r="17" customFormat="false" ht="19.5" hidden="false" customHeight="true" outlineLevel="0" collapsed="false">
      <c r="A17" s="52"/>
      <c r="B17" s="81"/>
      <c r="C17" s="13"/>
      <c r="D17" s="55"/>
      <c r="E17" s="13"/>
      <c r="F17" s="81"/>
    </row>
    <row r="18" customFormat="false" ht="19.5" hidden="false" customHeight="true" outlineLevel="0" collapsed="false">
      <c r="A18" s="52"/>
      <c r="B18" s="81"/>
      <c r="C18" s="13"/>
      <c r="D18" s="55"/>
      <c r="E18" s="13"/>
      <c r="F18" s="81"/>
    </row>
    <row r="19" customFormat="false" ht="19.5" hidden="false" customHeight="true" outlineLevel="0" collapsed="false">
      <c r="A19" s="52"/>
      <c r="B19" s="81"/>
      <c r="C19" s="13"/>
      <c r="D19" s="55"/>
      <c r="E19" s="13"/>
      <c r="F19" s="81"/>
    </row>
    <row r="20" customFormat="false" ht="19.5" hidden="false" customHeight="true" outlineLevel="0" collapsed="false">
      <c r="A20" s="52"/>
      <c r="B20" s="81"/>
      <c r="C20" s="13"/>
      <c r="D20" s="55"/>
      <c r="E20" s="13"/>
      <c r="F20" s="81"/>
    </row>
    <row r="21" customFormat="false" ht="19.5" hidden="false" customHeight="true" outlineLevel="0" collapsed="false">
      <c r="A21" s="52"/>
      <c r="B21" s="81"/>
      <c r="C21" s="13"/>
      <c r="D21" s="55"/>
      <c r="E21" s="13"/>
      <c r="F21" s="81"/>
    </row>
    <row r="22" customFormat="false" ht="19.5" hidden="false" customHeight="true" outlineLevel="0" collapsed="false">
      <c r="A22" s="52"/>
      <c r="B22" s="81"/>
      <c r="C22" s="13"/>
      <c r="D22" s="55"/>
      <c r="E22" s="13"/>
      <c r="F22" s="81"/>
    </row>
    <row r="23" customFormat="false" ht="19.5" hidden="false" customHeight="true" outlineLevel="0" collapsed="false">
      <c r="A23" s="52"/>
      <c r="B23" s="81"/>
      <c r="C23" s="13"/>
      <c r="D23" s="55"/>
      <c r="E23" s="13"/>
      <c r="F23" s="81"/>
    </row>
    <row r="24" customFormat="false" ht="19.5" hidden="false" customHeight="true" outlineLevel="0" collapsed="false">
      <c r="A24" s="52"/>
      <c r="B24" s="81"/>
      <c r="C24" s="13"/>
      <c r="D24" s="55"/>
      <c r="E24" s="13"/>
      <c r="F24" s="81"/>
    </row>
    <row r="25" customFormat="false" ht="19.5" hidden="false" customHeight="true" outlineLevel="0" collapsed="false">
      <c r="A25" s="52"/>
      <c r="B25" s="81"/>
      <c r="C25" s="13"/>
      <c r="D25" s="55"/>
      <c r="E25" s="13"/>
      <c r="F25" s="81"/>
    </row>
    <row r="26" customFormat="false" ht="19.5" hidden="false" customHeight="true" outlineLevel="0" collapsed="false">
      <c r="A26" s="52"/>
      <c r="B26" s="81"/>
      <c r="C26" s="13"/>
      <c r="D26" s="55"/>
      <c r="E26" s="13"/>
      <c r="F26" s="81"/>
    </row>
    <row r="27" customFormat="false" ht="19.5" hidden="false" customHeight="true" outlineLevel="0" collapsed="false">
      <c r="A27" s="52"/>
      <c r="B27" s="81"/>
      <c r="C27" s="13"/>
      <c r="D27" s="55"/>
      <c r="E27" s="13"/>
      <c r="F27" s="81"/>
    </row>
    <row r="28" customFormat="false" ht="19.5" hidden="false" customHeight="true" outlineLevel="0" collapsed="false">
      <c r="A28" s="52"/>
      <c r="B28" s="81"/>
      <c r="C28" s="13"/>
      <c r="D28" s="55"/>
      <c r="E28" s="13"/>
      <c r="F28" s="81"/>
    </row>
    <row r="29" customFormat="false" ht="19.5" hidden="false" customHeight="true" outlineLevel="0" collapsed="false">
      <c r="A29" s="52"/>
      <c r="B29" s="81"/>
      <c r="C29" s="13"/>
      <c r="D29" s="55"/>
      <c r="E29" s="13"/>
      <c r="F29" s="81"/>
    </row>
    <row r="30" customFormat="false" ht="19.5" hidden="false" customHeight="true" outlineLevel="0" collapsed="false">
      <c r="A30" s="52"/>
      <c r="B30" s="81"/>
      <c r="C30" s="13"/>
      <c r="D30" s="55"/>
      <c r="E30" s="13"/>
      <c r="F30" s="81"/>
    </row>
    <row r="31" customFormat="false" ht="19.5" hidden="false" customHeight="true" outlineLevel="0" collapsed="false">
      <c r="A31" s="52"/>
      <c r="B31" s="81"/>
      <c r="C31" s="13"/>
      <c r="D31" s="55"/>
      <c r="E31" s="13"/>
      <c r="F31" s="81"/>
    </row>
    <row r="32" customFormat="false" ht="19.5" hidden="false" customHeight="true" outlineLevel="0" collapsed="false">
      <c r="A32" s="52"/>
      <c r="B32" s="81"/>
      <c r="C32" s="13"/>
      <c r="D32" s="55"/>
      <c r="E32" s="13"/>
      <c r="F32" s="81"/>
    </row>
    <row r="33" customFormat="false" ht="19.5" hidden="false" customHeight="true" outlineLevel="0" collapsed="false">
      <c r="A33" s="52"/>
      <c r="B33" s="81"/>
      <c r="C33" s="13"/>
      <c r="D33" s="55"/>
      <c r="E33" s="13"/>
      <c r="F33" s="81"/>
    </row>
    <row r="34" customFormat="false" ht="19.5" hidden="false" customHeight="true" outlineLevel="0" collapsed="false">
      <c r="A34" s="52"/>
      <c r="B34" s="81"/>
      <c r="C34" s="13"/>
      <c r="D34" s="55"/>
      <c r="E34" s="13"/>
      <c r="F34" s="81"/>
    </row>
    <row r="35" customFormat="false" ht="19.5" hidden="false" customHeight="true" outlineLevel="0" collapsed="false">
      <c r="A35" s="52"/>
      <c r="B35" s="81"/>
      <c r="C35" s="13"/>
      <c r="D35" s="55"/>
      <c r="E35" s="13"/>
      <c r="F35" s="81"/>
    </row>
    <row r="36" customFormat="false" ht="19.5" hidden="false" customHeight="true" outlineLevel="0" collapsed="false">
      <c r="A36" s="52"/>
      <c r="B36" s="81"/>
      <c r="C36" s="13"/>
      <c r="D36" s="55"/>
      <c r="E36" s="13"/>
      <c r="F36" s="81"/>
    </row>
    <row r="37" customFormat="false" ht="19.5" hidden="false" customHeight="true" outlineLevel="0" collapsed="false">
      <c r="A37" s="52"/>
      <c r="B37" s="81"/>
      <c r="C37" s="13"/>
      <c r="D37" s="55"/>
      <c r="E37" s="13"/>
      <c r="F37" s="81"/>
    </row>
    <row r="38" customFormat="false" ht="19.5" hidden="false" customHeight="true" outlineLevel="0" collapsed="false">
      <c r="A38" s="52"/>
      <c r="B38" s="81"/>
      <c r="C38" s="13"/>
      <c r="D38" s="55"/>
      <c r="E38" s="13"/>
      <c r="F38" s="81"/>
    </row>
    <row r="39" customFormat="false" ht="19.5" hidden="false" customHeight="true" outlineLevel="0" collapsed="false">
      <c r="A39" s="52"/>
      <c r="B39" s="81"/>
      <c r="C39" s="13"/>
      <c r="D39" s="55"/>
      <c r="E39" s="13"/>
      <c r="F39" s="81"/>
    </row>
    <row r="40" customFormat="false" ht="19.5" hidden="false" customHeight="true" outlineLevel="0" collapsed="false">
      <c r="A40" s="52"/>
      <c r="B40" s="81"/>
      <c r="C40" s="13"/>
      <c r="D40" s="55"/>
      <c r="E40" s="13"/>
      <c r="F40" s="81"/>
    </row>
    <row r="41" customFormat="false" ht="19.5" hidden="false" customHeight="true" outlineLevel="0" collapsed="false">
      <c r="A41" s="52"/>
      <c r="B41" s="81"/>
      <c r="C41" s="13"/>
      <c r="D41" s="55"/>
      <c r="E41" s="13"/>
      <c r="F41" s="81"/>
    </row>
    <row r="42" customFormat="false" ht="19.5" hidden="false" customHeight="true" outlineLevel="0" collapsed="false">
      <c r="A42" s="52"/>
      <c r="B42" s="81"/>
      <c r="C42" s="13"/>
      <c r="D42" s="55"/>
      <c r="E42" s="13"/>
      <c r="F42" s="81"/>
    </row>
    <row r="43" customFormat="false" ht="19.5" hidden="false" customHeight="true" outlineLevel="0" collapsed="false">
      <c r="A43" s="52"/>
      <c r="B43" s="81"/>
      <c r="C43" s="13"/>
      <c r="D43" s="55"/>
      <c r="E43" s="13"/>
      <c r="F43" s="81"/>
    </row>
    <row r="44" customFormat="false" ht="19.5" hidden="false" customHeight="true" outlineLevel="0" collapsed="false">
      <c r="A44" s="52"/>
      <c r="B44" s="81"/>
      <c r="C44" s="13"/>
      <c r="D44" s="55"/>
      <c r="E44" s="13"/>
      <c r="F44" s="81"/>
    </row>
    <row r="45" customFormat="false" ht="19.5" hidden="false" customHeight="true" outlineLevel="0" collapsed="false">
      <c r="A45" s="52"/>
      <c r="B45" s="81"/>
      <c r="C45" s="13"/>
      <c r="D45" s="55"/>
      <c r="E45" s="13"/>
      <c r="F45" s="81"/>
    </row>
    <row r="46" customFormat="false" ht="19.5" hidden="false" customHeight="true" outlineLevel="0" collapsed="false">
      <c r="A46" s="52"/>
      <c r="B46" s="81"/>
      <c r="C46" s="13"/>
      <c r="D46" s="55"/>
      <c r="E46" s="13"/>
      <c r="F46" s="81"/>
    </row>
    <row r="47" customFormat="false" ht="19.5" hidden="false" customHeight="true" outlineLevel="0" collapsed="false">
      <c r="A47" s="52"/>
      <c r="B47" s="81"/>
      <c r="C47" s="13"/>
      <c r="D47" s="55"/>
      <c r="E47" s="13"/>
      <c r="F47" s="81"/>
    </row>
    <row r="48" customFormat="false" ht="19.5" hidden="false" customHeight="true" outlineLevel="0" collapsed="false">
      <c r="A48" s="52"/>
      <c r="B48" s="81"/>
      <c r="C48" s="13"/>
      <c r="D48" s="55"/>
      <c r="E48" s="13"/>
      <c r="F48" s="81"/>
    </row>
    <row r="49" customFormat="false" ht="19.5" hidden="false" customHeight="true" outlineLevel="0" collapsed="false">
      <c r="A49" s="52"/>
      <c r="B49" s="81"/>
      <c r="C49" s="13"/>
      <c r="D49" s="55"/>
      <c r="E49" s="13"/>
      <c r="F49" s="81"/>
    </row>
    <row r="50" customFormat="false" ht="19.5" hidden="false" customHeight="true" outlineLevel="0" collapsed="false">
      <c r="A50" s="52"/>
      <c r="B50" s="81"/>
      <c r="C50" s="13"/>
      <c r="D50" s="55"/>
      <c r="E50" s="13"/>
      <c r="F50" s="81"/>
    </row>
    <row r="51" customFormat="false" ht="19.5" hidden="false" customHeight="true" outlineLevel="0" collapsed="false">
      <c r="A51" s="52"/>
      <c r="B51" s="81"/>
      <c r="C51" s="13"/>
      <c r="D51" s="55"/>
      <c r="E51" s="13"/>
      <c r="F51" s="81"/>
    </row>
    <row r="52" customFormat="false" ht="19.5" hidden="false" customHeight="true" outlineLevel="0" collapsed="false">
      <c r="A52" s="52"/>
      <c r="B52" s="81"/>
      <c r="C52" s="13"/>
      <c r="D52" s="55"/>
      <c r="E52" s="13"/>
      <c r="F52" s="81"/>
    </row>
    <row r="53" customFormat="false" ht="19.5" hidden="false" customHeight="true" outlineLevel="0" collapsed="false">
      <c r="A53" s="52"/>
      <c r="B53" s="81"/>
      <c r="C53" s="13"/>
      <c r="D53" s="55"/>
      <c r="E53" s="13"/>
      <c r="F53" s="81"/>
    </row>
    <row r="54" customFormat="false" ht="19.5" hidden="false" customHeight="true" outlineLevel="0" collapsed="false">
      <c r="A54" s="52"/>
      <c r="B54" s="81"/>
      <c r="C54" s="13"/>
      <c r="D54" s="55"/>
      <c r="E54" s="13"/>
      <c r="F54" s="81"/>
    </row>
    <row r="55" customFormat="false" ht="19.5" hidden="false" customHeight="true" outlineLevel="0" collapsed="false">
      <c r="A55" s="52"/>
      <c r="B55" s="81"/>
      <c r="C55" s="13"/>
      <c r="D55" s="55"/>
      <c r="E55" s="13"/>
      <c r="F55" s="81"/>
    </row>
    <row r="56" customFormat="false" ht="19.5" hidden="false" customHeight="true" outlineLevel="0" collapsed="false">
      <c r="A56" s="52"/>
      <c r="B56" s="81"/>
      <c r="C56" s="13"/>
      <c r="D56" s="55"/>
      <c r="E56" s="13"/>
      <c r="F56" s="81"/>
    </row>
    <row r="57" customFormat="false" ht="19.5" hidden="false" customHeight="true" outlineLevel="0" collapsed="false">
      <c r="A57" s="52"/>
      <c r="B57" s="81"/>
      <c r="C57" s="13"/>
      <c r="D57" s="55"/>
      <c r="E57" s="13"/>
      <c r="F57" s="81"/>
    </row>
    <row r="58" customFormat="false" ht="19.5" hidden="false" customHeight="true" outlineLevel="0" collapsed="false">
      <c r="A58" s="52"/>
      <c r="B58" s="81"/>
      <c r="C58" s="13"/>
      <c r="D58" s="55"/>
      <c r="E58" s="13"/>
      <c r="F58" s="81"/>
    </row>
    <row r="59" customFormat="false" ht="19.5" hidden="false" customHeight="true" outlineLevel="0" collapsed="false">
      <c r="A59" s="52"/>
      <c r="B59" s="81"/>
      <c r="C59" s="13"/>
      <c r="D59" s="55"/>
      <c r="E59" s="13"/>
      <c r="F59" s="81"/>
    </row>
    <row r="60" customFormat="false" ht="19.5" hidden="false" customHeight="true" outlineLevel="0" collapsed="false">
      <c r="A60" s="52"/>
      <c r="B60" s="81"/>
      <c r="C60" s="13"/>
      <c r="D60" s="55"/>
      <c r="E60" s="13"/>
      <c r="F60" s="81"/>
    </row>
    <row r="61" customFormat="false" ht="19.5" hidden="false" customHeight="true" outlineLevel="0" collapsed="false">
      <c r="A61" s="52"/>
      <c r="B61" s="81"/>
      <c r="C61" s="13"/>
      <c r="D61" s="55"/>
      <c r="E61" s="13"/>
      <c r="F61" s="81"/>
    </row>
    <row r="62" customFormat="false" ht="19.5" hidden="false" customHeight="true" outlineLevel="0" collapsed="false">
      <c r="A62" s="52"/>
      <c r="B62" s="81"/>
      <c r="C62" s="13"/>
      <c r="D62" s="55"/>
      <c r="E62" s="13"/>
      <c r="F62" s="81"/>
    </row>
    <row r="63" customFormat="false" ht="19.5" hidden="false" customHeight="true" outlineLevel="0" collapsed="false">
      <c r="A63" s="52"/>
      <c r="B63" s="81"/>
      <c r="C63" s="13"/>
      <c r="D63" s="55"/>
      <c r="E63" s="13"/>
      <c r="F63" s="81"/>
    </row>
    <row r="64" customFormat="false" ht="19.5" hidden="false" customHeight="true" outlineLevel="0" collapsed="false">
      <c r="A64" s="52"/>
      <c r="B64" s="81"/>
      <c r="C64" s="13"/>
      <c r="D64" s="55"/>
      <c r="E64" s="13"/>
      <c r="F64" s="81"/>
    </row>
    <row r="65" customFormat="false" ht="19.5" hidden="false" customHeight="true" outlineLevel="0" collapsed="false">
      <c r="A65" s="52"/>
      <c r="B65" s="81"/>
      <c r="C65" s="13"/>
      <c r="D65" s="55"/>
      <c r="E65" s="13"/>
      <c r="F65" s="81"/>
    </row>
    <row r="66" customFormat="false" ht="19.5" hidden="false" customHeight="true" outlineLevel="0" collapsed="false">
      <c r="A66" s="52"/>
      <c r="B66" s="81"/>
      <c r="C66" s="13"/>
      <c r="D66" s="55"/>
      <c r="E66" s="13"/>
      <c r="F66" s="81"/>
    </row>
    <row r="67" customFormat="false" ht="19.5" hidden="false" customHeight="true" outlineLevel="0" collapsed="false">
      <c r="A67" s="52"/>
      <c r="B67" s="81"/>
      <c r="C67" s="13"/>
      <c r="D67" s="55"/>
      <c r="E67" s="13"/>
      <c r="F67" s="81"/>
    </row>
    <row r="68" customFormat="false" ht="19.5" hidden="false" customHeight="true" outlineLevel="0" collapsed="false">
      <c r="A68" s="52"/>
      <c r="B68" s="81"/>
      <c r="C68" s="13"/>
      <c r="D68" s="55"/>
      <c r="E68" s="13"/>
      <c r="F68" s="81"/>
    </row>
    <row r="69" customFormat="false" ht="19.5" hidden="false" customHeight="true" outlineLevel="0" collapsed="false">
      <c r="A69" s="52"/>
      <c r="B69" s="81"/>
      <c r="C69" s="13"/>
      <c r="D69" s="55"/>
      <c r="E69" s="13"/>
      <c r="F69" s="81"/>
    </row>
    <row r="70" customFormat="false" ht="19.5" hidden="false" customHeight="true" outlineLevel="0" collapsed="false">
      <c r="A70" s="52"/>
      <c r="B70" s="81"/>
      <c r="C70" s="13"/>
      <c r="D70" s="55"/>
      <c r="E70" s="13"/>
      <c r="F70" s="81"/>
    </row>
    <row r="71" customFormat="false" ht="19.5" hidden="false" customHeight="true" outlineLevel="0" collapsed="false">
      <c r="A71" s="52"/>
      <c r="B71" s="81"/>
      <c r="C71" s="13"/>
      <c r="D71" s="55"/>
      <c r="E71" s="13"/>
      <c r="F71" s="81"/>
    </row>
    <row r="72" customFormat="false" ht="19.5" hidden="false" customHeight="true" outlineLevel="0" collapsed="false">
      <c r="A72" s="52"/>
      <c r="B72" s="81"/>
      <c r="C72" s="13"/>
      <c r="D72" s="55"/>
      <c r="E72" s="13"/>
      <c r="F72" s="81"/>
    </row>
    <row r="73" customFormat="false" ht="19.5" hidden="false" customHeight="true" outlineLevel="0" collapsed="false">
      <c r="A73" s="52"/>
      <c r="B73" s="81"/>
      <c r="C73" s="13"/>
      <c r="D73" s="55"/>
      <c r="E73" s="13"/>
      <c r="F73" s="81"/>
    </row>
    <row r="74" customFormat="false" ht="19.5" hidden="false" customHeight="true" outlineLevel="0" collapsed="false">
      <c r="A74" s="52"/>
      <c r="B74" s="81"/>
      <c r="C74" s="13"/>
      <c r="D74" s="55"/>
      <c r="E74" s="13"/>
      <c r="F74" s="81"/>
    </row>
    <row r="75" customFormat="false" ht="19.5" hidden="false" customHeight="true" outlineLevel="0" collapsed="false">
      <c r="A75" s="52"/>
      <c r="B75" s="81"/>
      <c r="C75" s="13"/>
      <c r="D75" s="55"/>
      <c r="E75" s="13"/>
      <c r="F75" s="81"/>
    </row>
    <row r="76" customFormat="false" ht="19.5" hidden="false" customHeight="true" outlineLevel="0" collapsed="false">
      <c r="A76" s="52"/>
      <c r="B76" s="81"/>
      <c r="C76" s="13"/>
      <c r="D76" s="55"/>
      <c r="E76" s="13"/>
      <c r="F76" s="81"/>
    </row>
    <row r="77" customFormat="false" ht="19.5" hidden="false" customHeight="true" outlineLevel="0" collapsed="false">
      <c r="A77" s="52"/>
      <c r="B77" s="81"/>
      <c r="C77" s="13"/>
      <c r="D77" s="55"/>
      <c r="E77" s="13"/>
      <c r="F77" s="81"/>
    </row>
    <row r="78" customFormat="false" ht="19.5" hidden="false" customHeight="true" outlineLevel="0" collapsed="false">
      <c r="A78" s="52"/>
      <c r="B78" s="81"/>
      <c r="C78" s="13"/>
      <c r="D78" s="55"/>
      <c r="E78" s="13"/>
      <c r="F78" s="81"/>
    </row>
    <row r="79" customFormat="false" ht="19.5" hidden="false" customHeight="true" outlineLevel="0" collapsed="false">
      <c r="A79" s="52"/>
      <c r="B79" s="81"/>
      <c r="C79" s="13"/>
      <c r="D79" s="55"/>
      <c r="E79" s="13"/>
      <c r="F79" s="81"/>
    </row>
    <row r="80" customFormat="false" ht="19.5" hidden="false" customHeight="true" outlineLevel="0" collapsed="false">
      <c r="A80" s="52"/>
      <c r="B80" s="81"/>
      <c r="C80" s="13"/>
      <c r="D80" s="55"/>
      <c r="E80" s="13"/>
      <c r="F80" s="81"/>
    </row>
    <row r="81" customFormat="false" ht="19.5" hidden="false" customHeight="true" outlineLevel="0" collapsed="false">
      <c r="A81" s="52"/>
      <c r="B81" s="81"/>
      <c r="C81" s="13"/>
      <c r="D81" s="55"/>
      <c r="E81" s="13"/>
      <c r="F81" s="81"/>
    </row>
    <row r="82" customFormat="false" ht="19.5" hidden="false" customHeight="true" outlineLevel="0" collapsed="false">
      <c r="A82" s="52"/>
      <c r="B82" s="81"/>
      <c r="C82" s="13"/>
      <c r="D82" s="55"/>
      <c r="E82" s="13"/>
      <c r="F82" s="81"/>
    </row>
    <row r="83" customFormat="false" ht="19.5" hidden="false" customHeight="true" outlineLevel="0" collapsed="false">
      <c r="A83" s="52"/>
      <c r="B83" s="81"/>
      <c r="C83" s="13"/>
      <c r="D83" s="55"/>
      <c r="E83" s="13"/>
      <c r="F83" s="81"/>
    </row>
    <row r="84" customFormat="false" ht="19.5" hidden="false" customHeight="true" outlineLevel="0" collapsed="false">
      <c r="A84" s="52"/>
      <c r="B84" s="81"/>
      <c r="C84" s="13"/>
      <c r="D84" s="55"/>
      <c r="E84" s="13"/>
      <c r="F84" s="81"/>
    </row>
    <row r="85" customFormat="false" ht="19.5" hidden="false" customHeight="true" outlineLevel="0" collapsed="false">
      <c r="A85" s="52"/>
      <c r="B85" s="81"/>
      <c r="C85" s="13"/>
      <c r="D85" s="55"/>
      <c r="E85" s="13"/>
      <c r="F85" s="81"/>
    </row>
    <row r="86" customFormat="false" ht="19.5" hidden="false" customHeight="true" outlineLevel="0" collapsed="false">
      <c r="A86" s="52"/>
      <c r="B86" s="81"/>
      <c r="C86" s="13"/>
      <c r="D86" s="55"/>
      <c r="E86" s="13"/>
      <c r="F86" s="81"/>
    </row>
    <row r="87" customFormat="false" ht="19.5" hidden="false" customHeight="true" outlineLevel="0" collapsed="false">
      <c r="A87" s="52"/>
      <c r="B87" s="81"/>
      <c r="C87" s="13"/>
      <c r="D87" s="55"/>
      <c r="E87" s="13"/>
      <c r="F87" s="81"/>
    </row>
    <row r="88" customFormat="false" ht="19.5" hidden="false" customHeight="true" outlineLevel="0" collapsed="false">
      <c r="A88" s="52"/>
      <c r="B88" s="81"/>
      <c r="C88" s="13"/>
      <c r="D88" s="55"/>
      <c r="E88" s="13"/>
      <c r="F88" s="81"/>
    </row>
    <row r="89" customFormat="false" ht="19.5" hidden="false" customHeight="true" outlineLevel="0" collapsed="false">
      <c r="A89" s="52"/>
      <c r="B89" s="81"/>
      <c r="C89" s="13"/>
      <c r="D89" s="55"/>
      <c r="E89" s="13"/>
      <c r="F89" s="81"/>
    </row>
    <row r="90" customFormat="false" ht="19.5" hidden="false" customHeight="true" outlineLevel="0" collapsed="false">
      <c r="A90" s="52"/>
      <c r="B90" s="81"/>
      <c r="C90" s="13"/>
      <c r="D90" s="55"/>
      <c r="E90" s="13"/>
      <c r="F90" s="81"/>
    </row>
    <row r="91" customFormat="false" ht="19.5" hidden="false" customHeight="true" outlineLevel="0" collapsed="false">
      <c r="A91" s="52"/>
      <c r="B91" s="81"/>
      <c r="C91" s="13"/>
      <c r="D91" s="55"/>
      <c r="E91" s="13"/>
      <c r="F91" s="81"/>
    </row>
    <row r="92" customFormat="false" ht="19.5" hidden="false" customHeight="true" outlineLevel="0" collapsed="false">
      <c r="A92" s="52"/>
      <c r="B92" s="81"/>
      <c r="C92" s="13"/>
      <c r="D92" s="55"/>
      <c r="E92" s="13"/>
      <c r="F92" s="81"/>
    </row>
    <row r="93" customFormat="false" ht="19.5" hidden="false" customHeight="true" outlineLevel="0" collapsed="false">
      <c r="A93" s="52"/>
      <c r="B93" s="81"/>
      <c r="C93" s="13"/>
      <c r="D93" s="55"/>
      <c r="E93" s="13"/>
      <c r="F93" s="81"/>
    </row>
    <row r="94" customFormat="false" ht="19.5" hidden="false" customHeight="true" outlineLevel="0" collapsed="false">
      <c r="A94" s="52"/>
      <c r="B94" s="81"/>
      <c r="C94" s="13"/>
      <c r="D94" s="55"/>
      <c r="E94" s="13"/>
      <c r="F94" s="81"/>
    </row>
    <row r="95" customFormat="false" ht="19.5" hidden="false" customHeight="true" outlineLevel="0" collapsed="false">
      <c r="A95" s="52"/>
      <c r="B95" s="81"/>
      <c r="C95" s="13"/>
      <c r="D95" s="55"/>
      <c r="E95" s="13"/>
      <c r="F95" s="81"/>
    </row>
    <row r="96" customFormat="false" ht="19.5" hidden="false" customHeight="true" outlineLevel="0" collapsed="false">
      <c r="A96" s="52"/>
      <c r="B96" s="81"/>
      <c r="C96" s="13"/>
      <c r="D96" s="55"/>
      <c r="E96" s="13"/>
      <c r="F96" s="81"/>
    </row>
    <row r="97" customFormat="false" ht="19.5" hidden="false" customHeight="true" outlineLevel="0" collapsed="false">
      <c r="A97" s="52"/>
      <c r="B97" s="81"/>
      <c r="C97" s="13"/>
      <c r="D97" s="55"/>
      <c r="E97" s="13"/>
      <c r="F97" s="81"/>
    </row>
    <row r="98" customFormat="false" ht="19.5" hidden="false" customHeight="true" outlineLevel="0" collapsed="false">
      <c r="A98" s="52"/>
      <c r="B98" s="81"/>
      <c r="C98" s="13"/>
      <c r="D98" s="55"/>
      <c r="E98" s="13"/>
      <c r="F98" s="81"/>
    </row>
    <row r="99" customFormat="false" ht="19.5" hidden="false" customHeight="true" outlineLevel="0" collapsed="false">
      <c r="A99" s="52"/>
      <c r="B99" s="81"/>
      <c r="C99" s="13"/>
      <c r="D99" s="55"/>
      <c r="E99" s="13"/>
      <c r="F99" s="81"/>
    </row>
    <row r="100" customFormat="false" ht="19.5" hidden="false" customHeight="true" outlineLevel="0" collapsed="false">
      <c r="A100" s="52"/>
      <c r="B100" s="81"/>
      <c r="C100" s="13"/>
      <c r="D100" s="55"/>
      <c r="E100" s="13"/>
      <c r="F100" s="81"/>
    </row>
    <row r="101" customFormat="false" ht="19.5" hidden="false" customHeight="true" outlineLevel="0" collapsed="false">
      <c r="A101" s="52"/>
      <c r="B101" s="81"/>
      <c r="C101" s="13"/>
      <c r="D101" s="55"/>
      <c r="E101" s="13"/>
      <c r="F101" s="81"/>
    </row>
    <row r="102" customFormat="false" ht="19.5" hidden="false" customHeight="true" outlineLevel="0" collapsed="false">
      <c r="A102" s="52"/>
      <c r="B102" s="81"/>
      <c r="C102" s="13"/>
      <c r="D102" s="55"/>
      <c r="E102" s="13"/>
      <c r="F102" s="81"/>
    </row>
    <row r="103" customFormat="false" ht="19.5" hidden="false" customHeight="true" outlineLevel="0" collapsed="false">
      <c r="A103" s="52"/>
      <c r="B103" s="81"/>
      <c r="C103" s="13"/>
      <c r="D103" s="55"/>
      <c r="E103" s="13"/>
      <c r="F103" s="81"/>
    </row>
    <row r="104" customFormat="false" ht="19.5" hidden="false" customHeight="true" outlineLevel="0" collapsed="false">
      <c r="A104" s="52"/>
      <c r="B104" s="81"/>
      <c r="C104" s="13"/>
      <c r="D104" s="55"/>
      <c r="E104" s="13"/>
      <c r="F104" s="81"/>
    </row>
    <row r="105" customFormat="false" ht="19.5" hidden="false" customHeight="true" outlineLevel="0" collapsed="false">
      <c r="A105" s="52"/>
      <c r="B105" s="81"/>
      <c r="C105" s="13"/>
      <c r="D105" s="55"/>
      <c r="E105" s="13"/>
      <c r="F105" s="81"/>
    </row>
    <row r="106" customFormat="false" ht="19.5" hidden="false" customHeight="true" outlineLevel="0" collapsed="false">
      <c r="A106" s="52"/>
      <c r="B106" s="81"/>
      <c r="C106" s="13"/>
      <c r="D106" s="55"/>
      <c r="E106" s="13"/>
      <c r="F106" s="81"/>
    </row>
    <row r="107" customFormat="false" ht="19.5" hidden="false" customHeight="true" outlineLevel="0" collapsed="false">
      <c r="A107" s="52"/>
      <c r="B107" s="81"/>
      <c r="C107" s="13"/>
      <c r="D107" s="55"/>
      <c r="E107" s="13"/>
      <c r="F107" s="81"/>
    </row>
    <row r="108" customFormat="false" ht="19.5" hidden="false" customHeight="true" outlineLevel="0" collapsed="false">
      <c r="A108" s="52"/>
      <c r="B108" s="81"/>
      <c r="C108" s="13"/>
      <c r="D108" s="55"/>
      <c r="E108" s="13"/>
      <c r="F108" s="81"/>
    </row>
    <row r="109" customFormat="false" ht="19.5" hidden="false" customHeight="true" outlineLevel="0" collapsed="false">
      <c r="A109" s="52"/>
      <c r="B109" s="81"/>
      <c r="C109" s="13"/>
      <c r="D109" s="55"/>
      <c r="E109" s="13"/>
      <c r="F109" s="81"/>
    </row>
    <row r="110" customFormat="false" ht="19.5" hidden="false" customHeight="true" outlineLevel="0" collapsed="false">
      <c r="A110" s="52"/>
      <c r="B110" s="81"/>
      <c r="C110" s="13"/>
      <c r="D110" s="55"/>
      <c r="E110" s="13"/>
      <c r="F110" s="81"/>
    </row>
    <row r="111" customFormat="false" ht="19.5" hidden="false" customHeight="true" outlineLevel="0" collapsed="false">
      <c r="A111" s="52"/>
      <c r="B111" s="81"/>
      <c r="C111" s="13"/>
      <c r="D111" s="55"/>
      <c r="E111" s="13"/>
      <c r="F111" s="81"/>
    </row>
    <row r="112" customFormat="false" ht="19.5" hidden="false" customHeight="true" outlineLevel="0" collapsed="false">
      <c r="A112" s="52"/>
      <c r="B112" s="81"/>
      <c r="C112" s="13"/>
      <c r="D112" s="55"/>
      <c r="E112" s="13"/>
      <c r="F112" s="81"/>
    </row>
    <row r="113" customFormat="false" ht="19.5" hidden="false" customHeight="true" outlineLevel="0" collapsed="false">
      <c r="A113" s="52"/>
      <c r="B113" s="81"/>
      <c r="C113" s="13"/>
      <c r="D113" s="55"/>
      <c r="E113" s="13"/>
      <c r="F113" s="81"/>
    </row>
    <row r="114" customFormat="false" ht="19.5" hidden="false" customHeight="true" outlineLevel="0" collapsed="false">
      <c r="A114" s="52"/>
      <c r="B114" s="81"/>
      <c r="C114" s="13"/>
      <c r="D114" s="55"/>
      <c r="E114" s="13"/>
      <c r="F114" s="81"/>
    </row>
    <row r="115" customFormat="false" ht="19.5" hidden="false" customHeight="true" outlineLevel="0" collapsed="false">
      <c r="A115" s="52"/>
      <c r="B115" s="81"/>
      <c r="C115" s="13"/>
      <c r="D115" s="55"/>
      <c r="E115" s="13"/>
      <c r="F115" s="81"/>
    </row>
    <row r="116" customFormat="false" ht="19.5" hidden="false" customHeight="true" outlineLevel="0" collapsed="false">
      <c r="A116" s="52"/>
      <c r="B116" s="81"/>
      <c r="C116" s="13"/>
      <c r="D116" s="55"/>
      <c r="E116" s="13"/>
      <c r="F116" s="81"/>
    </row>
    <row r="117" customFormat="false" ht="19.5" hidden="false" customHeight="true" outlineLevel="0" collapsed="false">
      <c r="A117" s="52"/>
      <c r="B117" s="81"/>
      <c r="C117" s="13"/>
      <c r="D117" s="55"/>
      <c r="E117" s="13"/>
      <c r="F117" s="81"/>
    </row>
    <row r="118" customFormat="false" ht="19.5" hidden="false" customHeight="true" outlineLevel="0" collapsed="false">
      <c r="A118" s="52"/>
      <c r="B118" s="81"/>
      <c r="C118" s="13"/>
      <c r="D118" s="55"/>
      <c r="E118" s="13"/>
      <c r="F118" s="81"/>
    </row>
    <row r="119" customFormat="false" ht="19.5" hidden="false" customHeight="true" outlineLevel="0" collapsed="false">
      <c r="A119" s="52"/>
      <c r="B119" s="81"/>
      <c r="C119" s="13"/>
      <c r="D119" s="55"/>
      <c r="E119" s="13"/>
      <c r="F119" s="81"/>
    </row>
    <row r="120" customFormat="false" ht="19.5" hidden="false" customHeight="true" outlineLevel="0" collapsed="false">
      <c r="A120" s="52"/>
      <c r="B120" s="81"/>
      <c r="C120" s="13"/>
      <c r="D120" s="55"/>
      <c r="E120" s="13"/>
      <c r="F120" s="81"/>
    </row>
    <row r="121" customFormat="false" ht="19.5" hidden="false" customHeight="true" outlineLevel="0" collapsed="false">
      <c r="A121" s="52"/>
      <c r="B121" s="81"/>
      <c r="C121" s="13"/>
      <c r="D121" s="55"/>
      <c r="E121" s="13"/>
      <c r="F121" s="81"/>
    </row>
    <row r="122" customFormat="false" ht="19.5" hidden="false" customHeight="true" outlineLevel="0" collapsed="false">
      <c r="A122" s="52"/>
      <c r="B122" s="81"/>
      <c r="C122" s="13"/>
      <c r="D122" s="55"/>
      <c r="E122" s="13"/>
      <c r="F122" s="81"/>
    </row>
    <row r="123" customFormat="false" ht="19.5" hidden="false" customHeight="true" outlineLevel="0" collapsed="false">
      <c r="A123" s="52"/>
      <c r="B123" s="81"/>
      <c r="C123" s="13"/>
      <c r="D123" s="55"/>
      <c r="E123" s="13"/>
      <c r="F123" s="81"/>
    </row>
    <row r="124" customFormat="false" ht="19.5" hidden="false" customHeight="true" outlineLevel="0" collapsed="false">
      <c r="A124" s="52"/>
      <c r="B124" s="81"/>
      <c r="C124" s="13"/>
      <c r="D124" s="55"/>
      <c r="E124" s="13"/>
      <c r="F124" s="81"/>
    </row>
    <row r="125" customFormat="false" ht="19.5" hidden="false" customHeight="true" outlineLevel="0" collapsed="false">
      <c r="A125" s="52"/>
      <c r="B125" s="81"/>
      <c r="C125" s="13"/>
      <c r="D125" s="55"/>
      <c r="E125" s="13"/>
      <c r="F125" s="81"/>
    </row>
    <row r="126" customFormat="false" ht="19.5" hidden="false" customHeight="true" outlineLevel="0" collapsed="false">
      <c r="A126" s="52"/>
      <c r="B126" s="81"/>
      <c r="C126" s="13"/>
      <c r="D126" s="55"/>
      <c r="E126" s="13"/>
      <c r="F126" s="81"/>
    </row>
    <row r="127" customFormat="false" ht="19.5" hidden="false" customHeight="true" outlineLevel="0" collapsed="false">
      <c r="A127" s="52"/>
      <c r="B127" s="81"/>
      <c r="C127" s="13"/>
      <c r="D127" s="55"/>
      <c r="E127" s="13"/>
      <c r="F127" s="81"/>
    </row>
    <row r="128" customFormat="false" ht="19.5" hidden="false" customHeight="true" outlineLevel="0" collapsed="false">
      <c r="A128" s="52"/>
      <c r="B128" s="81"/>
      <c r="C128" s="13"/>
      <c r="D128" s="55"/>
      <c r="E128" s="13"/>
      <c r="F128" s="81"/>
    </row>
    <row r="129" customFormat="false" ht="19.5" hidden="false" customHeight="true" outlineLevel="0" collapsed="false">
      <c r="A129" s="52"/>
      <c r="B129" s="81"/>
      <c r="C129" s="13"/>
      <c r="D129" s="55"/>
      <c r="E129" s="13"/>
      <c r="F129" s="81"/>
    </row>
    <row r="130" customFormat="false" ht="19.5" hidden="false" customHeight="true" outlineLevel="0" collapsed="false">
      <c r="A130" s="52"/>
      <c r="B130" s="81"/>
      <c r="C130" s="13"/>
      <c r="D130" s="55"/>
      <c r="E130" s="13"/>
      <c r="F130" s="81"/>
    </row>
    <row r="131" customFormat="false" ht="19.5" hidden="false" customHeight="true" outlineLevel="0" collapsed="false">
      <c r="A131" s="52"/>
      <c r="B131" s="81"/>
      <c r="C131" s="13"/>
      <c r="D131" s="55"/>
      <c r="E131" s="13"/>
      <c r="F131" s="81"/>
    </row>
    <row r="132" customFormat="false" ht="19.5" hidden="false" customHeight="true" outlineLevel="0" collapsed="false">
      <c r="A132" s="52"/>
      <c r="B132" s="81"/>
      <c r="C132" s="13"/>
      <c r="D132" s="55"/>
      <c r="E132" s="13"/>
      <c r="F132" s="81"/>
    </row>
    <row r="133" customFormat="false" ht="19.5" hidden="false" customHeight="true" outlineLevel="0" collapsed="false">
      <c r="A133" s="52"/>
      <c r="B133" s="81"/>
      <c r="C133" s="13"/>
      <c r="D133" s="55"/>
      <c r="E133" s="13"/>
      <c r="F133" s="81"/>
    </row>
    <row r="134" customFormat="false" ht="19.5" hidden="false" customHeight="true" outlineLevel="0" collapsed="false">
      <c r="A134" s="52"/>
      <c r="B134" s="81"/>
      <c r="C134" s="13"/>
      <c r="D134" s="55"/>
      <c r="E134" s="13"/>
      <c r="F134" s="81"/>
    </row>
    <row r="135" customFormat="false" ht="19.5" hidden="false" customHeight="true" outlineLevel="0" collapsed="false">
      <c r="A135" s="52"/>
      <c r="B135" s="81"/>
      <c r="C135" s="13"/>
      <c r="D135" s="55"/>
      <c r="E135" s="13"/>
      <c r="F135" s="81"/>
    </row>
    <row r="136" customFormat="false" ht="19.5" hidden="false" customHeight="true" outlineLevel="0" collapsed="false">
      <c r="A136" s="52"/>
      <c r="B136" s="81"/>
      <c r="C136" s="13"/>
      <c r="D136" s="55"/>
      <c r="E136" s="13"/>
      <c r="F136" s="81"/>
    </row>
    <row r="137" customFormat="false" ht="19.5" hidden="false" customHeight="true" outlineLevel="0" collapsed="false">
      <c r="A137" s="52"/>
      <c r="B137" s="81"/>
      <c r="C137" s="13"/>
      <c r="D137" s="55"/>
      <c r="E137" s="13"/>
      <c r="F137" s="81"/>
    </row>
    <row r="138" customFormat="false" ht="19.5" hidden="false" customHeight="true" outlineLevel="0" collapsed="false">
      <c r="A138" s="52"/>
      <c r="B138" s="81"/>
      <c r="C138" s="13"/>
      <c r="D138" s="55"/>
      <c r="E138" s="13"/>
      <c r="F138" s="81"/>
    </row>
    <row r="139" customFormat="false" ht="19.5" hidden="false" customHeight="true" outlineLevel="0" collapsed="false">
      <c r="A139" s="52"/>
      <c r="B139" s="81"/>
      <c r="C139" s="13"/>
      <c r="D139" s="55"/>
      <c r="E139" s="13"/>
      <c r="F139" s="81"/>
    </row>
    <row r="140" customFormat="false" ht="19.5" hidden="false" customHeight="true" outlineLevel="0" collapsed="false">
      <c r="A140" s="52"/>
      <c r="B140" s="81"/>
      <c r="C140" s="13"/>
      <c r="D140" s="55"/>
      <c r="E140" s="13"/>
      <c r="F140" s="81"/>
    </row>
    <row r="141" customFormat="false" ht="19.5" hidden="false" customHeight="true" outlineLevel="0" collapsed="false">
      <c r="A141" s="52"/>
      <c r="B141" s="81"/>
      <c r="C141" s="13"/>
      <c r="D141" s="55"/>
      <c r="E141" s="13"/>
      <c r="F141" s="81"/>
    </row>
    <row r="142" customFormat="false" ht="19.5" hidden="false" customHeight="true" outlineLevel="0" collapsed="false">
      <c r="A142" s="52"/>
      <c r="B142" s="81"/>
      <c r="C142" s="13"/>
      <c r="D142" s="55"/>
      <c r="E142" s="13"/>
      <c r="F142" s="81"/>
    </row>
    <row r="143" customFormat="false" ht="19.5" hidden="false" customHeight="true" outlineLevel="0" collapsed="false">
      <c r="A143" s="52"/>
      <c r="B143" s="81"/>
      <c r="C143" s="13"/>
      <c r="D143" s="55"/>
      <c r="E143" s="13"/>
      <c r="F143" s="81"/>
    </row>
    <row r="144" customFormat="false" ht="19.5" hidden="false" customHeight="true" outlineLevel="0" collapsed="false">
      <c r="A144" s="52"/>
      <c r="B144" s="81"/>
      <c r="C144" s="13"/>
      <c r="D144" s="55"/>
      <c r="E144" s="13"/>
      <c r="F144" s="81"/>
    </row>
    <row r="145" customFormat="false" ht="19.5" hidden="false" customHeight="true" outlineLevel="0" collapsed="false">
      <c r="A145" s="52"/>
      <c r="B145" s="81"/>
      <c r="C145" s="13"/>
      <c r="D145" s="55"/>
      <c r="E145" s="13"/>
      <c r="F145" s="81"/>
    </row>
    <row r="146" customFormat="false" ht="19.5" hidden="false" customHeight="true" outlineLevel="0" collapsed="false">
      <c r="A146" s="52"/>
      <c r="B146" s="81"/>
      <c r="C146" s="13"/>
      <c r="D146" s="55"/>
      <c r="E146" s="13"/>
      <c r="F146" s="81"/>
    </row>
    <row r="147" customFormat="false" ht="19.5" hidden="false" customHeight="true" outlineLevel="0" collapsed="false">
      <c r="A147" s="52"/>
      <c r="B147" s="81"/>
      <c r="C147" s="13"/>
      <c r="D147" s="55"/>
      <c r="E147" s="13"/>
      <c r="F147" s="81"/>
    </row>
    <row r="148" customFormat="false" ht="19.5" hidden="false" customHeight="true" outlineLevel="0" collapsed="false">
      <c r="A148" s="52"/>
      <c r="B148" s="81"/>
      <c r="C148" s="13"/>
      <c r="D148" s="55"/>
      <c r="E148" s="13"/>
      <c r="F148" s="81"/>
    </row>
    <row r="149" customFormat="false" ht="19.5" hidden="false" customHeight="true" outlineLevel="0" collapsed="false">
      <c r="A149" s="52"/>
      <c r="B149" s="81"/>
      <c r="C149" s="13"/>
      <c r="D149" s="55"/>
      <c r="E149" s="13"/>
      <c r="F149" s="81"/>
    </row>
    <row r="150" customFormat="false" ht="19.5" hidden="false" customHeight="true" outlineLevel="0" collapsed="false">
      <c r="A150" s="52"/>
      <c r="B150" s="81"/>
      <c r="C150" s="13"/>
      <c r="D150" s="55"/>
      <c r="E150" s="13"/>
      <c r="F150" s="81"/>
    </row>
    <row r="151" customFormat="false" ht="19.5" hidden="false" customHeight="true" outlineLevel="0" collapsed="false">
      <c r="A151" s="52"/>
      <c r="B151" s="81"/>
      <c r="C151" s="13"/>
      <c r="D151" s="55"/>
      <c r="E151" s="13"/>
      <c r="F151" s="81"/>
    </row>
    <row r="152" customFormat="false" ht="19.5" hidden="false" customHeight="true" outlineLevel="0" collapsed="false">
      <c r="A152" s="52"/>
      <c r="B152" s="81"/>
      <c r="C152" s="13"/>
      <c r="D152" s="55"/>
      <c r="E152" s="13"/>
      <c r="F152" s="81"/>
    </row>
    <row r="153" customFormat="false" ht="19.5" hidden="false" customHeight="true" outlineLevel="0" collapsed="false">
      <c r="A153" s="52"/>
      <c r="B153" s="81"/>
      <c r="C153" s="13"/>
      <c r="D153" s="55"/>
      <c r="E153" s="13"/>
      <c r="F153" s="81"/>
    </row>
    <row r="154" customFormat="false" ht="19.5" hidden="false" customHeight="true" outlineLevel="0" collapsed="false">
      <c r="A154" s="52"/>
      <c r="B154" s="81"/>
      <c r="C154" s="13"/>
      <c r="D154" s="55"/>
      <c r="E154" s="13"/>
      <c r="F154" s="81"/>
    </row>
    <row r="155" customFormat="false" ht="19.5" hidden="false" customHeight="true" outlineLevel="0" collapsed="false">
      <c r="A155" s="52"/>
      <c r="B155" s="81"/>
      <c r="C155" s="13"/>
      <c r="D155" s="55"/>
      <c r="E155" s="13"/>
      <c r="F155" s="81"/>
    </row>
    <row r="156" customFormat="false" ht="19.5" hidden="false" customHeight="true" outlineLevel="0" collapsed="false">
      <c r="A156" s="52"/>
      <c r="B156" s="81"/>
      <c r="C156" s="13"/>
      <c r="D156" s="55"/>
      <c r="E156" s="13"/>
      <c r="F156" s="81"/>
    </row>
    <row r="157" customFormat="false" ht="19.5" hidden="false" customHeight="true" outlineLevel="0" collapsed="false">
      <c r="A157" s="52"/>
      <c r="B157" s="81"/>
      <c r="C157" s="13"/>
      <c r="D157" s="55"/>
      <c r="E157" s="13"/>
      <c r="F157" s="81"/>
    </row>
    <row r="158" customFormat="false" ht="19.5" hidden="false" customHeight="true" outlineLevel="0" collapsed="false">
      <c r="A158" s="52"/>
      <c r="B158" s="81"/>
      <c r="C158" s="13"/>
      <c r="D158" s="55"/>
      <c r="E158" s="13"/>
      <c r="F158" s="81"/>
    </row>
    <row r="159" customFormat="false" ht="19.5" hidden="false" customHeight="true" outlineLevel="0" collapsed="false">
      <c r="A159" s="52"/>
      <c r="B159" s="81"/>
      <c r="C159" s="13"/>
      <c r="D159" s="55"/>
      <c r="E159" s="13"/>
      <c r="F159" s="81"/>
    </row>
    <row r="160" customFormat="false" ht="19.5" hidden="false" customHeight="true" outlineLevel="0" collapsed="false">
      <c r="A160" s="52"/>
      <c r="B160" s="81"/>
      <c r="C160" s="13"/>
      <c r="D160" s="55"/>
      <c r="E160" s="13"/>
      <c r="F160" s="81"/>
    </row>
    <row r="161" customFormat="false" ht="19.5" hidden="false" customHeight="true" outlineLevel="0" collapsed="false">
      <c r="A161" s="52"/>
      <c r="B161" s="81"/>
      <c r="C161" s="13"/>
      <c r="D161" s="55"/>
      <c r="E161" s="13"/>
      <c r="F161" s="81"/>
    </row>
    <row r="162" customFormat="false" ht="19.5" hidden="false" customHeight="true" outlineLevel="0" collapsed="false">
      <c r="A162" s="52"/>
      <c r="B162" s="81"/>
      <c r="C162" s="13"/>
      <c r="D162" s="55"/>
      <c r="E162" s="13"/>
      <c r="F162" s="81"/>
    </row>
    <row r="163" customFormat="false" ht="19.5" hidden="false" customHeight="true" outlineLevel="0" collapsed="false">
      <c r="A163" s="52"/>
      <c r="B163" s="81"/>
      <c r="C163" s="13"/>
      <c r="D163" s="55"/>
      <c r="E163" s="13"/>
      <c r="F163" s="81"/>
    </row>
    <row r="164" customFormat="false" ht="19.5" hidden="false" customHeight="true" outlineLevel="0" collapsed="false">
      <c r="A164" s="52"/>
      <c r="B164" s="81"/>
      <c r="C164" s="13"/>
      <c r="D164" s="55"/>
      <c r="E164" s="13"/>
      <c r="F164" s="81"/>
    </row>
    <row r="165" customFormat="false" ht="19.5" hidden="false" customHeight="true" outlineLevel="0" collapsed="false">
      <c r="A165" s="52"/>
      <c r="B165" s="81"/>
      <c r="C165" s="13"/>
      <c r="D165" s="55"/>
      <c r="E165" s="13"/>
      <c r="F165" s="81"/>
    </row>
    <row r="166" customFormat="false" ht="19.5" hidden="false" customHeight="true" outlineLevel="0" collapsed="false">
      <c r="A166" s="52"/>
      <c r="B166" s="81"/>
      <c r="C166" s="13"/>
      <c r="D166" s="55"/>
      <c r="E166" s="13"/>
      <c r="F166" s="81"/>
    </row>
    <row r="167" customFormat="false" ht="19.5" hidden="false" customHeight="true" outlineLevel="0" collapsed="false">
      <c r="A167" s="52"/>
      <c r="B167" s="81"/>
      <c r="C167" s="13"/>
      <c r="D167" s="55"/>
      <c r="E167" s="13"/>
      <c r="F167" s="81"/>
    </row>
    <row r="168" customFormat="false" ht="19.5" hidden="false" customHeight="true" outlineLevel="0" collapsed="false">
      <c r="A168" s="52"/>
      <c r="B168" s="81"/>
      <c r="C168" s="13"/>
      <c r="D168" s="55"/>
      <c r="E168" s="13"/>
      <c r="F168" s="81"/>
    </row>
    <row r="169" customFormat="false" ht="19.5" hidden="false" customHeight="true" outlineLevel="0" collapsed="false">
      <c r="A169" s="52"/>
      <c r="B169" s="81"/>
      <c r="C169" s="13"/>
      <c r="D169" s="55"/>
      <c r="E169" s="13"/>
      <c r="F169" s="81"/>
    </row>
    <row r="170" customFormat="false" ht="19.5" hidden="false" customHeight="true" outlineLevel="0" collapsed="false">
      <c r="A170" s="52"/>
      <c r="B170" s="81"/>
      <c r="C170" s="13"/>
      <c r="D170" s="55"/>
      <c r="E170" s="13"/>
      <c r="F170" s="81"/>
    </row>
    <row r="171" customFormat="false" ht="19.5" hidden="false" customHeight="true" outlineLevel="0" collapsed="false">
      <c r="A171" s="52"/>
      <c r="B171" s="81"/>
      <c r="C171" s="13"/>
      <c r="D171" s="55"/>
      <c r="E171" s="13"/>
      <c r="F171" s="81"/>
    </row>
    <row r="172" customFormat="false" ht="19.5" hidden="false" customHeight="true" outlineLevel="0" collapsed="false">
      <c r="A172" s="52"/>
      <c r="B172" s="81"/>
      <c r="C172" s="13"/>
      <c r="D172" s="55"/>
      <c r="E172" s="13"/>
      <c r="F172" s="81"/>
    </row>
    <row r="173" customFormat="false" ht="19.5" hidden="false" customHeight="true" outlineLevel="0" collapsed="false">
      <c r="A173" s="52"/>
      <c r="B173" s="81"/>
      <c r="C173" s="13"/>
      <c r="D173" s="55"/>
      <c r="E173" s="13"/>
      <c r="F173" s="81"/>
    </row>
    <row r="174" customFormat="false" ht="19.5" hidden="false" customHeight="true" outlineLevel="0" collapsed="false">
      <c r="A174" s="52"/>
      <c r="B174" s="81"/>
      <c r="C174" s="13"/>
      <c r="D174" s="55"/>
      <c r="E174" s="13"/>
      <c r="F174" s="81"/>
    </row>
    <row r="175" customFormat="false" ht="19.5" hidden="false" customHeight="true" outlineLevel="0" collapsed="false">
      <c r="A175" s="52"/>
      <c r="B175" s="81"/>
      <c r="C175" s="13"/>
      <c r="D175" s="55"/>
      <c r="E175" s="13"/>
      <c r="F175" s="81"/>
    </row>
    <row r="176" customFormat="false" ht="19.5" hidden="false" customHeight="true" outlineLevel="0" collapsed="false">
      <c r="A176" s="52"/>
      <c r="B176" s="81"/>
      <c r="C176" s="13"/>
      <c r="D176" s="55"/>
      <c r="E176" s="13"/>
      <c r="F176" s="81"/>
    </row>
    <row r="177" customFormat="false" ht="19.5" hidden="false" customHeight="true" outlineLevel="0" collapsed="false">
      <c r="A177" s="52"/>
      <c r="B177" s="81"/>
      <c r="C177" s="13"/>
      <c r="D177" s="55"/>
      <c r="E177" s="13"/>
      <c r="F177" s="81"/>
    </row>
    <row r="178" customFormat="false" ht="19.5" hidden="false" customHeight="true" outlineLevel="0" collapsed="false">
      <c r="A178" s="52"/>
      <c r="B178" s="81"/>
      <c r="C178" s="13"/>
      <c r="D178" s="55"/>
      <c r="E178" s="13"/>
      <c r="F178" s="81"/>
    </row>
    <row r="179" customFormat="false" ht="19.5" hidden="false" customHeight="true" outlineLevel="0" collapsed="false">
      <c r="A179" s="52"/>
      <c r="B179" s="81"/>
      <c r="C179" s="13"/>
      <c r="D179" s="55"/>
      <c r="E179" s="13"/>
      <c r="F179" s="81"/>
    </row>
    <row r="180" customFormat="false" ht="19.5" hidden="false" customHeight="true" outlineLevel="0" collapsed="false">
      <c r="A180" s="52"/>
      <c r="B180" s="81"/>
      <c r="C180" s="13"/>
      <c r="D180" s="55"/>
      <c r="E180" s="13"/>
      <c r="F180" s="81"/>
    </row>
    <row r="181" customFormat="false" ht="19.5" hidden="false" customHeight="true" outlineLevel="0" collapsed="false">
      <c r="A181" s="52"/>
      <c r="B181" s="81"/>
      <c r="C181" s="13"/>
      <c r="D181" s="55"/>
      <c r="E181" s="13"/>
      <c r="F181" s="81"/>
    </row>
    <row r="182" customFormat="false" ht="19.5" hidden="false" customHeight="true" outlineLevel="0" collapsed="false">
      <c r="A182" s="52"/>
      <c r="B182" s="81"/>
      <c r="C182" s="13"/>
      <c r="D182" s="55"/>
      <c r="E182" s="13"/>
      <c r="F182" s="81"/>
    </row>
    <row r="183" customFormat="false" ht="19.5" hidden="false" customHeight="true" outlineLevel="0" collapsed="false">
      <c r="A183" s="52"/>
      <c r="B183" s="81"/>
      <c r="C183" s="13"/>
      <c r="D183" s="55"/>
      <c r="E183" s="13"/>
      <c r="F183" s="81"/>
    </row>
    <row r="184" customFormat="false" ht="19.5" hidden="false" customHeight="true" outlineLevel="0" collapsed="false">
      <c r="A184" s="52"/>
      <c r="B184" s="81"/>
      <c r="C184" s="13"/>
      <c r="D184" s="55"/>
      <c r="E184" s="13"/>
      <c r="F184" s="81"/>
    </row>
    <row r="185" customFormat="false" ht="19.5" hidden="false" customHeight="true" outlineLevel="0" collapsed="false">
      <c r="A185" s="52"/>
      <c r="B185" s="81"/>
      <c r="C185" s="13"/>
      <c r="D185" s="55"/>
      <c r="E185" s="13"/>
      <c r="F185" s="81"/>
    </row>
    <row r="186" customFormat="false" ht="19.5" hidden="false" customHeight="true" outlineLevel="0" collapsed="false">
      <c r="A186" s="52"/>
      <c r="B186" s="81"/>
      <c r="C186" s="13"/>
      <c r="D186" s="55"/>
      <c r="E186" s="13"/>
      <c r="F186" s="81"/>
    </row>
    <row r="187" customFormat="false" ht="19.5" hidden="false" customHeight="true" outlineLevel="0" collapsed="false">
      <c r="A187" s="52"/>
      <c r="B187" s="81"/>
      <c r="C187" s="13"/>
      <c r="D187" s="55"/>
      <c r="E187" s="13"/>
      <c r="F187" s="81"/>
    </row>
    <row r="188" customFormat="false" ht="19.5" hidden="false" customHeight="true" outlineLevel="0" collapsed="false">
      <c r="A188" s="52"/>
      <c r="B188" s="81"/>
      <c r="C188" s="13"/>
      <c r="D188" s="55"/>
      <c r="E188" s="13"/>
      <c r="F188" s="81"/>
    </row>
    <row r="189" customFormat="false" ht="19.5" hidden="false" customHeight="true" outlineLevel="0" collapsed="false">
      <c r="A189" s="52"/>
      <c r="B189" s="81"/>
      <c r="C189" s="13"/>
      <c r="D189" s="55"/>
      <c r="E189" s="13"/>
      <c r="F189" s="81"/>
    </row>
    <row r="190" customFormat="false" ht="19.5" hidden="false" customHeight="true" outlineLevel="0" collapsed="false">
      <c r="A190" s="52"/>
      <c r="B190" s="81"/>
      <c r="C190" s="13"/>
      <c r="D190" s="55"/>
      <c r="E190" s="13"/>
      <c r="F190" s="81"/>
    </row>
    <row r="191" customFormat="false" ht="19.5" hidden="false" customHeight="true" outlineLevel="0" collapsed="false">
      <c r="A191" s="52"/>
      <c r="B191" s="81"/>
      <c r="C191" s="13"/>
      <c r="D191" s="55"/>
      <c r="E191" s="13"/>
      <c r="F191" s="81"/>
    </row>
    <row r="192" customFormat="false" ht="19.5" hidden="false" customHeight="true" outlineLevel="0" collapsed="false">
      <c r="A192" s="52"/>
      <c r="B192" s="81"/>
      <c r="C192" s="13"/>
      <c r="D192" s="55"/>
      <c r="E192" s="13"/>
      <c r="F192" s="81"/>
    </row>
    <row r="193" customFormat="false" ht="19.5" hidden="false" customHeight="true" outlineLevel="0" collapsed="false">
      <c r="A193" s="52"/>
      <c r="B193" s="81"/>
      <c r="C193" s="13"/>
      <c r="D193" s="55"/>
      <c r="E193" s="13"/>
      <c r="F193" s="81"/>
    </row>
    <row r="194" customFormat="false" ht="19.5" hidden="false" customHeight="true" outlineLevel="0" collapsed="false">
      <c r="A194" s="52"/>
      <c r="B194" s="81"/>
      <c r="C194" s="13"/>
      <c r="D194" s="55"/>
      <c r="E194" s="13"/>
      <c r="F194" s="81"/>
    </row>
    <row r="195" customFormat="false" ht="19.5" hidden="false" customHeight="true" outlineLevel="0" collapsed="false">
      <c r="A195" s="52"/>
      <c r="B195" s="81"/>
      <c r="C195" s="13"/>
      <c r="D195" s="55"/>
      <c r="E195" s="13"/>
      <c r="F195" s="81"/>
    </row>
    <row r="196" customFormat="false" ht="19.5" hidden="false" customHeight="true" outlineLevel="0" collapsed="false">
      <c r="A196" s="52"/>
      <c r="B196" s="81"/>
      <c r="C196" s="13"/>
      <c r="D196" s="55"/>
      <c r="E196" s="13"/>
      <c r="F196" s="81"/>
    </row>
    <row r="197" customFormat="false" ht="19.5" hidden="false" customHeight="true" outlineLevel="0" collapsed="false">
      <c r="A197" s="52"/>
      <c r="B197" s="81"/>
      <c r="C197" s="13"/>
      <c r="D197" s="55"/>
      <c r="E197" s="13"/>
      <c r="F197" s="81"/>
    </row>
    <row r="198" customFormat="false" ht="19.5" hidden="false" customHeight="true" outlineLevel="0" collapsed="false">
      <c r="A198" s="52"/>
      <c r="B198" s="81"/>
      <c r="C198" s="13"/>
      <c r="D198" s="55"/>
      <c r="E198" s="13"/>
      <c r="F198" s="81"/>
    </row>
    <row r="199" customFormat="false" ht="19.5" hidden="false" customHeight="true" outlineLevel="0" collapsed="false">
      <c r="A199" s="52"/>
      <c r="B199" s="81"/>
      <c r="C199" s="13"/>
      <c r="D199" s="55"/>
      <c r="E199" s="13"/>
      <c r="F199" s="81"/>
    </row>
    <row r="200" customFormat="false" ht="19.5" hidden="false" customHeight="true" outlineLevel="0" collapsed="false">
      <c r="A200" s="52"/>
      <c r="B200" s="81"/>
      <c r="C200" s="13"/>
      <c r="D200" s="55"/>
      <c r="E200" s="13"/>
      <c r="F200" s="81"/>
    </row>
    <row r="201" customFormat="false" ht="19.5" hidden="false" customHeight="true" outlineLevel="0" collapsed="false">
      <c r="A201" s="52"/>
      <c r="B201" s="81"/>
      <c r="C201" s="13"/>
      <c r="D201" s="55"/>
      <c r="E201" s="13"/>
      <c r="F201" s="81"/>
    </row>
    <row r="202" customFormat="false" ht="19.5" hidden="false" customHeight="true" outlineLevel="0" collapsed="false">
      <c r="A202" s="52"/>
      <c r="B202" s="81"/>
      <c r="C202" s="13"/>
      <c r="D202" s="55"/>
      <c r="E202" s="13"/>
      <c r="F202" s="81"/>
    </row>
    <row r="203" customFormat="false" ht="19.5" hidden="false" customHeight="true" outlineLevel="0" collapsed="false">
      <c r="A203" s="52"/>
      <c r="B203" s="81"/>
      <c r="C203" s="13"/>
      <c r="D203" s="55"/>
      <c r="E203" s="13"/>
      <c r="F203" s="81"/>
    </row>
    <row r="204" customFormat="false" ht="19.5" hidden="false" customHeight="true" outlineLevel="0" collapsed="false">
      <c r="A204" s="52"/>
      <c r="B204" s="81"/>
      <c r="C204" s="13"/>
      <c r="D204" s="55"/>
      <c r="E204" s="13"/>
      <c r="F204" s="81"/>
    </row>
    <row r="205" customFormat="false" ht="19.5" hidden="false" customHeight="true" outlineLevel="0" collapsed="false">
      <c r="A205" s="52"/>
      <c r="B205" s="81"/>
      <c r="C205" s="13"/>
      <c r="D205" s="55"/>
      <c r="E205" s="13"/>
      <c r="F205" s="81"/>
    </row>
    <row r="206" customFormat="false" ht="19.5" hidden="false" customHeight="true" outlineLevel="0" collapsed="false">
      <c r="A206" s="52"/>
      <c r="B206" s="81"/>
      <c r="C206" s="13"/>
      <c r="D206" s="55"/>
      <c r="E206" s="13"/>
      <c r="F206" s="81"/>
    </row>
    <row r="207" customFormat="false" ht="19.5" hidden="false" customHeight="true" outlineLevel="0" collapsed="false">
      <c r="A207" s="52"/>
      <c r="B207" s="81"/>
      <c r="C207" s="13"/>
      <c r="D207" s="55"/>
      <c r="E207" s="13"/>
      <c r="F207" s="81"/>
    </row>
    <row r="208" customFormat="false" ht="19.5" hidden="false" customHeight="true" outlineLevel="0" collapsed="false">
      <c r="A208" s="52"/>
      <c r="B208" s="81"/>
      <c r="C208" s="13"/>
      <c r="D208" s="55"/>
      <c r="E208" s="13"/>
      <c r="F208" s="81"/>
    </row>
    <row r="209" customFormat="false" ht="19.5" hidden="false" customHeight="true" outlineLevel="0" collapsed="false">
      <c r="A209" s="52"/>
      <c r="B209" s="81"/>
      <c r="C209" s="13"/>
      <c r="D209" s="55"/>
      <c r="E209" s="13"/>
      <c r="F209" s="81"/>
    </row>
    <row r="210" customFormat="false" ht="19.5" hidden="false" customHeight="true" outlineLevel="0" collapsed="false">
      <c r="A210" s="52"/>
      <c r="B210" s="81"/>
      <c r="C210" s="13"/>
      <c r="D210" s="55"/>
      <c r="E210" s="13"/>
      <c r="F210" s="81"/>
    </row>
    <row r="211" customFormat="false" ht="19.5" hidden="false" customHeight="true" outlineLevel="0" collapsed="false">
      <c r="A211" s="52"/>
      <c r="B211" s="81"/>
      <c r="C211" s="13"/>
      <c r="D211" s="55"/>
      <c r="E211" s="13"/>
      <c r="F211" s="81"/>
    </row>
    <row r="212" customFormat="false" ht="19.5" hidden="false" customHeight="true" outlineLevel="0" collapsed="false">
      <c r="A212" s="52"/>
      <c r="B212" s="81"/>
      <c r="C212" s="13"/>
      <c r="D212" s="55"/>
      <c r="E212" s="13"/>
      <c r="F212" s="81"/>
    </row>
    <row r="213" customFormat="false" ht="19.5" hidden="false" customHeight="true" outlineLevel="0" collapsed="false">
      <c r="A213" s="52"/>
      <c r="B213" s="81"/>
      <c r="C213" s="13"/>
      <c r="D213" s="55"/>
      <c r="E213" s="13"/>
      <c r="F213" s="81"/>
    </row>
    <row r="214" customFormat="false" ht="19.5" hidden="false" customHeight="true" outlineLevel="0" collapsed="false">
      <c r="A214" s="52"/>
      <c r="B214" s="81"/>
      <c r="C214" s="13"/>
      <c r="D214" s="55"/>
      <c r="E214" s="13"/>
      <c r="F214" s="81"/>
    </row>
    <row r="215" customFormat="false" ht="19.5" hidden="false" customHeight="true" outlineLevel="0" collapsed="false">
      <c r="A215" s="52"/>
      <c r="B215" s="81"/>
      <c r="C215" s="13"/>
      <c r="D215" s="55"/>
      <c r="E215" s="13"/>
      <c r="F215" s="81"/>
    </row>
    <row r="216" customFormat="false" ht="19.5" hidden="false" customHeight="true" outlineLevel="0" collapsed="false">
      <c r="A216" s="52"/>
      <c r="B216" s="81"/>
      <c r="C216" s="13"/>
      <c r="D216" s="55"/>
      <c r="E216" s="13"/>
      <c r="F216" s="81"/>
    </row>
    <row r="217" customFormat="false" ht="19.5" hidden="false" customHeight="true" outlineLevel="0" collapsed="false">
      <c r="A217" s="52"/>
      <c r="B217" s="81"/>
      <c r="C217" s="13"/>
      <c r="D217" s="55"/>
      <c r="E217" s="13"/>
      <c r="F217" s="81"/>
    </row>
    <row r="218" customFormat="false" ht="19.5" hidden="false" customHeight="true" outlineLevel="0" collapsed="false">
      <c r="A218" s="52"/>
      <c r="B218" s="81"/>
      <c r="C218" s="13"/>
      <c r="D218" s="55"/>
      <c r="E218" s="13"/>
      <c r="F218" s="81"/>
    </row>
    <row r="219" customFormat="false" ht="19.5" hidden="false" customHeight="true" outlineLevel="0" collapsed="false">
      <c r="A219" s="52"/>
      <c r="B219" s="81"/>
      <c r="C219" s="13"/>
      <c r="D219" s="55"/>
      <c r="E219" s="13"/>
      <c r="F219" s="81"/>
    </row>
    <row r="220" customFormat="false" ht="19.5" hidden="false" customHeight="true" outlineLevel="0" collapsed="false">
      <c r="A220" s="52"/>
      <c r="B220" s="81"/>
      <c r="C220" s="13"/>
      <c r="D220" s="55"/>
      <c r="E220" s="13"/>
      <c r="F220" s="81"/>
    </row>
    <row r="221" customFormat="false" ht="19.5" hidden="false" customHeight="true" outlineLevel="0" collapsed="false">
      <c r="A221" s="52"/>
      <c r="B221" s="81"/>
      <c r="C221" s="13"/>
      <c r="D221" s="55"/>
      <c r="E221" s="13"/>
      <c r="F221" s="81"/>
    </row>
    <row r="222" customFormat="false" ht="19.5" hidden="false" customHeight="true" outlineLevel="0" collapsed="false">
      <c r="A222" s="52"/>
      <c r="B222" s="81"/>
      <c r="C222" s="13"/>
      <c r="D222" s="55"/>
      <c r="E222" s="13"/>
      <c r="F222" s="81"/>
    </row>
    <row r="223" customFormat="false" ht="19.5" hidden="false" customHeight="true" outlineLevel="0" collapsed="false">
      <c r="A223" s="52"/>
      <c r="B223" s="81"/>
      <c r="C223" s="13"/>
      <c r="D223" s="55"/>
      <c r="E223" s="13"/>
      <c r="F223" s="81"/>
    </row>
    <row r="224" customFormat="false" ht="19.5" hidden="false" customHeight="true" outlineLevel="0" collapsed="false">
      <c r="A224" s="52"/>
      <c r="B224" s="81"/>
      <c r="C224" s="13"/>
      <c r="D224" s="55"/>
      <c r="E224" s="13"/>
      <c r="F224" s="81"/>
    </row>
    <row r="225" customFormat="false" ht="19.5" hidden="false" customHeight="true" outlineLevel="0" collapsed="false">
      <c r="A225" s="52"/>
      <c r="B225" s="81"/>
      <c r="C225" s="13"/>
      <c r="D225" s="55"/>
      <c r="E225" s="13"/>
      <c r="F225" s="81"/>
    </row>
    <row r="226" customFormat="false" ht="19.5" hidden="false" customHeight="true" outlineLevel="0" collapsed="false">
      <c r="A226" s="52"/>
      <c r="B226" s="81"/>
      <c r="C226" s="13"/>
      <c r="D226" s="55"/>
      <c r="E226" s="13"/>
      <c r="F226" s="81"/>
    </row>
    <row r="227" customFormat="false" ht="19.5" hidden="false" customHeight="true" outlineLevel="0" collapsed="false">
      <c r="A227" s="52"/>
      <c r="B227" s="81"/>
      <c r="C227" s="13"/>
      <c r="D227" s="55"/>
      <c r="E227" s="13"/>
      <c r="F227" s="81"/>
    </row>
    <row r="228" customFormat="false" ht="19.5" hidden="false" customHeight="true" outlineLevel="0" collapsed="false">
      <c r="A228" s="52"/>
      <c r="B228" s="81"/>
      <c r="C228" s="13"/>
      <c r="D228" s="55"/>
      <c r="E228" s="13"/>
      <c r="F228" s="81"/>
    </row>
    <row r="229" customFormat="false" ht="19.5" hidden="false" customHeight="true" outlineLevel="0" collapsed="false">
      <c r="A229" s="52"/>
      <c r="B229" s="81"/>
      <c r="C229" s="13"/>
      <c r="D229" s="55"/>
      <c r="E229" s="13"/>
      <c r="F229" s="81"/>
    </row>
    <row r="230" customFormat="false" ht="19.5" hidden="false" customHeight="true" outlineLevel="0" collapsed="false">
      <c r="A230" s="52"/>
      <c r="B230" s="81"/>
      <c r="C230" s="13"/>
      <c r="D230" s="55"/>
      <c r="E230" s="13"/>
      <c r="F230" s="81"/>
    </row>
    <row r="231" customFormat="false" ht="19.5" hidden="false" customHeight="true" outlineLevel="0" collapsed="false">
      <c r="A231" s="52"/>
      <c r="B231" s="81"/>
      <c r="C231" s="13"/>
      <c r="D231" s="55"/>
      <c r="E231" s="13"/>
      <c r="F231" s="81"/>
    </row>
    <row r="232" customFormat="false" ht="19.5" hidden="false" customHeight="true" outlineLevel="0" collapsed="false">
      <c r="A232" s="52"/>
      <c r="B232" s="81"/>
      <c r="C232" s="13"/>
      <c r="D232" s="55"/>
      <c r="E232" s="13"/>
      <c r="F232" s="81"/>
    </row>
    <row r="233" customFormat="false" ht="19.5" hidden="false" customHeight="true" outlineLevel="0" collapsed="false">
      <c r="A233" s="52"/>
      <c r="B233" s="81"/>
      <c r="C233" s="13"/>
      <c r="D233" s="55"/>
      <c r="E233" s="13"/>
      <c r="F233" s="81"/>
    </row>
    <row r="234" customFormat="false" ht="19.5" hidden="false" customHeight="true" outlineLevel="0" collapsed="false">
      <c r="A234" s="52"/>
      <c r="B234" s="81"/>
      <c r="C234" s="13"/>
      <c r="D234" s="55"/>
      <c r="E234" s="13"/>
      <c r="F234" s="81"/>
    </row>
    <row r="235" customFormat="false" ht="19.5" hidden="false" customHeight="true" outlineLevel="0" collapsed="false">
      <c r="A235" s="52"/>
      <c r="B235" s="81"/>
      <c r="C235" s="13"/>
      <c r="D235" s="55"/>
      <c r="E235" s="13"/>
      <c r="F235" s="81"/>
    </row>
    <row r="236" customFormat="false" ht="19.5" hidden="false" customHeight="true" outlineLevel="0" collapsed="false">
      <c r="A236" s="52"/>
      <c r="B236" s="81"/>
      <c r="C236" s="13"/>
      <c r="D236" s="55"/>
      <c r="E236" s="13"/>
      <c r="F236" s="81"/>
    </row>
    <row r="237" customFormat="false" ht="19.5" hidden="false" customHeight="true" outlineLevel="0" collapsed="false">
      <c r="A237" s="52"/>
      <c r="B237" s="81"/>
      <c r="C237" s="13"/>
      <c r="D237" s="55"/>
      <c r="E237" s="13"/>
      <c r="F237" s="81"/>
    </row>
    <row r="238" customFormat="false" ht="19.5" hidden="false" customHeight="true" outlineLevel="0" collapsed="false">
      <c r="A238" s="52"/>
      <c r="B238" s="81"/>
      <c r="C238" s="13"/>
      <c r="D238" s="55"/>
      <c r="E238" s="13"/>
      <c r="F238" s="81"/>
    </row>
    <row r="239" customFormat="false" ht="19.5" hidden="false" customHeight="true" outlineLevel="0" collapsed="false">
      <c r="A239" s="52"/>
      <c r="B239" s="81"/>
      <c r="C239" s="13"/>
      <c r="D239" s="55"/>
      <c r="E239" s="13"/>
      <c r="F239" s="81"/>
    </row>
    <row r="240" customFormat="false" ht="19.5" hidden="false" customHeight="true" outlineLevel="0" collapsed="false">
      <c r="A240" s="52"/>
      <c r="B240" s="81"/>
      <c r="C240" s="13"/>
      <c r="D240" s="55"/>
      <c r="E240" s="13"/>
      <c r="F240" s="81"/>
    </row>
    <row r="241" customFormat="false" ht="19.5" hidden="false" customHeight="true" outlineLevel="0" collapsed="false">
      <c r="A241" s="52"/>
      <c r="B241" s="81"/>
      <c r="C241" s="13"/>
      <c r="D241" s="55"/>
      <c r="E241" s="13"/>
      <c r="F241" s="81"/>
    </row>
    <row r="242" customFormat="false" ht="19.5" hidden="false" customHeight="true" outlineLevel="0" collapsed="false">
      <c r="A242" s="52"/>
      <c r="B242" s="81"/>
      <c r="C242" s="13"/>
      <c r="D242" s="55"/>
      <c r="E242" s="13"/>
      <c r="F242" s="81"/>
    </row>
    <row r="243" customFormat="false" ht="19.5" hidden="false" customHeight="true" outlineLevel="0" collapsed="false">
      <c r="A243" s="52"/>
      <c r="B243" s="81"/>
      <c r="C243" s="13"/>
      <c r="D243" s="55"/>
      <c r="E243" s="13"/>
      <c r="F243" s="81"/>
    </row>
    <row r="244" customFormat="false" ht="19.5" hidden="false" customHeight="true" outlineLevel="0" collapsed="false">
      <c r="A244" s="52"/>
      <c r="B244" s="81"/>
      <c r="C244" s="13"/>
      <c r="D244" s="55"/>
      <c r="E244" s="13"/>
      <c r="F244" s="81"/>
    </row>
    <row r="245" customFormat="false" ht="19.5" hidden="false" customHeight="true" outlineLevel="0" collapsed="false">
      <c r="A245" s="52"/>
      <c r="B245" s="81"/>
      <c r="C245" s="13"/>
      <c r="D245" s="55"/>
      <c r="E245" s="13"/>
      <c r="F245" s="81"/>
    </row>
    <row r="246" customFormat="false" ht="19.5" hidden="false" customHeight="true" outlineLevel="0" collapsed="false">
      <c r="A246" s="52"/>
      <c r="B246" s="81"/>
      <c r="C246" s="13"/>
      <c r="D246" s="55"/>
      <c r="E246" s="13"/>
      <c r="F246" s="81"/>
    </row>
    <row r="247" customFormat="false" ht="19.5" hidden="false" customHeight="true" outlineLevel="0" collapsed="false">
      <c r="A247" s="52"/>
      <c r="B247" s="81"/>
      <c r="C247" s="13"/>
      <c r="D247" s="55"/>
      <c r="E247" s="13"/>
      <c r="F247" s="81"/>
    </row>
    <row r="248" customFormat="false" ht="19.5" hidden="false" customHeight="true" outlineLevel="0" collapsed="false">
      <c r="A248" s="52"/>
      <c r="B248" s="81"/>
      <c r="C248" s="13"/>
      <c r="D248" s="55"/>
      <c r="E248" s="13"/>
      <c r="F248" s="81"/>
    </row>
    <row r="249" customFormat="false" ht="19.5" hidden="false" customHeight="true" outlineLevel="0" collapsed="false">
      <c r="A249" s="52"/>
      <c r="B249" s="81"/>
      <c r="C249" s="13"/>
      <c r="D249" s="55"/>
      <c r="E249" s="13"/>
      <c r="F249" s="81"/>
    </row>
    <row r="250" customFormat="false" ht="19.5" hidden="false" customHeight="true" outlineLevel="0" collapsed="false">
      <c r="A250" s="52"/>
      <c r="B250" s="81"/>
      <c r="C250" s="13"/>
      <c r="D250" s="55"/>
      <c r="E250" s="13"/>
      <c r="F250" s="81"/>
    </row>
    <row r="251" customFormat="false" ht="19.5" hidden="false" customHeight="true" outlineLevel="0" collapsed="false">
      <c r="A251" s="52"/>
      <c r="B251" s="81"/>
      <c r="C251" s="13"/>
      <c r="D251" s="55"/>
      <c r="E251" s="13"/>
      <c r="F251" s="81"/>
    </row>
    <row r="252" customFormat="false" ht="19.5" hidden="false" customHeight="true" outlineLevel="0" collapsed="false">
      <c r="A252" s="52"/>
      <c r="B252" s="81"/>
      <c r="C252" s="13"/>
      <c r="D252" s="55"/>
      <c r="E252" s="13"/>
      <c r="F252" s="81"/>
    </row>
    <row r="253" customFormat="false" ht="19.5" hidden="false" customHeight="true" outlineLevel="0" collapsed="false">
      <c r="A253" s="52"/>
      <c r="B253" s="81"/>
      <c r="C253" s="13"/>
      <c r="D253" s="55"/>
      <c r="E253" s="13"/>
      <c r="F253" s="81"/>
    </row>
    <row r="254" customFormat="false" ht="19.5" hidden="false" customHeight="true" outlineLevel="0" collapsed="false">
      <c r="A254" s="52"/>
      <c r="B254" s="81"/>
      <c r="C254" s="13"/>
      <c r="D254" s="55"/>
      <c r="E254" s="13"/>
      <c r="F254" s="81"/>
    </row>
    <row r="255" customFormat="false" ht="19.5" hidden="false" customHeight="true" outlineLevel="0" collapsed="false">
      <c r="A255" s="52"/>
      <c r="B255" s="81"/>
      <c r="C255" s="13"/>
      <c r="D255" s="55"/>
      <c r="E255" s="13"/>
      <c r="F255" s="81"/>
    </row>
    <row r="256" customFormat="false" ht="19.5" hidden="false" customHeight="true" outlineLevel="0" collapsed="false">
      <c r="A256" s="52"/>
      <c r="B256" s="81"/>
      <c r="C256" s="13"/>
      <c r="D256" s="55"/>
      <c r="E256" s="13"/>
      <c r="F256" s="81"/>
    </row>
    <row r="257" customFormat="false" ht="19.5" hidden="false" customHeight="true" outlineLevel="0" collapsed="false">
      <c r="A257" s="52"/>
      <c r="B257" s="81"/>
      <c r="C257" s="13"/>
      <c r="D257" s="55"/>
      <c r="E257" s="13"/>
      <c r="F257" s="81"/>
    </row>
    <row r="258" customFormat="false" ht="19.5" hidden="false" customHeight="true" outlineLevel="0" collapsed="false">
      <c r="A258" s="52"/>
      <c r="B258" s="81"/>
      <c r="C258" s="13"/>
      <c r="D258" s="55"/>
      <c r="E258" s="13"/>
      <c r="F258" s="81"/>
    </row>
    <row r="259" customFormat="false" ht="19.5" hidden="false" customHeight="true" outlineLevel="0" collapsed="false">
      <c r="A259" s="52"/>
      <c r="B259" s="81"/>
      <c r="C259" s="13"/>
      <c r="D259" s="55"/>
      <c r="E259" s="13"/>
      <c r="F259" s="81"/>
    </row>
    <row r="260" customFormat="false" ht="19.5" hidden="false" customHeight="true" outlineLevel="0" collapsed="false">
      <c r="A260" s="52"/>
      <c r="B260" s="81"/>
      <c r="C260" s="13"/>
      <c r="D260" s="55"/>
      <c r="E260" s="13"/>
      <c r="F260" s="81"/>
    </row>
    <row r="261" customFormat="false" ht="19.5" hidden="false" customHeight="true" outlineLevel="0" collapsed="false">
      <c r="A261" s="52"/>
      <c r="B261" s="81"/>
      <c r="C261" s="13"/>
      <c r="D261" s="55"/>
      <c r="E261" s="13"/>
      <c r="F261" s="81"/>
    </row>
    <row r="262" customFormat="false" ht="19.5" hidden="false" customHeight="true" outlineLevel="0" collapsed="false">
      <c r="A262" s="52"/>
      <c r="B262" s="81"/>
      <c r="C262" s="13"/>
      <c r="D262" s="55"/>
      <c r="E262" s="13"/>
      <c r="F262" s="81"/>
    </row>
    <row r="263" customFormat="false" ht="19.5" hidden="false" customHeight="true" outlineLevel="0" collapsed="false">
      <c r="A263" s="52"/>
      <c r="B263" s="81"/>
      <c r="C263" s="13"/>
      <c r="D263" s="55"/>
      <c r="E263" s="13"/>
      <c r="F263" s="81"/>
    </row>
    <row r="264" customFormat="false" ht="19.5" hidden="false" customHeight="true" outlineLevel="0" collapsed="false">
      <c r="A264" s="52"/>
      <c r="B264" s="81"/>
      <c r="C264" s="13"/>
      <c r="D264" s="55"/>
      <c r="E264" s="13"/>
      <c r="F264" s="81"/>
    </row>
    <row r="265" customFormat="false" ht="19.5" hidden="false" customHeight="true" outlineLevel="0" collapsed="false">
      <c r="A265" s="52"/>
      <c r="B265" s="81"/>
      <c r="C265" s="13"/>
      <c r="D265" s="55"/>
      <c r="E265" s="13"/>
      <c r="F265" s="81"/>
    </row>
    <row r="266" customFormat="false" ht="19.5" hidden="false" customHeight="true" outlineLevel="0" collapsed="false">
      <c r="A266" s="52"/>
      <c r="B266" s="81"/>
      <c r="C266" s="13"/>
      <c r="D266" s="55"/>
      <c r="E266" s="13"/>
      <c r="F266" s="81"/>
    </row>
    <row r="267" customFormat="false" ht="19.5" hidden="false" customHeight="true" outlineLevel="0" collapsed="false">
      <c r="A267" s="52"/>
      <c r="B267" s="81"/>
      <c r="C267" s="13"/>
      <c r="D267" s="55"/>
      <c r="E267" s="13"/>
      <c r="F267" s="81"/>
    </row>
    <row r="268" customFormat="false" ht="19.5" hidden="false" customHeight="true" outlineLevel="0" collapsed="false">
      <c r="A268" s="52"/>
      <c r="B268" s="81"/>
      <c r="C268" s="13"/>
      <c r="D268" s="55"/>
      <c r="E268" s="13"/>
      <c r="F268" s="81"/>
    </row>
    <row r="269" customFormat="false" ht="19.5" hidden="false" customHeight="true" outlineLevel="0" collapsed="false">
      <c r="A269" s="52"/>
      <c r="B269" s="81"/>
      <c r="C269" s="13"/>
      <c r="D269" s="55"/>
      <c r="E269" s="13"/>
      <c r="F269" s="81"/>
    </row>
    <row r="270" customFormat="false" ht="19.5" hidden="false" customHeight="true" outlineLevel="0" collapsed="false">
      <c r="A270" s="52"/>
      <c r="B270" s="81"/>
      <c r="C270" s="13"/>
      <c r="D270" s="55"/>
      <c r="E270" s="13"/>
      <c r="F270" s="81"/>
    </row>
    <row r="271" customFormat="false" ht="19.5" hidden="false" customHeight="true" outlineLevel="0" collapsed="false">
      <c r="A271" s="52"/>
      <c r="B271" s="81"/>
      <c r="C271" s="13"/>
      <c r="D271" s="55"/>
      <c r="E271" s="13"/>
      <c r="F271" s="81"/>
    </row>
    <row r="272" customFormat="false" ht="19.5" hidden="false" customHeight="true" outlineLevel="0" collapsed="false">
      <c r="A272" s="52"/>
      <c r="B272" s="81"/>
      <c r="C272" s="13"/>
      <c r="D272" s="55"/>
      <c r="E272" s="13"/>
      <c r="F272" s="81"/>
    </row>
    <row r="273" customFormat="false" ht="19.5" hidden="false" customHeight="true" outlineLevel="0" collapsed="false">
      <c r="A273" s="52"/>
      <c r="B273" s="81"/>
      <c r="C273" s="13"/>
      <c r="D273" s="55"/>
      <c r="E273" s="13"/>
      <c r="F273" s="81"/>
    </row>
    <row r="274" customFormat="false" ht="19.5" hidden="false" customHeight="true" outlineLevel="0" collapsed="false">
      <c r="A274" s="52"/>
      <c r="B274" s="81"/>
      <c r="C274" s="13"/>
      <c r="D274" s="55"/>
      <c r="E274" s="13"/>
      <c r="F274" s="81"/>
    </row>
    <row r="275" customFormat="false" ht="19.5" hidden="false" customHeight="true" outlineLevel="0" collapsed="false">
      <c r="A275" s="52"/>
      <c r="B275" s="81"/>
      <c r="C275" s="13"/>
      <c r="D275" s="55"/>
      <c r="E275" s="13"/>
      <c r="F275" s="81"/>
    </row>
    <row r="276" customFormat="false" ht="19.5" hidden="false" customHeight="true" outlineLevel="0" collapsed="false">
      <c r="A276" s="52"/>
      <c r="B276" s="81"/>
      <c r="C276" s="13"/>
      <c r="D276" s="55"/>
      <c r="E276" s="13"/>
      <c r="F276" s="81"/>
    </row>
    <row r="277" customFormat="false" ht="19.5" hidden="false" customHeight="true" outlineLevel="0" collapsed="false">
      <c r="A277" s="52"/>
      <c r="B277" s="81"/>
      <c r="C277" s="13"/>
      <c r="D277" s="55"/>
      <c r="E277" s="13"/>
      <c r="F277" s="81"/>
    </row>
    <row r="278" customFormat="false" ht="19.5" hidden="false" customHeight="true" outlineLevel="0" collapsed="false">
      <c r="A278" s="52"/>
      <c r="B278" s="81"/>
      <c r="C278" s="13"/>
      <c r="D278" s="55"/>
      <c r="E278" s="13"/>
      <c r="F278" s="81"/>
    </row>
    <row r="279" customFormat="false" ht="19.5" hidden="false" customHeight="true" outlineLevel="0" collapsed="false">
      <c r="A279" s="52"/>
      <c r="B279" s="81"/>
      <c r="C279" s="13"/>
      <c r="D279" s="55"/>
      <c r="E279" s="13"/>
      <c r="F279" s="81"/>
    </row>
    <row r="280" customFormat="false" ht="19.5" hidden="false" customHeight="true" outlineLevel="0" collapsed="false">
      <c r="A280" s="52"/>
      <c r="B280" s="81"/>
      <c r="C280" s="13"/>
      <c r="D280" s="55"/>
      <c r="E280" s="13"/>
      <c r="F280" s="81"/>
    </row>
    <row r="281" customFormat="false" ht="19.5" hidden="false" customHeight="true" outlineLevel="0" collapsed="false">
      <c r="A281" s="52"/>
      <c r="B281" s="81"/>
      <c r="C281" s="13"/>
      <c r="D281" s="55"/>
      <c r="E281" s="13"/>
      <c r="F281" s="81"/>
    </row>
    <row r="282" customFormat="false" ht="19.5" hidden="false" customHeight="true" outlineLevel="0" collapsed="false">
      <c r="A282" s="52"/>
      <c r="B282" s="81"/>
      <c r="C282" s="13"/>
      <c r="D282" s="55"/>
      <c r="E282" s="13"/>
      <c r="F282" s="81"/>
    </row>
    <row r="283" customFormat="false" ht="19.5" hidden="false" customHeight="true" outlineLevel="0" collapsed="false">
      <c r="A283" s="52"/>
      <c r="B283" s="81"/>
      <c r="C283" s="13"/>
      <c r="D283" s="55"/>
      <c r="E283" s="13"/>
      <c r="F283" s="81"/>
    </row>
    <row r="284" customFormat="false" ht="19.5" hidden="false" customHeight="true" outlineLevel="0" collapsed="false">
      <c r="A284" s="52"/>
      <c r="B284" s="81"/>
      <c r="C284" s="13"/>
      <c r="D284" s="55"/>
      <c r="E284" s="13"/>
      <c r="F284" s="81"/>
    </row>
    <row r="285" customFormat="false" ht="19.5" hidden="false" customHeight="true" outlineLevel="0" collapsed="false">
      <c r="A285" s="52"/>
      <c r="B285" s="81"/>
      <c r="C285" s="13"/>
      <c r="D285" s="55"/>
      <c r="E285" s="13"/>
      <c r="F285" s="81"/>
    </row>
    <row r="286" customFormat="false" ht="19.5" hidden="false" customHeight="true" outlineLevel="0" collapsed="false">
      <c r="A286" s="52"/>
      <c r="B286" s="81"/>
      <c r="C286" s="13"/>
      <c r="D286" s="55"/>
      <c r="E286" s="13"/>
      <c r="F286" s="81"/>
    </row>
    <row r="287" customFormat="false" ht="19.5" hidden="false" customHeight="true" outlineLevel="0" collapsed="false">
      <c r="A287" s="52"/>
      <c r="B287" s="81"/>
      <c r="C287" s="13"/>
      <c r="D287" s="55"/>
      <c r="E287" s="13"/>
      <c r="F287" s="81"/>
    </row>
    <row r="288" customFormat="false" ht="19.5" hidden="false" customHeight="true" outlineLevel="0" collapsed="false">
      <c r="A288" s="52"/>
      <c r="B288" s="81"/>
      <c r="C288" s="13"/>
      <c r="D288" s="55"/>
      <c r="E288" s="13"/>
      <c r="F288" s="81"/>
    </row>
    <row r="289" customFormat="false" ht="19.5" hidden="false" customHeight="true" outlineLevel="0" collapsed="false">
      <c r="A289" s="52"/>
      <c r="B289" s="81"/>
      <c r="C289" s="13"/>
      <c r="D289" s="55"/>
      <c r="E289" s="13"/>
      <c r="F289" s="81"/>
    </row>
    <row r="290" customFormat="false" ht="19.5" hidden="false" customHeight="true" outlineLevel="0" collapsed="false">
      <c r="A290" s="52"/>
      <c r="B290" s="81"/>
      <c r="C290" s="13"/>
      <c r="D290" s="55"/>
      <c r="E290" s="13"/>
      <c r="F290" s="81"/>
    </row>
    <row r="291" customFormat="false" ht="19.5" hidden="false" customHeight="true" outlineLevel="0" collapsed="false">
      <c r="A291" s="52"/>
      <c r="B291" s="81"/>
      <c r="C291" s="13"/>
      <c r="D291" s="55"/>
      <c r="E291" s="13"/>
      <c r="F291" s="81"/>
    </row>
    <row r="292" customFormat="false" ht="19.5" hidden="false" customHeight="true" outlineLevel="0" collapsed="false">
      <c r="A292" s="52"/>
      <c r="B292" s="81"/>
      <c r="C292" s="13"/>
      <c r="D292" s="55"/>
      <c r="E292" s="13"/>
      <c r="F292" s="81"/>
    </row>
    <row r="293" customFormat="false" ht="19.5" hidden="false" customHeight="true" outlineLevel="0" collapsed="false">
      <c r="A293" s="52"/>
      <c r="B293" s="81"/>
      <c r="C293" s="13"/>
      <c r="D293" s="55"/>
      <c r="E293" s="13"/>
      <c r="F293" s="81"/>
    </row>
    <row r="294" customFormat="false" ht="19.5" hidden="false" customHeight="true" outlineLevel="0" collapsed="false">
      <c r="A294" s="52"/>
      <c r="B294" s="81"/>
      <c r="C294" s="13"/>
      <c r="D294" s="55"/>
      <c r="E294" s="13"/>
      <c r="F294" s="81"/>
    </row>
    <row r="295" customFormat="false" ht="19.5" hidden="false" customHeight="true" outlineLevel="0" collapsed="false">
      <c r="A295" s="52"/>
      <c r="B295" s="81"/>
      <c r="C295" s="13"/>
      <c r="D295" s="55"/>
      <c r="E295" s="13"/>
      <c r="F295" s="81"/>
    </row>
    <row r="296" customFormat="false" ht="19.5" hidden="false" customHeight="true" outlineLevel="0" collapsed="false">
      <c r="A296" s="52"/>
      <c r="B296" s="81"/>
      <c r="C296" s="13"/>
      <c r="D296" s="55"/>
      <c r="E296" s="13"/>
      <c r="F296" s="81"/>
    </row>
    <row r="297" customFormat="false" ht="19.5" hidden="false" customHeight="true" outlineLevel="0" collapsed="false">
      <c r="A297" s="52"/>
      <c r="B297" s="81"/>
      <c r="C297" s="13"/>
      <c r="D297" s="55"/>
      <c r="E297" s="13"/>
      <c r="F297" s="81"/>
    </row>
    <row r="298" customFormat="false" ht="19.5" hidden="false" customHeight="true" outlineLevel="0" collapsed="false">
      <c r="A298" s="52"/>
      <c r="B298" s="81"/>
      <c r="C298" s="13"/>
      <c r="D298" s="55"/>
      <c r="E298" s="13"/>
      <c r="F298" s="81"/>
    </row>
    <row r="299" customFormat="false" ht="19.5" hidden="false" customHeight="true" outlineLevel="0" collapsed="false">
      <c r="A299" s="52"/>
      <c r="B299" s="81"/>
      <c r="C299" s="13"/>
      <c r="D299" s="55"/>
      <c r="E299" s="13"/>
      <c r="F299" s="81"/>
    </row>
    <row r="300" customFormat="false" ht="19.5" hidden="false" customHeight="true" outlineLevel="0" collapsed="false">
      <c r="A300" s="52"/>
      <c r="B300" s="81"/>
      <c r="C300" s="13"/>
      <c r="D300" s="55"/>
      <c r="E300" s="13"/>
      <c r="F300" s="81"/>
    </row>
    <row r="301" customFormat="false" ht="19.5" hidden="false" customHeight="true" outlineLevel="0" collapsed="false">
      <c r="A301" s="52"/>
      <c r="B301" s="81"/>
      <c r="C301" s="13"/>
      <c r="D301" s="55"/>
      <c r="E301" s="13"/>
      <c r="F301" s="81"/>
    </row>
    <row r="302" customFormat="false" ht="19.5" hidden="false" customHeight="true" outlineLevel="0" collapsed="false">
      <c r="A302" s="52"/>
      <c r="B302" s="81"/>
      <c r="C302" s="13"/>
      <c r="D302" s="55"/>
      <c r="E302" s="13"/>
      <c r="F302" s="81"/>
    </row>
    <row r="303" customFormat="false" ht="19.5" hidden="false" customHeight="true" outlineLevel="0" collapsed="false">
      <c r="A303" s="52"/>
      <c r="B303" s="81"/>
      <c r="C303" s="13"/>
      <c r="D303" s="55"/>
      <c r="E303" s="13"/>
      <c r="F303" s="81"/>
    </row>
    <row r="304" customFormat="false" ht="19.5" hidden="false" customHeight="true" outlineLevel="0" collapsed="false">
      <c r="A304" s="52"/>
      <c r="B304" s="81"/>
      <c r="C304" s="13"/>
      <c r="D304" s="55"/>
      <c r="E304" s="13"/>
      <c r="F304" s="81"/>
    </row>
    <row r="305" customFormat="false" ht="19.5" hidden="false" customHeight="true" outlineLevel="0" collapsed="false">
      <c r="A305" s="52"/>
      <c r="B305" s="81"/>
      <c r="C305" s="13"/>
      <c r="D305" s="55"/>
      <c r="E305" s="13"/>
      <c r="F305" s="81"/>
    </row>
    <row r="306" customFormat="false" ht="19.5" hidden="false" customHeight="true" outlineLevel="0" collapsed="false">
      <c r="A306" s="52"/>
      <c r="B306" s="81"/>
      <c r="C306" s="13"/>
      <c r="D306" s="55"/>
      <c r="E306" s="13"/>
      <c r="F306" s="81"/>
    </row>
    <row r="307" customFormat="false" ht="19.5" hidden="false" customHeight="true" outlineLevel="0" collapsed="false">
      <c r="A307" s="52"/>
      <c r="B307" s="81"/>
      <c r="C307" s="13"/>
      <c r="D307" s="55"/>
      <c r="E307" s="13"/>
      <c r="F307" s="81"/>
    </row>
    <row r="308" customFormat="false" ht="19.5" hidden="false" customHeight="true" outlineLevel="0" collapsed="false">
      <c r="A308" s="52"/>
      <c r="B308" s="81"/>
      <c r="C308" s="13"/>
      <c r="D308" s="55"/>
      <c r="E308" s="13"/>
      <c r="F308" s="81"/>
    </row>
    <row r="309" customFormat="false" ht="19.5" hidden="false" customHeight="true" outlineLevel="0" collapsed="false">
      <c r="A309" s="52"/>
      <c r="B309" s="81"/>
      <c r="C309" s="13"/>
      <c r="D309" s="55"/>
      <c r="E309" s="13"/>
      <c r="F309" s="81"/>
    </row>
    <row r="310" customFormat="false" ht="19.5" hidden="false" customHeight="true" outlineLevel="0" collapsed="false">
      <c r="A310" s="52"/>
      <c r="B310" s="81"/>
      <c r="C310" s="13"/>
      <c r="D310" s="55"/>
      <c r="E310" s="13"/>
      <c r="F310" s="81"/>
    </row>
    <row r="311" customFormat="false" ht="19.5" hidden="false" customHeight="true" outlineLevel="0" collapsed="false">
      <c r="A311" s="52"/>
      <c r="B311" s="81"/>
      <c r="C311" s="13"/>
      <c r="D311" s="55"/>
      <c r="E311" s="13"/>
      <c r="F311" s="81"/>
    </row>
    <row r="312" customFormat="false" ht="19.5" hidden="false" customHeight="true" outlineLevel="0" collapsed="false">
      <c r="A312" s="52"/>
      <c r="B312" s="81"/>
      <c r="C312" s="13"/>
      <c r="D312" s="55"/>
      <c r="E312" s="13"/>
      <c r="F312" s="81"/>
    </row>
    <row r="313" customFormat="false" ht="19.5" hidden="false" customHeight="true" outlineLevel="0" collapsed="false">
      <c r="A313" s="52"/>
      <c r="B313" s="81"/>
      <c r="C313" s="13"/>
      <c r="D313" s="55"/>
      <c r="E313" s="13"/>
      <c r="F313" s="81"/>
    </row>
    <row r="314" customFormat="false" ht="19.5" hidden="false" customHeight="true" outlineLevel="0" collapsed="false">
      <c r="A314" s="52"/>
      <c r="B314" s="81"/>
      <c r="C314" s="13"/>
      <c r="D314" s="55"/>
      <c r="E314" s="13"/>
      <c r="F314" s="81"/>
    </row>
    <row r="315" customFormat="false" ht="19.5" hidden="false" customHeight="true" outlineLevel="0" collapsed="false">
      <c r="A315" s="52"/>
      <c r="B315" s="81"/>
      <c r="C315" s="13"/>
      <c r="D315" s="55"/>
      <c r="E315" s="13"/>
      <c r="F315" s="81"/>
    </row>
    <row r="316" customFormat="false" ht="19.5" hidden="false" customHeight="true" outlineLevel="0" collapsed="false">
      <c r="A316" s="52"/>
      <c r="B316" s="81"/>
      <c r="C316" s="13"/>
      <c r="D316" s="55"/>
      <c r="E316" s="13"/>
      <c r="F316" s="81"/>
    </row>
    <row r="317" customFormat="false" ht="19.5" hidden="false" customHeight="true" outlineLevel="0" collapsed="false">
      <c r="A317" s="52"/>
      <c r="B317" s="81"/>
      <c r="C317" s="13"/>
      <c r="D317" s="55"/>
      <c r="E317" s="13"/>
      <c r="F317" s="81"/>
    </row>
    <row r="318" customFormat="false" ht="19.5" hidden="false" customHeight="true" outlineLevel="0" collapsed="false">
      <c r="A318" s="52"/>
      <c r="B318" s="81"/>
      <c r="C318" s="13"/>
      <c r="D318" s="55"/>
      <c r="E318" s="13"/>
      <c r="F318" s="81"/>
    </row>
    <row r="319" customFormat="false" ht="19.5" hidden="false" customHeight="true" outlineLevel="0" collapsed="false">
      <c r="A319" s="52"/>
      <c r="B319" s="81"/>
      <c r="C319" s="13"/>
      <c r="D319" s="55"/>
      <c r="E319" s="13"/>
      <c r="F319" s="81"/>
    </row>
    <row r="320" customFormat="false" ht="19.5" hidden="false" customHeight="true" outlineLevel="0" collapsed="false">
      <c r="A320" s="52"/>
      <c r="B320" s="81"/>
      <c r="C320" s="13"/>
      <c r="D320" s="55"/>
      <c r="E320" s="13"/>
      <c r="F320" s="81"/>
    </row>
    <row r="321" customFormat="false" ht="19.5" hidden="false" customHeight="true" outlineLevel="0" collapsed="false">
      <c r="A321" s="52"/>
      <c r="B321" s="81"/>
      <c r="C321" s="13"/>
      <c r="D321" s="55"/>
      <c r="E321" s="13"/>
      <c r="F321" s="81"/>
    </row>
    <row r="322" customFormat="false" ht="19.5" hidden="false" customHeight="true" outlineLevel="0" collapsed="false">
      <c r="A322" s="52"/>
      <c r="B322" s="81"/>
      <c r="C322" s="13"/>
      <c r="D322" s="55"/>
      <c r="E322" s="13"/>
      <c r="F322" s="81"/>
    </row>
    <row r="323" customFormat="false" ht="19.5" hidden="false" customHeight="true" outlineLevel="0" collapsed="false">
      <c r="A323" s="52"/>
      <c r="B323" s="81"/>
      <c r="C323" s="13"/>
      <c r="D323" s="55"/>
      <c r="E323" s="13"/>
      <c r="F323" s="81"/>
    </row>
    <row r="324" customFormat="false" ht="19.5" hidden="false" customHeight="true" outlineLevel="0" collapsed="false">
      <c r="A324" s="52"/>
      <c r="B324" s="81"/>
      <c r="C324" s="13"/>
      <c r="D324" s="55"/>
      <c r="E324" s="13"/>
      <c r="F324" s="81"/>
    </row>
    <row r="325" customFormat="false" ht="19.5" hidden="false" customHeight="true" outlineLevel="0" collapsed="false">
      <c r="A325" s="52"/>
      <c r="B325" s="81"/>
      <c r="C325" s="13"/>
      <c r="D325" s="55"/>
      <c r="E325" s="13"/>
      <c r="F325" s="81"/>
    </row>
    <row r="326" customFormat="false" ht="19.5" hidden="false" customHeight="true" outlineLevel="0" collapsed="false">
      <c r="A326" s="52"/>
      <c r="B326" s="81"/>
      <c r="C326" s="13"/>
      <c r="D326" s="55"/>
      <c r="E326" s="13"/>
      <c r="F326" s="81"/>
    </row>
    <row r="327" customFormat="false" ht="19.5" hidden="false" customHeight="true" outlineLevel="0" collapsed="false">
      <c r="A327" s="52"/>
      <c r="B327" s="81"/>
      <c r="C327" s="13"/>
      <c r="D327" s="55"/>
      <c r="E327" s="13"/>
      <c r="F327" s="81"/>
    </row>
    <row r="328" customFormat="false" ht="19.5" hidden="false" customHeight="true" outlineLevel="0" collapsed="false">
      <c r="A328" s="52"/>
      <c r="B328" s="81"/>
      <c r="C328" s="13"/>
      <c r="D328" s="55"/>
      <c r="E328" s="13"/>
      <c r="F328" s="81"/>
    </row>
    <row r="329" customFormat="false" ht="19.5" hidden="false" customHeight="true" outlineLevel="0" collapsed="false">
      <c r="A329" s="52"/>
      <c r="B329" s="81"/>
      <c r="C329" s="13"/>
      <c r="D329" s="55"/>
      <c r="E329" s="13"/>
      <c r="F329" s="81"/>
    </row>
    <row r="330" customFormat="false" ht="19.5" hidden="false" customHeight="true" outlineLevel="0" collapsed="false">
      <c r="A330" s="52"/>
      <c r="B330" s="81"/>
      <c r="C330" s="13"/>
      <c r="D330" s="55"/>
      <c r="E330" s="13"/>
      <c r="F330" s="81"/>
    </row>
    <row r="331" customFormat="false" ht="19.5" hidden="false" customHeight="true" outlineLevel="0" collapsed="false">
      <c r="A331" s="52"/>
      <c r="B331" s="81"/>
      <c r="C331" s="13"/>
      <c r="D331" s="55"/>
      <c r="E331" s="13"/>
      <c r="F331" s="81"/>
    </row>
    <row r="332" customFormat="false" ht="19.5" hidden="false" customHeight="true" outlineLevel="0" collapsed="false">
      <c r="A332" s="52"/>
      <c r="B332" s="81"/>
      <c r="C332" s="13"/>
      <c r="D332" s="55"/>
      <c r="E332" s="13"/>
      <c r="F332" s="81"/>
    </row>
    <row r="333" customFormat="false" ht="19.5" hidden="false" customHeight="true" outlineLevel="0" collapsed="false">
      <c r="A333" s="52"/>
      <c r="B333" s="81"/>
      <c r="C333" s="13"/>
      <c r="D333" s="55"/>
      <c r="E333" s="13"/>
      <c r="F333" s="81"/>
    </row>
    <row r="334" customFormat="false" ht="19.5" hidden="false" customHeight="true" outlineLevel="0" collapsed="false">
      <c r="A334" s="52"/>
      <c r="B334" s="81"/>
      <c r="C334" s="13"/>
      <c r="D334" s="55"/>
      <c r="E334" s="13"/>
      <c r="F334" s="81"/>
    </row>
    <row r="335" customFormat="false" ht="19.5" hidden="false" customHeight="true" outlineLevel="0" collapsed="false">
      <c r="A335" s="52"/>
      <c r="B335" s="81"/>
      <c r="C335" s="13"/>
      <c r="D335" s="55"/>
      <c r="E335" s="13"/>
      <c r="F335" s="81"/>
    </row>
    <row r="336" customFormat="false" ht="19.5" hidden="false" customHeight="true" outlineLevel="0" collapsed="false">
      <c r="A336" s="52"/>
      <c r="B336" s="81"/>
      <c r="C336" s="13"/>
      <c r="D336" s="55"/>
      <c r="E336" s="13"/>
      <c r="F336" s="81"/>
    </row>
    <row r="337" customFormat="false" ht="19.5" hidden="false" customHeight="true" outlineLevel="0" collapsed="false">
      <c r="A337" s="52"/>
      <c r="B337" s="81"/>
      <c r="C337" s="13"/>
      <c r="D337" s="55"/>
      <c r="E337" s="13"/>
      <c r="F337" s="81"/>
    </row>
    <row r="338" customFormat="false" ht="19.5" hidden="false" customHeight="true" outlineLevel="0" collapsed="false">
      <c r="A338" s="52"/>
      <c r="B338" s="81"/>
      <c r="C338" s="13"/>
      <c r="D338" s="55"/>
      <c r="E338" s="13"/>
      <c r="F338" s="81"/>
    </row>
    <row r="339" customFormat="false" ht="19.5" hidden="false" customHeight="true" outlineLevel="0" collapsed="false">
      <c r="A339" s="52"/>
      <c r="B339" s="81"/>
      <c r="C339" s="13"/>
      <c r="D339" s="55"/>
      <c r="E339" s="13"/>
      <c r="F339" s="81"/>
    </row>
    <row r="340" customFormat="false" ht="19.5" hidden="false" customHeight="true" outlineLevel="0" collapsed="false">
      <c r="A340" s="52"/>
      <c r="B340" s="81"/>
      <c r="C340" s="13"/>
      <c r="D340" s="55"/>
      <c r="E340" s="13"/>
      <c r="F340" s="81"/>
    </row>
    <row r="341" customFormat="false" ht="19.5" hidden="false" customHeight="true" outlineLevel="0" collapsed="false">
      <c r="A341" s="52"/>
      <c r="B341" s="81"/>
      <c r="C341" s="13"/>
      <c r="D341" s="55"/>
      <c r="E341" s="13"/>
      <c r="F341" s="81"/>
    </row>
    <row r="342" customFormat="false" ht="19.5" hidden="false" customHeight="true" outlineLevel="0" collapsed="false">
      <c r="A342" s="52"/>
      <c r="B342" s="81"/>
      <c r="C342" s="13"/>
      <c r="D342" s="55"/>
      <c r="E342" s="13"/>
      <c r="F342" s="81"/>
    </row>
    <row r="343" customFormat="false" ht="19.5" hidden="false" customHeight="true" outlineLevel="0" collapsed="false">
      <c r="A343" s="52"/>
      <c r="B343" s="81"/>
      <c r="C343" s="13"/>
      <c r="D343" s="55"/>
      <c r="E343" s="13"/>
      <c r="F343" s="81"/>
    </row>
    <row r="344" customFormat="false" ht="19.5" hidden="false" customHeight="true" outlineLevel="0" collapsed="false">
      <c r="A344" s="52"/>
      <c r="B344" s="81"/>
      <c r="C344" s="13"/>
      <c r="D344" s="55"/>
      <c r="E344" s="13"/>
      <c r="F344" s="81"/>
    </row>
    <row r="345" customFormat="false" ht="19.5" hidden="false" customHeight="true" outlineLevel="0" collapsed="false">
      <c r="A345" s="52"/>
      <c r="B345" s="81"/>
      <c r="C345" s="13"/>
      <c r="D345" s="55"/>
      <c r="E345" s="13"/>
      <c r="F345" s="81"/>
    </row>
    <row r="346" customFormat="false" ht="19.5" hidden="false" customHeight="true" outlineLevel="0" collapsed="false">
      <c r="A346" s="52"/>
      <c r="B346" s="81"/>
      <c r="C346" s="13"/>
      <c r="D346" s="55"/>
      <c r="E346" s="13"/>
      <c r="F346" s="81"/>
    </row>
    <row r="347" customFormat="false" ht="19.5" hidden="false" customHeight="true" outlineLevel="0" collapsed="false">
      <c r="A347" s="52"/>
      <c r="B347" s="81"/>
      <c r="C347" s="13"/>
      <c r="D347" s="55"/>
      <c r="E347" s="13"/>
      <c r="F347" s="81"/>
    </row>
    <row r="348" customFormat="false" ht="19.5" hidden="false" customHeight="true" outlineLevel="0" collapsed="false">
      <c r="A348" s="52"/>
      <c r="B348" s="81"/>
      <c r="C348" s="13"/>
      <c r="D348" s="55"/>
      <c r="E348" s="13"/>
      <c r="F348" s="81"/>
    </row>
    <row r="349" customFormat="false" ht="19.5" hidden="false" customHeight="true" outlineLevel="0" collapsed="false">
      <c r="A349" s="52"/>
      <c r="B349" s="81"/>
      <c r="C349" s="13"/>
      <c r="D349" s="55"/>
      <c r="E349" s="13"/>
      <c r="F349" s="81"/>
    </row>
    <row r="350" customFormat="false" ht="19.5" hidden="false" customHeight="true" outlineLevel="0" collapsed="false">
      <c r="A350" s="52"/>
      <c r="B350" s="81"/>
      <c r="C350" s="13"/>
      <c r="D350" s="55"/>
      <c r="E350" s="13"/>
      <c r="F350" s="81"/>
    </row>
    <row r="351" customFormat="false" ht="19.5" hidden="false" customHeight="true" outlineLevel="0" collapsed="false">
      <c r="A351" s="52"/>
      <c r="B351" s="81"/>
      <c r="C351" s="13"/>
      <c r="D351" s="55"/>
      <c r="E351" s="13"/>
      <c r="F351" s="81"/>
    </row>
    <row r="352" customFormat="false" ht="19.5" hidden="false" customHeight="true" outlineLevel="0" collapsed="false">
      <c r="A352" s="52"/>
      <c r="B352" s="81"/>
      <c r="C352" s="13"/>
      <c r="D352" s="55"/>
      <c r="E352" s="13"/>
      <c r="F352" s="81"/>
    </row>
    <row r="353" customFormat="false" ht="19.5" hidden="false" customHeight="true" outlineLevel="0" collapsed="false">
      <c r="A353" s="52"/>
      <c r="B353" s="81"/>
      <c r="C353" s="13"/>
      <c r="D353" s="55"/>
      <c r="E353" s="13"/>
      <c r="F353" s="81"/>
    </row>
    <row r="354" customFormat="false" ht="19.5" hidden="false" customHeight="true" outlineLevel="0" collapsed="false">
      <c r="A354" s="52"/>
      <c r="B354" s="81"/>
      <c r="C354" s="13"/>
      <c r="D354" s="55"/>
      <c r="E354" s="13"/>
      <c r="F354" s="81"/>
    </row>
    <row r="355" customFormat="false" ht="19.5" hidden="false" customHeight="true" outlineLevel="0" collapsed="false">
      <c r="A355" s="52"/>
      <c r="B355" s="81"/>
      <c r="C355" s="13"/>
      <c r="D355" s="55"/>
      <c r="E355" s="13"/>
      <c r="F355" s="81"/>
    </row>
    <row r="356" customFormat="false" ht="19.5" hidden="false" customHeight="true" outlineLevel="0" collapsed="false">
      <c r="A356" s="52"/>
      <c r="B356" s="81"/>
      <c r="C356" s="13"/>
      <c r="D356" s="55"/>
      <c r="E356" s="13"/>
      <c r="F356" s="81"/>
    </row>
    <row r="357" customFormat="false" ht="19.5" hidden="false" customHeight="true" outlineLevel="0" collapsed="false">
      <c r="A357" s="52"/>
      <c r="B357" s="81"/>
      <c r="C357" s="13"/>
      <c r="D357" s="55"/>
      <c r="E357" s="13"/>
      <c r="F357" s="81"/>
    </row>
    <row r="358" customFormat="false" ht="19.5" hidden="false" customHeight="true" outlineLevel="0" collapsed="false">
      <c r="A358" s="52"/>
      <c r="B358" s="81"/>
      <c r="C358" s="13"/>
      <c r="D358" s="55"/>
      <c r="E358" s="13"/>
      <c r="F358" s="81"/>
    </row>
    <row r="359" customFormat="false" ht="19.5" hidden="false" customHeight="true" outlineLevel="0" collapsed="false">
      <c r="A359" s="52"/>
      <c r="B359" s="81"/>
      <c r="C359" s="13"/>
      <c r="D359" s="55"/>
      <c r="E359" s="13"/>
      <c r="F359" s="81"/>
    </row>
    <row r="360" customFormat="false" ht="19.5" hidden="false" customHeight="true" outlineLevel="0" collapsed="false">
      <c r="A360" s="52"/>
      <c r="B360" s="81"/>
      <c r="C360" s="13"/>
      <c r="D360" s="55"/>
      <c r="E360" s="13"/>
      <c r="F360" s="81"/>
    </row>
    <row r="361" customFormat="false" ht="19.5" hidden="false" customHeight="true" outlineLevel="0" collapsed="false">
      <c r="A361" s="52"/>
      <c r="B361" s="81"/>
      <c r="C361" s="13"/>
      <c r="D361" s="55"/>
      <c r="E361" s="13"/>
      <c r="F361" s="81"/>
    </row>
    <row r="362" customFormat="false" ht="19.5" hidden="false" customHeight="true" outlineLevel="0" collapsed="false">
      <c r="A362" s="52"/>
      <c r="B362" s="81"/>
      <c r="C362" s="13"/>
      <c r="D362" s="55"/>
      <c r="E362" s="13"/>
      <c r="F362" s="81"/>
    </row>
    <row r="363" customFormat="false" ht="19.5" hidden="false" customHeight="true" outlineLevel="0" collapsed="false">
      <c r="A363" s="52"/>
      <c r="B363" s="81"/>
      <c r="C363" s="13"/>
      <c r="D363" s="55"/>
      <c r="E363" s="13"/>
      <c r="F363" s="81"/>
    </row>
    <row r="364" customFormat="false" ht="19.5" hidden="false" customHeight="true" outlineLevel="0" collapsed="false">
      <c r="A364" s="52"/>
      <c r="B364" s="81"/>
      <c r="C364" s="13"/>
      <c r="D364" s="55"/>
      <c r="E364" s="13"/>
      <c r="F364" s="81"/>
    </row>
    <row r="365" customFormat="false" ht="19.5" hidden="false" customHeight="true" outlineLevel="0" collapsed="false">
      <c r="A365" s="52"/>
      <c r="B365" s="81"/>
      <c r="C365" s="13"/>
      <c r="D365" s="55"/>
      <c r="E365" s="13"/>
      <c r="F365" s="81"/>
    </row>
    <row r="366" customFormat="false" ht="19.5" hidden="false" customHeight="true" outlineLevel="0" collapsed="false">
      <c r="A366" s="52"/>
      <c r="B366" s="81"/>
      <c r="C366" s="13"/>
      <c r="D366" s="55"/>
      <c r="E366" s="13"/>
      <c r="F366" s="81"/>
    </row>
    <row r="367" customFormat="false" ht="19.5" hidden="false" customHeight="true" outlineLevel="0" collapsed="false">
      <c r="A367" s="52"/>
      <c r="B367" s="81"/>
      <c r="C367" s="13"/>
      <c r="D367" s="55"/>
      <c r="E367" s="13"/>
      <c r="F367" s="81"/>
    </row>
    <row r="368" customFormat="false" ht="19.5" hidden="false" customHeight="true" outlineLevel="0" collapsed="false">
      <c r="A368" s="52"/>
      <c r="B368" s="81"/>
      <c r="C368" s="13"/>
      <c r="D368" s="55"/>
      <c r="E368" s="13"/>
      <c r="F368" s="81"/>
    </row>
    <row r="369" customFormat="false" ht="19.5" hidden="false" customHeight="true" outlineLevel="0" collapsed="false">
      <c r="A369" s="52"/>
      <c r="B369" s="81"/>
      <c r="C369" s="13"/>
      <c r="D369" s="55"/>
      <c r="E369" s="13"/>
      <c r="F369" s="81"/>
    </row>
    <row r="370" customFormat="false" ht="19.5" hidden="false" customHeight="true" outlineLevel="0" collapsed="false">
      <c r="A370" s="52"/>
      <c r="B370" s="81"/>
      <c r="C370" s="13"/>
      <c r="D370" s="55"/>
      <c r="E370" s="13"/>
      <c r="F370" s="81"/>
    </row>
    <row r="371" customFormat="false" ht="19.5" hidden="false" customHeight="true" outlineLevel="0" collapsed="false">
      <c r="A371" s="52"/>
      <c r="B371" s="81"/>
      <c r="C371" s="13"/>
      <c r="D371" s="55"/>
      <c r="E371" s="13"/>
      <c r="F371" s="81"/>
    </row>
    <row r="372" customFormat="false" ht="19.5" hidden="false" customHeight="true" outlineLevel="0" collapsed="false">
      <c r="A372" s="52"/>
      <c r="B372" s="81"/>
      <c r="C372" s="13"/>
      <c r="D372" s="55"/>
      <c r="E372" s="13"/>
      <c r="F372" s="81"/>
    </row>
    <row r="373" customFormat="false" ht="19.5" hidden="false" customHeight="true" outlineLevel="0" collapsed="false">
      <c r="A373" s="52"/>
      <c r="B373" s="81"/>
      <c r="C373" s="13"/>
      <c r="D373" s="55"/>
      <c r="E373" s="13"/>
      <c r="F373" s="81"/>
    </row>
    <row r="374" customFormat="false" ht="19.5" hidden="false" customHeight="true" outlineLevel="0" collapsed="false">
      <c r="A374" s="52"/>
      <c r="B374" s="81"/>
      <c r="C374" s="13"/>
      <c r="D374" s="55"/>
      <c r="E374" s="13"/>
      <c r="F374" s="81"/>
    </row>
    <row r="375" customFormat="false" ht="19.5" hidden="false" customHeight="true" outlineLevel="0" collapsed="false">
      <c r="A375" s="52"/>
      <c r="B375" s="81"/>
      <c r="C375" s="13"/>
      <c r="D375" s="55"/>
      <c r="E375" s="13"/>
      <c r="F375" s="81"/>
    </row>
    <row r="376" customFormat="false" ht="19.5" hidden="false" customHeight="true" outlineLevel="0" collapsed="false">
      <c r="A376" s="52"/>
      <c r="B376" s="81"/>
      <c r="C376" s="13"/>
      <c r="D376" s="55"/>
      <c r="E376" s="13"/>
      <c r="F376" s="81"/>
    </row>
    <row r="377" customFormat="false" ht="19.5" hidden="false" customHeight="true" outlineLevel="0" collapsed="false">
      <c r="A377" s="52"/>
      <c r="B377" s="81"/>
      <c r="C377" s="13"/>
      <c r="D377" s="55"/>
      <c r="E377" s="13"/>
      <c r="F377" s="81"/>
    </row>
    <row r="378" customFormat="false" ht="19.5" hidden="false" customHeight="true" outlineLevel="0" collapsed="false">
      <c r="A378" s="52"/>
      <c r="B378" s="81"/>
      <c r="C378" s="13"/>
      <c r="D378" s="55"/>
      <c r="E378" s="13"/>
      <c r="F378" s="81"/>
    </row>
    <row r="379" customFormat="false" ht="19.5" hidden="false" customHeight="true" outlineLevel="0" collapsed="false">
      <c r="A379" s="52"/>
      <c r="B379" s="81"/>
      <c r="C379" s="13"/>
      <c r="D379" s="55"/>
      <c r="E379" s="13"/>
      <c r="F379" s="81"/>
    </row>
    <row r="380" customFormat="false" ht="19.5" hidden="false" customHeight="true" outlineLevel="0" collapsed="false">
      <c r="A380" s="52"/>
      <c r="B380" s="81"/>
      <c r="C380" s="13"/>
      <c r="D380" s="55"/>
      <c r="E380" s="13"/>
      <c r="F380" s="81"/>
    </row>
    <row r="381" customFormat="false" ht="19.5" hidden="false" customHeight="true" outlineLevel="0" collapsed="false">
      <c r="A381" s="52"/>
      <c r="B381" s="81"/>
      <c r="C381" s="13"/>
      <c r="D381" s="55"/>
      <c r="E381" s="13"/>
      <c r="F381" s="81"/>
    </row>
    <row r="382" customFormat="false" ht="19.5" hidden="false" customHeight="true" outlineLevel="0" collapsed="false">
      <c r="A382" s="52"/>
      <c r="B382" s="81"/>
      <c r="C382" s="13"/>
      <c r="D382" s="55"/>
      <c r="E382" s="13"/>
      <c r="F382" s="81"/>
    </row>
    <row r="383" customFormat="false" ht="19.5" hidden="false" customHeight="true" outlineLevel="0" collapsed="false">
      <c r="A383" s="52"/>
      <c r="B383" s="81"/>
      <c r="C383" s="13"/>
      <c r="D383" s="55"/>
      <c r="E383" s="13"/>
      <c r="F383" s="81"/>
    </row>
    <row r="384" customFormat="false" ht="19.5" hidden="false" customHeight="true" outlineLevel="0" collapsed="false">
      <c r="A384" s="52"/>
      <c r="B384" s="81"/>
      <c r="C384" s="13"/>
      <c r="D384" s="55"/>
      <c r="E384" s="13"/>
      <c r="F384" s="81"/>
    </row>
    <row r="385" customFormat="false" ht="19.5" hidden="false" customHeight="true" outlineLevel="0" collapsed="false">
      <c r="A385" s="52"/>
      <c r="B385" s="81"/>
      <c r="C385" s="13"/>
      <c r="D385" s="55"/>
      <c r="E385" s="13"/>
      <c r="F385" s="81"/>
    </row>
    <row r="386" customFormat="false" ht="19.5" hidden="false" customHeight="true" outlineLevel="0" collapsed="false">
      <c r="A386" s="52"/>
      <c r="B386" s="81"/>
      <c r="C386" s="13"/>
      <c r="D386" s="55"/>
      <c r="E386" s="13"/>
      <c r="F386" s="81"/>
    </row>
    <row r="387" customFormat="false" ht="19.5" hidden="false" customHeight="true" outlineLevel="0" collapsed="false">
      <c r="A387" s="52"/>
      <c r="B387" s="81"/>
      <c r="C387" s="13"/>
      <c r="D387" s="55"/>
      <c r="E387" s="13"/>
      <c r="F387" s="81"/>
    </row>
    <row r="388" customFormat="false" ht="19.5" hidden="false" customHeight="true" outlineLevel="0" collapsed="false">
      <c r="A388" s="52"/>
      <c r="B388" s="81"/>
      <c r="C388" s="13"/>
      <c r="D388" s="55"/>
      <c r="E388" s="13"/>
      <c r="F388" s="81"/>
    </row>
    <row r="389" customFormat="false" ht="19.5" hidden="false" customHeight="true" outlineLevel="0" collapsed="false">
      <c r="A389" s="52"/>
      <c r="B389" s="81"/>
      <c r="C389" s="13"/>
      <c r="D389" s="55"/>
      <c r="E389" s="13"/>
      <c r="F389" s="81"/>
    </row>
    <row r="390" customFormat="false" ht="19.5" hidden="false" customHeight="true" outlineLevel="0" collapsed="false">
      <c r="A390" s="52"/>
      <c r="B390" s="81"/>
      <c r="C390" s="13"/>
      <c r="D390" s="55"/>
      <c r="E390" s="13"/>
      <c r="F390" s="81"/>
    </row>
    <row r="391" customFormat="false" ht="19.5" hidden="false" customHeight="true" outlineLevel="0" collapsed="false">
      <c r="A391" s="52"/>
      <c r="B391" s="81"/>
      <c r="C391" s="13"/>
      <c r="D391" s="55"/>
      <c r="E391" s="13"/>
      <c r="F391" s="81"/>
    </row>
    <row r="392" customFormat="false" ht="19.5" hidden="false" customHeight="true" outlineLevel="0" collapsed="false">
      <c r="A392" s="52"/>
      <c r="B392" s="81"/>
      <c r="C392" s="13"/>
      <c r="D392" s="55"/>
      <c r="E392" s="13"/>
      <c r="F392" s="81"/>
    </row>
    <row r="393" customFormat="false" ht="19.5" hidden="false" customHeight="true" outlineLevel="0" collapsed="false">
      <c r="A393" s="52"/>
      <c r="B393" s="81"/>
      <c r="C393" s="13"/>
      <c r="D393" s="55"/>
      <c r="E393" s="13"/>
      <c r="F393" s="81"/>
    </row>
    <row r="394" customFormat="false" ht="19.5" hidden="false" customHeight="true" outlineLevel="0" collapsed="false">
      <c r="A394" s="52"/>
      <c r="B394" s="81"/>
      <c r="C394" s="13"/>
      <c r="D394" s="55"/>
      <c r="E394" s="13"/>
      <c r="F394" s="81"/>
    </row>
    <row r="395" customFormat="false" ht="19.5" hidden="false" customHeight="true" outlineLevel="0" collapsed="false">
      <c r="A395" s="52"/>
      <c r="B395" s="81"/>
      <c r="C395" s="13"/>
      <c r="D395" s="55"/>
      <c r="E395" s="13"/>
      <c r="F395" s="81"/>
    </row>
    <row r="396" customFormat="false" ht="19.5" hidden="false" customHeight="true" outlineLevel="0" collapsed="false">
      <c r="A396" s="52"/>
      <c r="B396" s="81"/>
      <c r="C396" s="13"/>
      <c r="D396" s="55"/>
      <c r="E396" s="13"/>
      <c r="F396" s="81"/>
    </row>
    <row r="397" customFormat="false" ht="19.5" hidden="false" customHeight="true" outlineLevel="0" collapsed="false">
      <c r="A397" s="52"/>
      <c r="B397" s="81"/>
      <c r="C397" s="13"/>
      <c r="D397" s="55"/>
      <c r="E397" s="13"/>
      <c r="F397" s="81"/>
    </row>
    <row r="398" customFormat="false" ht="19.5" hidden="false" customHeight="true" outlineLevel="0" collapsed="false">
      <c r="A398" s="52"/>
      <c r="B398" s="81"/>
      <c r="C398" s="13"/>
      <c r="D398" s="55"/>
      <c r="E398" s="13"/>
      <c r="F398" s="81"/>
    </row>
    <row r="399" customFormat="false" ht="19.5" hidden="false" customHeight="true" outlineLevel="0" collapsed="false">
      <c r="A399" s="52"/>
      <c r="B399" s="81"/>
      <c r="C399" s="13"/>
      <c r="D399" s="55"/>
      <c r="E399" s="13"/>
      <c r="F399" s="81"/>
    </row>
    <row r="400" customFormat="false" ht="19.5" hidden="false" customHeight="true" outlineLevel="0" collapsed="false">
      <c r="A400" s="52"/>
      <c r="B400" s="81"/>
      <c r="C400" s="13"/>
      <c r="D400" s="55"/>
      <c r="E400" s="13"/>
      <c r="F400" s="81"/>
    </row>
    <row r="401" customFormat="false" ht="19.5" hidden="false" customHeight="true" outlineLevel="0" collapsed="false">
      <c r="A401" s="52"/>
      <c r="B401" s="81"/>
      <c r="C401" s="13"/>
      <c r="D401" s="55"/>
      <c r="E401" s="13"/>
      <c r="F401" s="81"/>
    </row>
    <row r="402" customFormat="false" ht="19.5" hidden="false" customHeight="true" outlineLevel="0" collapsed="false">
      <c r="A402" s="52"/>
      <c r="B402" s="81"/>
      <c r="C402" s="13"/>
      <c r="D402" s="55"/>
      <c r="E402" s="13"/>
      <c r="F402" s="81"/>
    </row>
    <row r="403" customFormat="false" ht="19.5" hidden="false" customHeight="true" outlineLevel="0" collapsed="false">
      <c r="A403" s="52"/>
      <c r="B403" s="81"/>
      <c r="C403" s="13"/>
      <c r="D403" s="55"/>
      <c r="E403" s="13"/>
      <c r="F403" s="81"/>
    </row>
    <row r="404" customFormat="false" ht="19.5" hidden="false" customHeight="true" outlineLevel="0" collapsed="false">
      <c r="A404" s="52"/>
      <c r="B404" s="81"/>
      <c r="C404" s="13"/>
      <c r="D404" s="55"/>
      <c r="E404" s="13"/>
      <c r="F404" s="81"/>
    </row>
    <row r="405" customFormat="false" ht="19.5" hidden="false" customHeight="true" outlineLevel="0" collapsed="false">
      <c r="A405" s="52"/>
      <c r="B405" s="81"/>
      <c r="C405" s="13"/>
      <c r="D405" s="55"/>
      <c r="E405" s="13"/>
      <c r="F405" s="81"/>
    </row>
    <row r="406" customFormat="false" ht="19.5" hidden="false" customHeight="true" outlineLevel="0" collapsed="false">
      <c r="A406" s="52"/>
      <c r="B406" s="81"/>
      <c r="C406" s="13"/>
      <c r="D406" s="55"/>
      <c r="E406" s="13"/>
      <c r="F406" s="81"/>
    </row>
    <row r="407" customFormat="false" ht="19.5" hidden="false" customHeight="true" outlineLevel="0" collapsed="false">
      <c r="A407" s="52"/>
      <c r="B407" s="81"/>
      <c r="C407" s="13"/>
      <c r="D407" s="55"/>
      <c r="E407" s="13"/>
      <c r="F407" s="81"/>
    </row>
    <row r="408" customFormat="false" ht="19.5" hidden="false" customHeight="true" outlineLevel="0" collapsed="false">
      <c r="A408" s="52"/>
      <c r="B408" s="81"/>
      <c r="C408" s="13"/>
      <c r="D408" s="55"/>
      <c r="E408" s="13"/>
      <c r="F408" s="81"/>
    </row>
    <row r="409" customFormat="false" ht="19.5" hidden="false" customHeight="true" outlineLevel="0" collapsed="false">
      <c r="A409" s="52"/>
      <c r="B409" s="81"/>
      <c r="C409" s="13"/>
      <c r="D409" s="55"/>
      <c r="E409" s="13"/>
      <c r="F409" s="81"/>
    </row>
    <row r="410" customFormat="false" ht="19.5" hidden="false" customHeight="true" outlineLevel="0" collapsed="false">
      <c r="A410" s="52"/>
      <c r="B410" s="81"/>
      <c r="C410" s="13"/>
      <c r="D410" s="55"/>
      <c r="E410" s="13"/>
      <c r="F410" s="81"/>
    </row>
    <row r="411" customFormat="false" ht="19.5" hidden="false" customHeight="true" outlineLevel="0" collapsed="false">
      <c r="A411" s="52"/>
      <c r="B411" s="81"/>
      <c r="C411" s="13"/>
      <c r="D411" s="55"/>
      <c r="E411" s="13"/>
      <c r="F411" s="81"/>
    </row>
    <row r="412" customFormat="false" ht="19.5" hidden="false" customHeight="true" outlineLevel="0" collapsed="false">
      <c r="A412" s="52"/>
      <c r="B412" s="81"/>
      <c r="C412" s="13"/>
      <c r="D412" s="55"/>
      <c r="E412" s="13"/>
      <c r="F412" s="81"/>
    </row>
    <row r="413" customFormat="false" ht="19.5" hidden="false" customHeight="true" outlineLevel="0" collapsed="false">
      <c r="A413" s="52"/>
      <c r="B413" s="81"/>
      <c r="C413" s="13"/>
      <c r="D413" s="55"/>
      <c r="E413" s="13"/>
      <c r="F413" s="81"/>
    </row>
    <row r="414" customFormat="false" ht="19.5" hidden="false" customHeight="true" outlineLevel="0" collapsed="false">
      <c r="A414" s="52"/>
      <c r="B414" s="81"/>
      <c r="C414" s="13"/>
      <c r="D414" s="55"/>
      <c r="E414" s="13"/>
      <c r="F414" s="81"/>
    </row>
    <row r="415" customFormat="false" ht="19.5" hidden="false" customHeight="true" outlineLevel="0" collapsed="false">
      <c r="A415" s="52"/>
      <c r="B415" s="81"/>
      <c r="C415" s="13"/>
      <c r="D415" s="55"/>
      <c r="E415" s="13"/>
      <c r="F415" s="81"/>
    </row>
    <row r="416" customFormat="false" ht="19.5" hidden="false" customHeight="true" outlineLevel="0" collapsed="false">
      <c r="A416" s="52"/>
      <c r="B416" s="81"/>
      <c r="C416" s="13"/>
      <c r="D416" s="55"/>
      <c r="E416" s="13"/>
      <c r="F416" s="81"/>
    </row>
    <row r="417" customFormat="false" ht="19.5" hidden="false" customHeight="true" outlineLevel="0" collapsed="false">
      <c r="A417" s="52"/>
      <c r="B417" s="81"/>
      <c r="C417" s="13"/>
      <c r="D417" s="55"/>
      <c r="E417" s="13"/>
      <c r="F417" s="81"/>
    </row>
    <row r="418" customFormat="false" ht="19.5" hidden="false" customHeight="true" outlineLevel="0" collapsed="false">
      <c r="A418" s="52"/>
      <c r="B418" s="81"/>
      <c r="C418" s="13"/>
      <c r="D418" s="55"/>
      <c r="E418" s="13"/>
      <c r="F418" s="81"/>
    </row>
    <row r="419" customFormat="false" ht="19.5" hidden="false" customHeight="true" outlineLevel="0" collapsed="false">
      <c r="A419" s="52"/>
      <c r="B419" s="81"/>
      <c r="C419" s="13"/>
      <c r="D419" s="55"/>
      <c r="E419" s="13"/>
      <c r="F419" s="81"/>
    </row>
    <row r="420" customFormat="false" ht="19.5" hidden="false" customHeight="true" outlineLevel="0" collapsed="false">
      <c r="A420" s="52"/>
      <c r="B420" s="81"/>
      <c r="C420" s="13"/>
      <c r="D420" s="55"/>
      <c r="E420" s="13"/>
      <c r="F420" s="81"/>
    </row>
    <row r="421" customFormat="false" ht="19.5" hidden="false" customHeight="true" outlineLevel="0" collapsed="false">
      <c r="A421" s="52"/>
      <c r="B421" s="81"/>
      <c r="C421" s="13"/>
      <c r="D421" s="55"/>
      <c r="E421" s="13"/>
      <c r="F421" s="81"/>
    </row>
    <row r="422" customFormat="false" ht="19.5" hidden="false" customHeight="true" outlineLevel="0" collapsed="false">
      <c r="A422" s="52"/>
      <c r="B422" s="81"/>
      <c r="C422" s="13"/>
      <c r="D422" s="55"/>
      <c r="E422" s="13"/>
      <c r="F422" s="81"/>
    </row>
    <row r="423" customFormat="false" ht="19.5" hidden="false" customHeight="true" outlineLevel="0" collapsed="false">
      <c r="A423" s="52"/>
      <c r="B423" s="81"/>
      <c r="C423" s="13"/>
      <c r="D423" s="55"/>
      <c r="E423" s="13"/>
      <c r="F423" s="81"/>
    </row>
    <row r="424" customFormat="false" ht="19.5" hidden="false" customHeight="true" outlineLevel="0" collapsed="false">
      <c r="A424" s="52"/>
      <c r="B424" s="81"/>
      <c r="C424" s="13"/>
      <c r="D424" s="55"/>
      <c r="E424" s="13"/>
      <c r="F424" s="81"/>
    </row>
    <row r="425" customFormat="false" ht="19.5" hidden="false" customHeight="true" outlineLevel="0" collapsed="false">
      <c r="A425" s="52"/>
      <c r="B425" s="81"/>
      <c r="C425" s="13"/>
      <c r="D425" s="55"/>
      <c r="E425" s="13"/>
      <c r="F425" s="81"/>
    </row>
    <row r="426" customFormat="false" ht="19.5" hidden="false" customHeight="true" outlineLevel="0" collapsed="false">
      <c r="A426" s="52"/>
      <c r="B426" s="81"/>
      <c r="C426" s="13"/>
      <c r="D426" s="55"/>
      <c r="E426" s="13"/>
      <c r="F426" s="81"/>
    </row>
    <row r="427" customFormat="false" ht="19.5" hidden="false" customHeight="true" outlineLevel="0" collapsed="false">
      <c r="A427" s="52"/>
      <c r="B427" s="81"/>
      <c r="C427" s="13"/>
      <c r="D427" s="55"/>
      <c r="E427" s="13"/>
      <c r="F427" s="81"/>
    </row>
    <row r="428" customFormat="false" ht="19.5" hidden="false" customHeight="true" outlineLevel="0" collapsed="false">
      <c r="A428" s="52"/>
      <c r="B428" s="81"/>
      <c r="C428" s="13"/>
      <c r="D428" s="55"/>
      <c r="E428" s="13"/>
      <c r="F428" s="81"/>
    </row>
    <row r="429" customFormat="false" ht="19.5" hidden="false" customHeight="true" outlineLevel="0" collapsed="false">
      <c r="A429" s="52"/>
      <c r="B429" s="81"/>
      <c r="C429" s="13"/>
      <c r="D429" s="55"/>
      <c r="E429" s="13"/>
      <c r="F429" s="81"/>
    </row>
    <row r="430" customFormat="false" ht="19.5" hidden="false" customHeight="true" outlineLevel="0" collapsed="false">
      <c r="A430" s="52"/>
      <c r="B430" s="81"/>
      <c r="C430" s="13"/>
      <c r="D430" s="55"/>
      <c r="E430" s="13"/>
      <c r="F430" s="81"/>
    </row>
    <row r="431" customFormat="false" ht="19.5" hidden="false" customHeight="true" outlineLevel="0" collapsed="false">
      <c r="A431" s="52"/>
      <c r="B431" s="81"/>
      <c r="C431" s="13"/>
      <c r="D431" s="55"/>
      <c r="E431" s="13"/>
      <c r="F431" s="81"/>
    </row>
    <row r="432" customFormat="false" ht="19.5" hidden="false" customHeight="true" outlineLevel="0" collapsed="false">
      <c r="A432" s="52"/>
      <c r="B432" s="81"/>
      <c r="C432" s="13"/>
      <c r="D432" s="55"/>
      <c r="E432" s="13"/>
      <c r="F432" s="81"/>
    </row>
    <row r="433" customFormat="false" ht="19.5" hidden="false" customHeight="true" outlineLevel="0" collapsed="false">
      <c r="A433" s="52"/>
      <c r="B433" s="81"/>
      <c r="C433" s="13"/>
      <c r="D433" s="55"/>
      <c r="E433" s="13"/>
      <c r="F433" s="81"/>
    </row>
    <row r="434" customFormat="false" ht="19.5" hidden="false" customHeight="true" outlineLevel="0" collapsed="false">
      <c r="A434" s="52"/>
      <c r="B434" s="81"/>
      <c r="C434" s="13"/>
      <c r="D434" s="55"/>
      <c r="E434" s="13"/>
      <c r="F434" s="81"/>
    </row>
    <row r="435" customFormat="false" ht="19.5" hidden="false" customHeight="true" outlineLevel="0" collapsed="false">
      <c r="A435" s="52"/>
      <c r="B435" s="81"/>
      <c r="C435" s="13"/>
      <c r="D435" s="55"/>
      <c r="E435" s="13"/>
      <c r="F435" s="81"/>
    </row>
    <row r="436" customFormat="false" ht="19.5" hidden="false" customHeight="true" outlineLevel="0" collapsed="false">
      <c r="A436" s="52"/>
      <c r="B436" s="81"/>
      <c r="C436" s="13"/>
      <c r="D436" s="55"/>
      <c r="E436" s="13"/>
      <c r="F436" s="81"/>
    </row>
    <row r="437" customFormat="false" ht="19.5" hidden="false" customHeight="true" outlineLevel="0" collapsed="false">
      <c r="A437" s="52"/>
      <c r="B437" s="81"/>
      <c r="C437" s="13"/>
      <c r="D437" s="55"/>
      <c r="E437" s="13"/>
      <c r="F437" s="81"/>
    </row>
    <row r="438" customFormat="false" ht="19.5" hidden="false" customHeight="true" outlineLevel="0" collapsed="false">
      <c r="A438" s="52"/>
      <c r="B438" s="81"/>
      <c r="C438" s="13"/>
      <c r="D438" s="55"/>
      <c r="E438" s="13"/>
      <c r="F438" s="81"/>
    </row>
    <row r="439" customFormat="false" ht="19.5" hidden="false" customHeight="true" outlineLevel="0" collapsed="false">
      <c r="A439" s="52"/>
      <c r="B439" s="81"/>
      <c r="C439" s="13"/>
      <c r="D439" s="55"/>
      <c r="E439" s="13"/>
      <c r="F439" s="81"/>
    </row>
    <row r="440" customFormat="false" ht="19.5" hidden="false" customHeight="true" outlineLevel="0" collapsed="false">
      <c r="A440" s="52"/>
      <c r="B440" s="81"/>
      <c r="C440" s="13"/>
      <c r="D440" s="55"/>
      <c r="E440" s="13"/>
      <c r="F440" s="81"/>
    </row>
    <row r="441" customFormat="false" ht="19.5" hidden="false" customHeight="true" outlineLevel="0" collapsed="false">
      <c r="A441" s="52"/>
      <c r="B441" s="81"/>
      <c r="C441" s="13"/>
      <c r="D441" s="55"/>
      <c r="E441" s="13"/>
      <c r="F441" s="81"/>
    </row>
    <row r="442" customFormat="false" ht="19.5" hidden="false" customHeight="true" outlineLevel="0" collapsed="false">
      <c r="A442" s="52"/>
      <c r="B442" s="81"/>
      <c r="C442" s="13"/>
      <c r="D442" s="55"/>
      <c r="E442" s="13"/>
      <c r="F442" s="81"/>
    </row>
    <row r="443" customFormat="false" ht="19.5" hidden="false" customHeight="true" outlineLevel="0" collapsed="false">
      <c r="A443" s="52"/>
      <c r="B443" s="81"/>
      <c r="C443" s="13"/>
      <c r="D443" s="55"/>
      <c r="E443" s="13"/>
      <c r="F443" s="81"/>
    </row>
    <row r="444" customFormat="false" ht="19.5" hidden="false" customHeight="true" outlineLevel="0" collapsed="false">
      <c r="A444" s="52"/>
      <c r="B444" s="81"/>
      <c r="C444" s="13"/>
      <c r="D444" s="55"/>
      <c r="E444" s="13"/>
      <c r="F444" s="81"/>
    </row>
    <row r="445" customFormat="false" ht="19.5" hidden="false" customHeight="true" outlineLevel="0" collapsed="false">
      <c r="A445" s="52"/>
      <c r="B445" s="81"/>
      <c r="C445" s="13"/>
      <c r="D445" s="55"/>
      <c r="E445" s="13"/>
      <c r="F445" s="81"/>
    </row>
    <row r="446" customFormat="false" ht="19.5" hidden="false" customHeight="true" outlineLevel="0" collapsed="false">
      <c r="A446" s="52"/>
      <c r="B446" s="81"/>
      <c r="C446" s="13"/>
      <c r="D446" s="55"/>
      <c r="E446" s="13"/>
      <c r="F446" s="81"/>
    </row>
    <row r="447" customFormat="false" ht="19.5" hidden="false" customHeight="true" outlineLevel="0" collapsed="false">
      <c r="A447" s="52"/>
      <c r="B447" s="81"/>
      <c r="C447" s="13"/>
      <c r="D447" s="55"/>
      <c r="E447" s="13"/>
      <c r="F447" s="81"/>
    </row>
    <row r="448" customFormat="false" ht="19.5" hidden="false" customHeight="true" outlineLevel="0" collapsed="false">
      <c r="A448" s="52"/>
      <c r="B448" s="81"/>
      <c r="C448" s="13"/>
      <c r="D448" s="55"/>
      <c r="E448" s="13"/>
      <c r="F448" s="81"/>
    </row>
    <row r="449" customFormat="false" ht="19.5" hidden="false" customHeight="true" outlineLevel="0" collapsed="false">
      <c r="A449" s="52"/>
      <c r="B449" s="81"/>
      <c r="C449" s="13"/>
      <c r="D449" s="55"/>
      <c r="E449" s="13"/>
      <c r="F449" s="81"/>
    </row>
    <row r="450" customFormat="false" ht="19.5" hidden="false" customHeight="true" outlineLevel="0" collapsed="false">
      <c r="A450" s="52"/>
      <c r="B450" s="81"/>
      <c r="C450" s="13"/>
      <c r="D450" s="55"/>
      <c r="E450" s="13"/>
      <c r="F450" s="81"/>
    </row>
    <row r="451" customFormat="false" ht="19.5" hidden="false" customHeight="true" outlineLevel="0" collapsed="false">
      <c r="A451" s="52"/>
      <c r="B451" s="81"/>
      <c r="C451" s="13"/>
      <c r="D451" s="55"/>
      <c r="E451" s="13"/>
      <c r="F451" s="81"/>
    </row>
    <row r="452" customFormat="false" ht="19.5" hidden="false" customHeight="true" outlineLevel="0" collapsed="false">
      <c r="A452" s="52"/>
      <c r="B452" s="81"/>
      <c r="C452" s="13"/>
      <c r="D452" s="55"/>
      <c r="E452" s="13"/>
      <c r="F452" s="81"/>
    </row>
    <row r="453" customFormat="false" ht="19.5" hidden="false" customHeight="true" outlineLevel="0" collapsed="false">
      <c r="A453" s="52"/>
      <c r="B453" s="81"/>
      <c r="C453" s="13"/>
      <c r="D453" s="55"/>
      <c r="E453" s="13"/>
      <c r="F453" s="81"/>
    </row>
    <row r="454" customFormat="false" ht="19.5" hidden="false" customHeight="true" outlineLevel="0" collapsed="false">
      <c r="A454" s="52"/>
      <c r="B454" s="81"/>
      <c r="C454" s="13"/>
      <c r="D454" s="55"/>
      <c r="E454" s="13"/>
      <c r="F454" s="81"/>
    </row>
    <row r="455" customFormat="false" ht="19.5" hidden="false" customHeight="true" outlineLevel="0" collapsed="false">
      <c r="A455" s="52"/>
      <c r="B455" s="81"/>
      <c r="C455" s="13"/>
      <c r="D455" s="55"/>
      <c r="E455" s="13"/>
      <c r="F455" s="81"/>
    </row>
    <row r="456" customFormat="false" ht="19.5" hidden="false" customHeight="true" outlineLevel="0" collapsed="false">
      <c r="A456" s="52"/>
      <c r="B456" s="81"/>
      <c r="C456" s="13"/>
      <c r="D456" s="55"/>
      <c r="E456" s="13"/>
      <c r="F456" s="81"/>
    </row>
    <row r="457" customFormat="false" ht="19.5" hidden="false" customHeight="true" outlineLevel="0" collapsed="false">
      <c r="A457" s="52"/>
      <c r="B457" s="81"/>
      <c r="C457" s="13"/>
      <c r="D457" s="55"/>
      <c r="E457" s="13"/>
      <c r="F457" s="81"/>
    </row>
    <row r="458" customFormat="false" ht="19.5" hidden="false" customHeight="true" outlineLevel="0" collapsed="false">
      <c r="A458" s="52"/>
      <c r="B458" s="81"/>
      <c r="C458" s="13"/>
      <c r="D458" s="55"/>
      <c r="E458" s="13"/>
      <c r="F458" s="81"/>
    </row>
    <row r="459" customFormat="false" ht="19.5" hidden="false" customHeight="true" outlineLevel="0" collapsed="false">
      <c r="A459" s="52"/>
      <c r="B459" s="81"/>
      <c r="C459" s="13"/>
      <c r="D459" s="55"/>
      <c r="E459" s="13"/>
      <c r="F459" s="81"/>
    </row>
    <row r="460" customFormat="false" ht="19.5" hidden="false" customHeight="true" outlineLevel="0" collapsed="false">
      <c r="A460" s="52"/>
      <c r="B460" s="81"/>
      <c r="C460" s="13"/>
      <c r="D460" s="55"/>
      <c r="E460" s="13"/>
      <c r="F460" s="81"/>
    </row>
    <row r="461" customFormat="false" ht="19.5" hidden="false" customHeight="true" outlineLevel="0" collapsed="false">
      <c r="A461" s="52"/>
      <c r="B461" s="81"/>
      <c r="C461" s="13"/>
      <c r="D461" s="55"/>
      <c r="E461" s="13"/>
      <c r="F461" s="81"/>
    </row>
    <row r="462" customFormat="false" ht="19.5" hidden="false" customHeight="true" outlineLevel="0" collapsed="false">
      <c r="A462" s="52"/>
      <c r="B462" s="81"/>
      <c r="C462" s="13"/>
      <c r="D462" s="55"/>
      <c r="E462" s="13"/>
      <c r="F462" s="81"/>
    </row>
    <row r="463" customFormat="false" ht="19.5" hidden="false" customHeight="true" outlineLevel="0" collapsed="false">
      <c r="A463" s="52"/>
      <c r="B463" s="81"/>
      <c r="C463" s="13"/>
      <c r="D463" s="55"/>
      <c r="E463" s="13"/>
      <c r="F463" s="81"/>
    </row>
    <row r="464" customFormat="false" ht="19.5" hidden="false" customHeight="true" outlineLevel="0" collapsed="false">
      <c r="A464" s="52"/>
      <c r="B464" s="81"/>
      <c r="C464" s="13"/>
      <c r="D464" s="55"/>
      <c r="E464" s="13"/>
      <c r="F464" s="81"/>
    </row>
    <row r="465" customFormat="false" ht="19.5" hidden="false" customHeight="true" outlineLevel="0" collapsed="false">
      <c r="A465" s="52"/>
      <c r="B465" s="81"/>
      <c r="C465" s="13"/>
      <c r="D465" s="55"/>
      <c r="E465" s="13"/>
      <c r="F465" s="81"/>
    </row>
    <row r="466" customFormat="false" ht="19.5" hidden="false" customHeight="true" outlineLevel="0" collapsed="false">
      <c r="A466" s="52"/>
      <c r="B466" s="81"/>
      <c r="C466" s="13"/>
      <c r="D466" s="55"/>
      <c r="E466" s="13"/>
      <c r="F466" s="81"/>
    </row>
    <row r="467" customFormat="false" ht="19.5" hidden="false" customHeight="true" outlineLevel="0" collapsed="false">
      <c r="A467" s="52"/>
      <c r="B467" s="81"/>
      <c r="C467" s="13"/>
      <c r="D467" s="55"/>
      <c r="E467" s="13"/>
      <c r="F467" s="81"/>
    </row>
    <row r="468" customFormat="false" ht="19.5" hidden="false" customHeight="true" outlineLevel="0" collapsed="false">
      <c r="A468" s="52"/>
      <c r="B468" s="81"/>
      <c r="C468" s="13"/>
      <c r="D468" s="55"/>
      <c r="E468" s="13"/>
      <c r="F468" s="81"/>
    </row>
    <row r="469" customFormat="false" ht="19.5" hidden="false" customHeight="true" outlineLevel="0" collapsed="false">
      <c r="A469" s="52"/>
      <c r="B469" s="81"/>
      <c r="C469" s="13"/>
      <c r="D469" s="55"/>
      <c r="E469" s="13"/>
      <c r="F469" s="81"/>
    </row>
    <row r="470" customFormat="false" ht="19.5" hidden="false" customHeight="true" outlineLevel="0" collapsed="false">
      <c r="A470" s="52"/>
      <c r="B470" s="81"/>
      <c r="C470" s="13"/>
      <c r="D470" s="55"/>
      <c r="E470" s="13"/>
      <c r="F470" s="81"/>
    </row>
    <row r="471" customFormat="false" ht="19.5" hidden="false" customHeight="true" outlineLevel="0" collapsed="false">
      <c r="A471" s="52"/>
      <c r="B471" s="81"/>
      <c r="C471" s="13"/>
      <c r="D471" s="55"/>
      <c r="E471" s="13"/>
      <c r="F471" s="81"/>
    </row>
    <row r="472" customFormat="false" ht="19.5" hidden="false" customHeight="true" outlineLevel="0" collapsed="false">
      <c r="A472" s="52"/>
      <c r="B472" s="81"/>
      <c r="C472" s="13"/>
      <c r="D472" s="55"/>
      <c r="E472" s="13"/>
      <c r="F472" s="81"/>
    </row>
    <row r="473" customFormat="false" ht="19.5" hidden="false" customHeight="true" outlineLevel="0" collapsed="false">
      <c r="A473" s="52"/>
      <c r="B473" s="81"/>
      <c r="C473" s="13"/>
      <c r="D473" s="55"/>
      <c r="E473" s="13"/>
      <c r="F473" s="81"/>
    </row>
    <row r="474" customFormat="false" ht="19.5" hidden="false" customHeight="true" outlineLevel="0" collapsed="false">
      <c r="A474" s="52"/>
      <c r="B474" s="81"/>
      <c r="C474" s="13"/>
      <c r="D474" s="55"/>
      <c r="E474" s="13"/>
      <c r="F474" s="81"/>
    </row>
    <row r="475" customFormat="false" ht="19.5" hidden="false" customHeight="true" outlineLevel="0" collapsed="false">
      <c r="A475" s="52"/>
      <c r="B475" s="81"/>
      <c r="C475" s="13"/>
      <c r="D475" s="55"/>
      <c r="E475" s="13"/>
      <c r="F475" s="81"/>
    </row>
    <row r="476" customFormat="false" ht="19.5" hidden="false" customHeight="true" outlineLevel="0" collapsed="false">
      <c r="A476" s="52"/>
      <c r="B476" s="81"/>
      <c r="C476" s="13"/>
      <c r="D476" s="55"/>
      <c r="E476" s="13"/>
      <c r="F476" s="81"/>
    </row>
    <row r="477" customFormat="false" ht="19.5" hidden="false" customHeight="true" outlineLevel="0" collapsed="false">
      <c r="A477" s="52"/>
      <c r="B477" s="81"/>
      <c r="C477" s="13"/>
      <c r="D477" s="55"/>
      <c r="E477" s="13"/>
      <c r="F477" s="81"/>
    </row>
    <row r="478" customFormat="false" ht="19.5" hidden="false" customHeight="true" outlineLevel="0" collapsed="false">
      <c r="A478" s="52"/>
      <c r="B478" s="81"/>
      <c r="C478" s="13"/>
      <c r="D478" s="55"/>
      <c r="E478" s="13"/>
      <c r="F478" s="81"/>
    </row>
    <row r="479" customFormat="false" ht="19.5" hidden="false" customHeight="true" outlineLevel="0" collapsed="false">
      <c r="A479" s="52"/>
      <c r="B479" s="81"/>
      <c r="C479" s="13"/>
      <c r="D479" s="55"/>
      <c r="E479" s="13"/>
      <c r="F479" s="81"/>
    </row>
    <row r="480" customFormat="false" ht="19.5" hidden="false" customHeight="true" outlineLevel="0" collapsed="false">
      <c r="A480" s="52"/>
      <c r="B480" s="81"/>
      <c r="C480" s="13"/>
      <c r="D480" s="55"/>
      <c r="E480" s="13"/>
      <c r="F480" s="81"/>
    </row>
    <row r="481" customFormat="false" ht="19.5" hidden="false" customHeight="true" outlineLevel="0" collapsed="false">
      <c r="A481" s="52"/>
      <c r="B481" s="81"/>
      <c r="C481" s="13"/>
      <c r="D481" s="55"/>
      <c r="E481" s="13"/>
      <c r="F481" s="81"/>
    </row>
    <row r="482" customFormat="false" ht="19.5" hidden="false" customHeight="true" outlineLevel="0" collapsed="false">
      <c r="A482" s="52"/>
      <c r="B482" s="81"/>
      <c r="C482" s="13"/>
      <c r="D482" s="55"/>
      <c r="E482" s="13"/>
      <c r="F482" s="81"/>
    </row>
    <row r="483" customFormat="false" ht="19.5" hidden="false" customHeight="true" outlineLevel="0" collapsed="false">
      <c r="A483" s="52"/>
      <c r="B483" s="81"/>
      <c r="C483" s="13"/>
      <c r="D483" s="55"/>
      <c r="E483" s="13"/>
      <c r="F483" s="81"/>
    </row>
    <row r="484" customFormat="false" ht="19.5" hidden="false" customHeight="true" outlineLevel="0" collapsed="false">
      <c r="A484" s="52"/>
      <c r="B484" s="81"/>
      <c r="C484" s="13"/>
      <c r="D484" s="55"/>
      <c r="E484" s="13"/>
      <c r="F484" s="81"/>
    </row>
    <row r="485" customFormat="false" ht="19.5" hidden="false" customHeight="true" outlineLevel="0" collapsed="false">
      <c r="A485" s="52"/>
      <c r="B485" s="81"/>
      <c r="C485" s="13"/>
      <c r="D485" s="55"/>
      <c r="E485" s="13"/>
      <c r="F485" s="81"/>
    </row>
    <row r="486" customFormat="false" ht="19.5" hidden="false" customHeight="true" outlineLevel="0" collapsed="false">
      <c r="A486" s="52"/>
      <c r="B486" s="81"/>
      <c r="C486" s="13"/>
      <c r="D486" s="55"/>
      <c r="E486" s="13"/>
      <c r="F486" s="81"/>
    </row>
    <row r="487" customFormat="false" ht="19.5" hidden="false" customHeight="true" outlineLevel="0" collapsed="false">
      <c r="A487" s="52"/>
      <c r="B487" s="81"/>
      <c r="C487" s="13"/>
      <c r="D487" s="55"/>
      <c r="E487" s="13"/>
      <c r="F487" s="81"/>
    </row>
    <row r="488" customFormat="false" ht="19.5" hidden="false" customHeight="true" outlineLevel="0" collapsed="false">
      <c r="A488" s="52"/>
      <c r="B488" s="81"/>
      <c r="C488" s="13"/>
      <c r="D488" s="55"/>
      <c r="E488" s="13"/>
      <c r="F488" s="81"/>
    </row>
    <row r="489" customFormat="false" ht="19.5" hidden="false" customHeight="true" outlineLevel="0" collapsed="false">
      <c r="A489" s="52"/>
      <c r="B489" s="81"/>
      <c r="C489" s="13"/>
      <c r="D489" s="55"/>
      <c r="E489" s="13"/>
      <c r="F489" s="81"/>
    </row>
    <row r="490" customFormat="false" ht="19.5" hidden="false" customHeight="true" outlineLevel="0" collapsed="false">
      <c r="A490" s="52"/>
      <c r="B490" s="81"/>
      <c r="C490" s="13"/>
      <c r="D490" s="55"/>
      <c r="E490" s="13"/>
      <c r="F490" s="81"/>
    </row>
    <row r="491" customFormat="false" ht="19.5" hidden="false" customHeight="true" outlineLevel="0" collapsed="false">
      <c r="A491" s="52"/>
      <c r="B491" s="81"/>
      <c r="C491" s="13"/>
      <c r="D491" s="55"/>
      <c r="E491" s="13"/>
      <c r="F491" s="81"/>
    </row>
    <row r="492" customFormat="false" ht="19.5" hidden="false" customHeight="true" outlineLevel="0" collapsed="false">
      <c r="A492" s="52"/>
      <c r="B492" s="81"/>
      <c r="C492" s="13"/>
      <c r="D492" s="55"/>
      <c r="E492" s="13"/>
      <c r="F492" s="81"/>
    </row>
    <row r="493" customFormat="false" ht="19.5" hidden="false" customHeight="true" outlineLevel="0" collapsed="false">
      <c r="A493" s="52"/>
      <c r="B493" s="81"/>
      <c r="C493" s="13"/>
      <c r="D493" s="55"/>
      <c r="E493" s="13"/>
      <c r="F493" s="81"/>
    </row>
    <row r="494" customFormat="false" ht="19.5" hidden="false" customHeight="true" outlineLevel="0" collapsed="false">
      <c r="A494" s="52"/>
      <c r="B494" s="81"/>
      <c r="C494" s="13"/>
      <c r="D494" s="55"/>
      <c r="E494" s="13"/>
      <c r="F494" s="81"/>
    </row>
    <row r="495" customFormat="false" ht="19.5" hidden="false" customHeight="true" outlineLevel="0" collapsed="false">
      <c r="A495" s="52"/>
      <c r="B495" s="81"/>
      <c r="C495" s="13"/>
      <c r="D495" s="55"/>
      <c r="E495" s="13"/>
      <c r="F495" s="81"/>
    </row>
    <row r="496" customFormat="false" ht="19.5" hidden="false" customHeight="true" outlineLevel="0" collapsed="false">
      <c r="A496" s="52"/>
      <c r="B496" s="81"/>
      <c r="C496" s="13"/>
      <c r="D496" s="55"/>
      <c r="E496" s="13"/>
      <c r="F496" s="81"/>
    </row>
    <row r="497" customFormat="false" ht="19.5" hidden="false" customHeight="true" outlineLevel="0" collapsed="false">
      <c r="A497" s="52"/>
      <c r="B497" s="81"/>
      <c r="C497" s="13"/>
      <c r="D497" s="55"/>
      <c r="E497" s="13"/>
      <c r="F497" s="81"/>
    </row>
    <row r="498" customFormat="false" ht="19.5" hidden="false" customHeight="true" outlineLevel="0" collapsed="false">
      <c r="A498" s="52"/>
      <c r="B498" s="81"/>
      <c r="C498" s="13"/>
      <c r="D498" s="55"/>
      <c r="E498" s="13"/>
      <c r="F498" s="81"/>
    </row>
    <row r="499" customFormat="false" ht="19.5" hidden="false" customHeight="true" outlineLevel="0" collapsed="false">
      <c r="A499" s="52"/>
      <c r="B499" s="81"/>
      <c r="C499" s="13"/>
      <c r="D499" s="55"/>
      <c r="E499" s="13"/>
      <c r="F499" s="81"/>
    </row>
    <row r="500" customFormat="false" ht="19.5" hidden="false" customHeight="true" outlineLevel="0" collapsed="false">
      <c r="A500" s="52"/>
      <c r="B500" s="81"/>
      <c r="C500" s="13"/>
      <c r="D500" s="55"/>
      <c r="E500" s="13"/>
      <c r="F500" s="81"/>
    </row>
    <row r="501" customFormat="false" ht="19.5" hidden="false" customHeight="true" outlineLevel="0" collapsed="false">
      <c r="A501" s="52"/>
      <c r="B501" s="81"/>
      <c r="C501" s="13"/>
      <c r="D501" s="55"/>
      <c r="E501" s="13"/>
      <c r="F501" s="81"/>
    </row>
    <row r="502" customFormat="false" ht="19.5" hidden="false" customHeight="true" outlineLevel="0" collapsed="false">
      <c r="A502" s="52"/>
      <c r="B502" s="81"/>
      <c r="C502" s="13"/>
      <c r="D502" s="55"/>
      <c r="E502" s="13"/>
      <c r="F502" s="81"/>
    </row>
    <row r="503" customFormat="false" ht="19.5" hidden="false" customHeight="true" outlineLevel="0" collapsed="false">
      <c r="A503" s="52"/>
      <c r="B503" s="81"/>
      <c r="C503" s="13"/>
      <c r="D503" s="55"/>
      <c r="E503" s="13"/>
      <c r="F503" s="81"/>
    </row>
    <row r="504" customFormat="false" ht="19.5" hidden="false" customHeight="true" outlineLevel="0" collapsed="false">
      <c r="A504" s="52"/>
      <c r="B504" s="81"/>
      <c r="C504" s="13"/>
      <c r="D504" s="55"/>
      <c r="E504" s="13"/>
      <c r="F504" s="81"/>
    </row>
    <row r="505" customFormat="false" ht="19.5" hidden="false" customHeight="true" outlineLevel="0" collapsed="false">
      <c r="A505" s="52"/>
      <c r="B505" s="81"/>
      <c r="C505" s="13"/>
      <c r="D505" s="55"/>
      <c r="E505" s="13"/>
      <c r="F505" s="81"/>
    </row>
    <row r="506" customFormat="false" ht="19.5" hidden="false" customHeight="true" outlineLevel="0" collapsed="false">
      <c r="A506" s="52"/>
      <c r="B506" s="81"/>
      <c r="C506" s="13"/>
      <c r="D506" s="55"/>
      <c r="E506" s="13"/>
      <c r="F506" s="81"/>
    </row>
  </sheetData>
  <autoFilter ref="A6:F506"/>
  <mergeCells count="4">
    <mergeCell ref="A1:F1"/>
    <mergeCell ref="A2:C2"/>
    <mergeCell ref="D2:F2"/>
    <mergeCell ref="A5:C5"/>
  </mergeCells>
  <conditionalFormatting sqref="D7:D506">
    <cfRule type="dataBar" priority="2">
      <dataBar showValue="1" minLength="10" maxLength="90">
        <cfvo type="num" val="0"/>
        <cfvo type="num" val="6"/>
        <color rgb="FFA3B18A"/>
      </dataBar>
      <extLst>
        <ext xmlns:x14="http://schemas.microsoft.com/office/spreadsheetml/2009/9/main" uri="{B025F937-C7B1-47D3-B67F-A62EFF666E3E}">
          <x14:id>{48502CD9-7082-464A-B041-4A1DB2B37C8B}</x14:id>
        </ext>
      </extLst>
    </cfRule>
  </conditionalFormatting>
  <dataValidations count="5">
    <dataValidation allowBlank="true" error="Valor inválido." errorStyle="stop" operator="greaterThan" showDropDown="false" showErrorMessage="true" showInputMessage="false" sqref="A7:A506" type="date">
      <formula1>36526</formula1>
      <formula2>0</formula2>
    </dataValidation>
    <dataValidation allowBlank="true" error="Valor inválido." errorStyle="stop" operator="between" showDropDown="false" showErrorMessage="true" showInputMessage="false" sqref="B7:B506" type="list">
      <formula1>Listas!$E$6:$E$10</formula1>
      <formula2>0</formula2>
    </dataValidation>
    <dataValidation allowBlank="true" errorStyle="stop" operator="between" prompt="Escolha na seta ou digite exatamente o nome cadastrado na aba da categoria." promptTitle="Curso / Livro" showDropDown="false" showErrorMessage="false" showInputMessage="true" sqref="C7:C506" type="list">
      <formula1>Apoio!$P$5:$P$204</formula1>
      <formula2>0</formula2>
    </dataValidation>
    <dataValidation allowBlank="true" error="Valor inválido." errorStyle="stop" operator="between" showDropDown="false" showErrorMessage="true" showInputMessage="false" sqref="D7:D506" type="decimal">
      <formula1>0</formula1>
      <formula2>24</formula2>
    </dataValidation>
    <dataValidation allowBlank="true" error="Valor inválido." errorStyle="stop" operator="between" showDropDown="false" showErrorMessage="true" showInputMessage="false" sqref="F7:F506" type="whole">
      <formula1>1</formula1>
      <formula2>5</formula2>
    </dataValidation>
  </dataValidations>
  <hyperlinks>
    <hyperlink ref="D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502CD9-7082-464A-B041-4A1DB2B37C8B}">
            <x14:dataBar minLength="10" maxLength="90" axisPosition="none" gradient="true">
              <x14:cfvo type="num">
                <xm:f>0</xm:f>
              </x14:cfvo>
              <x14:cfvo type="num">
                <xm:f>6</xm:f>
              </x14:cfvo>
              <x14:negativeFillColor rgb="FFA3B18A"/>
              <x14:axisColor rgb="FF000000"/>
            </x14:dataBar>
          </x14:cfRule>
          <xm:sqref>D7:D506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Y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6"/>
    <col collapsed="false" customWidth="true" hidden="false" outlineLevel="0" max="23" min="23" style="0" width="22"/>
    <col collapsed="false" customWidth="true" hidden="false" outlineLevel="0" max="24" min="24" style="0" width="30"/>
    <col collapsed="false" customWidth="true" hidden="false" outlineLevel="0" max="25" min="25" style="0" width="36"/>
  </cols>
  <sheetData>
    <row r="1" customFormat="false" ht="37.5" hidden="false" customHeight="true" outlineLevel="0" collapsed="false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customFormat="false" ht="19.5" hidden="false" customHeight="true" outlineLevel="0" collapsed="false">
      <c r="A2" s="21" t="s">
        <v>158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 t="s">
        <v>57</v>
      </c>
      <c r="X2" s="22"/>
      <c r="Y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159</v>
      </c>
      <c r="C5" s="23"/>
      <c r="D5" s="23" t="s">
        <v>59</v>
      </c>
      <c r="E5" s="23"/>
      <c r="F5" s="23" t="s">
        <v>60</v>
      </c>
      <c r="G5" s="23"/>
      <c r="H5" s="23" t="s">
        <v>160</v>
      </c>
      <c r="I5" s="23"/>
      <c r="J5" s="23" t="s">
        <v>62</v>
      </c>
      <c r="K5" s="23"/>
      <c r="L5" s="23" t="s">
        <v>161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COUNTIF(S10:S49,"Em andamento")</f>
        <v>1</v>
      </c>
      <c r="E6" s="24"/>
      <c r="F6" s="24" t="n">
        <f aca="false">COUNTIF(S10:S49,"Concluído")</f>
        <v>0</v>
      </c>
      <c r="G6" s="24"/>
      <c r="H6" s="25" t="n">
        <f aca="false">SUM(F10:F49)</f>
        <v>12600</v>
      </c>
      <c r="I6" s="25"/>
      <c r="J6" s="26" t="n">
        <f aca="false">IFERROR(AVERAGE(N10:N49),0)</f>
        <v>0.1</v>
      </c>
      <c r="K6" s="26"/>
      <c r="L6" s="24" t="n">
        <f aca="false">COUNTIF(K10:K49,"*A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7" t="s">
        <v>162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customFormat="false" ht="36" hidden="false" customHeight="true" outlineLevel="0" collapsed="false">
      <c r="A9" s="99" t="s">
        <v>163</v>
      </c>
      <c r="B9" s="34" t="s">
        <v>164</v>
      </c>
      <c r="C9" s="34" t="s">
        <v>165</v>
      </c>
      <c r="D9" s="34" t="s">
        <v>166</v>
      </c>
      <c r="E9" s="34" t="s">
        <v>167</v>
      </c>
      <c r="F9" s="34" t="s">
        <v>168</v>
      </c>
      <c r="G9" s="34" t="s">
        <v>169</v>
      </c>
      <c r="H9" s="34" t="s">
        <v>170</v>
      </c>
      <c r="I9" s="34" t="s">
        <v>171</v>
      </c>
      <c r="J9" s="99" t="s">
        <v>172</v>
      </c>
      <c r="K9" s="99" t="s">
        <v>173</v>
      </c>
      <c r="L9" s="34" t="s">
        <v>174</v>
      </c>
      <c r="M9" s="34" t="s">
        <v>175</v>
      </c>
      <c r="N9" s="99" t="s">
        <v>176</v>
      </c>
      <c r="O9" s="99" t="s">
        <v>177</v>
      </c>
      <c r="P9" s="99" t="s">
        <v>178</v>
      </c>
      <c r="Q9" s="99" t="s">
        <v>179</v>
      </c>
      <c r="R9" s="99" t="s">
        <v>180</v>
      </c>
      <c r="S9" s="34" t="s">
        <v>109</v>
      </c>
      <c r="T9" s="34" t="s">
        <v>181</v>
      </c>
      <c r="U9" s="34" t="s">
        <v>182</v>
      </c>
      <c r="V9" s="34" t="s">
        <v>183</v>
      </c>
      <c r="W9" s="34" t="s">
        <v>184</v>
      </c>
      <c r="X9" s="34" t="s">
        <v>185</v>
      </c>
      <c r="Y9" s="34" t="s">
        <v>186</v>
      </c>
    </row>
    <row r="10" customFormat="false" ht="21.75" hidden="false" customHeight="true" outlineLevel="0" collapsed="false">
      <c r="A10" s="58" t="str">
        <f aca="false">IF($B10="","","PG-"&amp;TEXT(ROW()-9,"00"))</f>
        <v>PG-01</v>
      </c>
      <c r="B10" s="13" t="s">
        <v>152</v>
      </c>
      <c r="C10" s="13" t="s">
        <v>187</v>
      </c>
      <c r="D10" s="81" t="s">
        <v>188</v>
      </c>
      <c r="E10" s="52" t="n">
        <v>46244</v>
      </c>
      <c r="F10" s="37" t="n">
        <v>12600</v>
      </c>
      <c r="G10" s="52" t="n">
        <v>46266</v>
      </c>
      <c r="H10" s="52" t="n">
        <v>46813</v>
      </c>
      <c r="I10" s="52" t="n">
        <v>46997</v>
      </c>
      <c r="J10" s="100" t="n">
        <f aca="true">IF(OR($B10="",$I10=""),"",$I10-TODAY())</f>
        <v>699</v>
      </c>
      <c r="K10" s="101" t="str">
        <f aca="false">IF($B10="","",IF($I10="","∞ Vitalício",IF($J10&lt;0,"■ Vencido",IF($J10&lt;=Listas!$H$6,"▲ A vencer","● Ativo"))))</f>
        <v>● Ativo</v>
      </c>
      <c r="L10" s="102" t="n">
        <v>20</v>
      </c>
      <c r="M10" s="102" t="n">
        <v>2</v>
      </c>
      <c r="N10" s="43" t="n">
        <f aca="false">IF($B10="","",IF(N($L10)=0,0,MIN(1,N($M10)/$L10)))</f>
        <v>0.1</v>
      </c>
      <c r="O10" s="63" t="n">
        <f aca="false">IF($B10="","",SUMIFS('Diário de Estudo'!$D$7:$D$506,'Diário de Estudo'!$C$7:$C$506,$B10))</f>
        <v>2</v>
      </c>
      <c r="P10" s="103" t="n">
        <f aca="false">IF($B10="","",IF(AND(N($O10)&gt;0,N($F10)&gt;0),$F10/$O10,""))</f>
        <v>6300</v>
      </c>
      <c r="Q10" s="60" t="n">
        <f aca="true">IF($B10="","",IF(OR(N($L10)=0,$G10=""),"",IF(N($M10)&gt;=$L10,"Concluído",IF(OR(N($M10)&lt;=0,TODAY()&lt;=$G10),"Sem ritmo",TODAY()+ROUNDUP(($L10-$M10)/($M10/(TODAY()-$G10)),0)))))</f>
        <v>46586</v>
      </c>
      <c r="R10" s="101" t="str">
        <f aca="false">IF($B10="","",IF(ISNUMBER($Q10),IF(AND(ISNUMBER($I10),$Q10&gt;$I10),"■ Estoura o acesso",IF(AND(ISNUMBER($H10),$Q10&gt;$H10),"▲ Atrasado vs plano","● No prazo")),IF($Q10="Concluído","◆ Concluído","—")))</f>
        <v>● No prazo</v>
      </c>
      <c r="S10" s="81" t="s">
        <v>41</v>
      </c>
      <c r="T10" s="81" t="s">
        <v>189</v>
      </c>
      <c r="U10" s="81" t="s">
        <v>190</v>
      </c>
      <c r="V10" s="13" t="s">
        <v>191</v>
      </c>
      <c r="W10" s="13" t="s">
        <v>192</v>
      </c>
      <c r="X10" s="13" t="s">
        <v>193</v>
      </c>
      <c r="Y10" s="11" t="s">
        <v>194</v>
      </c>
    </row>
    <row r="11" customFormat="false" ht="21.75" hidden="false" customHeight="true" outlineLevel="0" collapsed="false">
      <c r="A11" s="58" t="str">
        <f aca="false">IF($B11="","","PG-"&amp;TEXT(ROW()-9,"00"))</f>
        <v/>
      </c>
      <c r="B11" s="13"/>
      <c r="C11" s="13"/>
      <c r="D11" s="81"/>
      <c r="E11" s="52"/>
      <c r="F11" s="37"/>
      <c r="G11" s="52"/>
      <c r="H11" s="52"/>
      <c r="I11" s="52"/>
      <c r="J11" s="100" t="str">
        <f aca="true">IF(OR($B11="",$I11=""),"",$I11-TODAY())</f>
        <v/>
      </c>
      <c r="K11" s="101" t="str">
        <f aca="false">IF($B11="","",IF($I11="","∞ Vitalício",IF($J11&lt;0,"■ Vencido",IF($J11&lt;=Listas!$H$6,"▲ A vencer","● Ativo"))))</f>
        <v/>
      </c>
      <c r="L11" s="102"/>
      <c r="M11" s="102"/>
      <c r="N11" s="43" t="str">
        <f aca="false">IF($B11="","",IF(N($L11)=0,0,MIN(1,N($M11)/$L11)))</f>
        <v/>
      </c>
      <c r="O11" s="63" t="str">
        <f aca="false">IF($B11="","",SUMIFS('Diário de Estudo'!$D$7:$D$506,'Diário de Estudo'!$C$7:$C$506,$B11))</f>
        <v/>
      </c>
      <c r="P11" s="103" t="str">
        <f aca="false">IF($B11="","",IF(AND(N($O11)&gt;0,N($F11)&gt;0),$F11/$O11,""))</f>
        <v/>
      </c>
      <c r="Q11" s="60" t="str">
        <f aca="true">IF($B11="","",IF(OR(N($L11)=0,$G11=""),"",IF(N($M11)&gt;=$L11,"Concluído",IF(OR(N($M11)&lt;=0,TODAY()&lt;=$G11),"Sem ritmo",TODAY()+ROUNDUP(($L11-$M11)/($M11/(TODAY()-$G11)),0)))))</f>
        <v/>
      </c>
      <c r="R11" s="101" t="str">
        <f aca="false">IF($B11="","",IF(ISNUMBER($Q11),IF(AND(ISNUMBER($I11),$Q11&gt;$I11),"■ Estoura o acesso",IF(AND(ISNUMBER($H11),$Q11&gt;$H11),"▲ Atrasado vs plano","● No prazo")),IF($Q11="Concluído","◆ Concluído","—")))</f>
        <v/>
      </c>
      <c r="S11" s="81"/>
      <c r="T11" s="81"/>
      <c r="U11" s="81"/>
      <c r="V11" s="13"/>
      <c r="W11" s="13"/>
      <c r="X11" s="13"/>
      <c r="Y11" s="11"/>
    </row>
    <row r="12" customFormat="false" ht="21.75" hidden="false" customHeight="true" outlineLevel="0" collapsed="false">
      <c r="A12" s="58" t="str">
        <f aca="false">IF($B12="","","PG-"&amp;TEXT(ROW()-9,"00"))</f>
        <v/>
      </c>
      <c r="B12" s="13"/>
      <c r="C12" s="13"/>
      <c r="D12" s="81"/>
      <c r="E12" s="52"/>
      <c r="F12" s="37"/>
      <c r="G12" s="52"/>
      <c r="H12" s="52"/>
      <c r="I12" s="52"/>
      <c r="J12" s="100" t="str">
        <f aca="true">IF(OR($B12="",$I12=""),"",$I12-TODAY())</f>
        <v/>
      </c>
      <c r="K12" s="101" t="str">
        <f aca="false">IF($B12="","",IF($I12="","∞ Vitalício",IF($J12&lt;0,"■ Vencido",IF($J12&lt;=Listas!$H$6,"▲ A vencer","● Ativo"))))</f>
        <v/>
      </c>
      <c r="L12" s="102"/>
      <c r="M12" s="102"/>
      <c r="N12" s="43" t="str">
        <f aca="false">IF($B12="","",IF(N($L12)=0,0,MIN(1,N($M12)/$L12)))</f>
        <v/>
      </c>
      <c r="O12" s="63" t="str">
        <f aca="false">IF($B12="","",SUMIFS('Diário de Estudo'!$D$7:$D$506,'Diário de Estudo'!$C$7:$C$506,$B12))</f>
        <v/>
      </c>
      <c r="P12" s="103" t="str">
        <f aca="false">IF($B12="","",IF(AND(N($O12)&gt;0,N($F12)&gt;0),$F12/$O12,""))</f>
        <v/>
      </c>
      <c r="Q12" s="60" t="str">
        <f aca="true">IF($B12="","",IF(OR(N($L12)=0,$G12=""),"",IF(N($M12)&gt;=$L12,"Concluído",IF(OR(N($M12)&lt;=0,TODAY()&lt;=$G12),"Sem ritmo",TODAY()+ROUNDUP(($L12-$M12)/($M12/(TODAY()-$G12)),0)))))</f>
        <v/>
      </c>
      <c r="R12" s="101" t="str">
        <f aca="false">IF($B12="","",IF(ISNUMBER($Q12),IF(AND(ISNUMBER($I12),$Q12&gt;$I12),"■ Estoura o acesso",IF(AND(ISNUMBER($H12),$Q12&gt;$H12),"▲ Atrasado vs plano","● No prazo")),IF($Q12="Concluído","◆ Concluído","—")))</f>
        <v/>
      </c>
      <c r="S12" s="81"/>
      <c r="T12" s="81"/>
      <c r="U12" s="81"/>
      <c r="V12" s="13"/>
      <c r="W12" s="13"/>
      <c r="X12" s="13"/>
      <c r="Y12" s="11"/>
    </row>
    <row r="13" customFormat="false" ht="21.75" hidden="false" customHeight="true" outlineLevel="0" collapsed="false">
      <c r="A13" s="58" t="str">
        <f aca="false">IF($B13="","","PG-"&amp;TEXT(ROW()-9,"00"))</f>
        <v/>
      </c>
      <c r="B13" s="13"/>
      <c r="C13" s="13"/>
      <c r="D13" s="81"/>
      <c r="E13" s="52"/>
      <c r="F13" s="37"/>
      <c r="G13" s="52"/>
      <c r="H13" s="52"/>
      <c r="I13" s="52"/>
      <c r="J13" s="100" t="str">
        <f aca="true">IF(OR($B13="",$I13=""),"",$I13-TODAY())</f>
        <v/>
      </c>
      <c r="K13" s="101" t="str">
        <f aca="false">IF($B13="","",IF($I13="","∞ Vitalício",IF($J13&lt;0,"■ Vencido",IF($J13&lt;=Listas!$H$6,"▲ A vencer","● Ativo"))))</f>
        <v/>
      </c>
      <c r="L13" s="102"/>
      <c r="M13" s="102"/>
      <c r="N13" s="43" t="str">
        <f aca="false">IF($B13="","",IF(N($L13)=0,0,MIN(1,N($M13)/$L13)))</f>
        <v/>
      </c>
      <c r="O13" s="63" t="str">
        <f aca="false">IF($B13="","",SUMIFS('Diário de Estudo'!$D$7:$D$506,'Diário de Estudo'!$C$7:$C$506,$B13))</f>
        <v/>
      </c>
      <c r="P13" s="103" t="str">
        <f aca="false">IF($B13="","",IF(AND(N($O13)&gt;0,N($F13)&gt;0),$F13/$O13,""))</f>
        <v/>
      </c>
      <c r="Q13" s="60" t="str">
        <f aca="true">IF($B13="","",IF(OR(N($L13)=0,$G13=""),"",IF(N($M13)&gt;=$L13,"Concluído",IF(OR(N($M13)&lt;=0,TODAY()&lt;=$G13),"Sem ritmo",TODAY()+ROUNDUP(($L13-$M13)/($M13/(TODAY()-$G13)),0)))))</f>
        <v/>
      </c>
      <c r="R13" s="101" t="str">
        <f aca="false">IF($B13="","",IF(ISNUMBER($Q13),IF(AND(ISNUMBER($I13),$Q13&gt;$I13),"■ Estoura o acesso",IF(AND(ISNUMBER($H13),$Q13&gt;$H13),"▲ Atrasado vs plano","● No prazo")),IF($Q13="Concluído","◆ Concluído","—")))</f>
        <v/>
      </c>
      <c r="S13" s="81"/>
      <c r="T13" s="81"/>
      <c r="U13" s="81"/>
      <c r="V13" s="13"/>
      <c r="W13" s="13"/>
      <c r="X13" s="13"/>
      <c r="Y13" s="11"/>
    </row>
    <row r="14" customFormat="false" ht="21.75" hidden="false" customHeight="true" outlineLevel="0" collapsed="false">
      <c r="A14" s="58" t="str">
        <f aca="false">IF($B14="","","PG-"&amp;TEXT(ROW()-9,"00"))</f>
        <v/>
      </c>
      <c r="B14" s="13"/>
      <c r="C14" s="13"/>
      <c r="D14" s="81"/>
      <c r="E14" s="52"/>
      <c r="F14" s="37"/>
      <c r="G14" s="52"/>
      <c r="H14" s="52"/>
      <c r="I14" s="52"/>
      <c r="J14" s="100" t="str">
        <f aca="true">IF(OR($B14="",$I14=""),"",$I14-TODAY())</f>
        <v/>
      </c>
      <c r="K14" s="101" t="str">
        <f aca="false">IF($B14="","",IF($I14="","∞ Vitalício",IF($J14&lt;0,"■ Vencido",IF($J14&lt;=Listas!$H$6,"▲ A vencer","● Ativo"))))</f>
        <v/>
      </c>
      <c r="L14" s="102"/>
      <c r="M14" s="102"/>
      <c r="N14" s="43" t="str">
        <f aca="false">IF($B14="","",IF(N($L14)=0,0,MIN(1,N($M14)/$L14)))</f>
        <v/>
      </c>
      <c r="O14" s="63" t="str">
        <f aca="false">IF($B14="","",SUMIFS('Diário de Estudo'!$D$7:$D$506,'Diário de Estudo'!$C$7:$C$506,$B14))</f>
        <v/>
      </c>
      <c r="P14" s="103" t="str">
        <f aca="false">IF($B14="","",IF(AND(N($O14)&gt;0,N($F14)&gt;0),$F14/$O14,""))</f>
        <v/>
      </c>
      <c r="Q14" s="60" t="str">
        <f aca="true">IF($B14="","",IF(OR(N($L14)=0,$G14=""),"",IF(N($M14)&gt;=$L14,"Concluído",IF(OR(N($M14)&lt;=0,TODAY()&lt;=$G14),"Sem ritmo",TODAY()+ROUNDUP(($L14-$M14)/($M14/(TODAY()-$G14)),0)))))</f>
        <v/>
      </c>
      <c r="R14" s="101" t="str">
        <f aca="false">IF($B14="","",IF(ISNUMBER($Q14),IF(AND(ISNUMBER($I14),$Q14&gt;$I14),"■ Estoura o acesso",IF(AND(ISNUMBER($H14),$Q14&gt;$H14),"▲ Atrasado vs plano","● No prazo")),IF($Q14="Concluído","◆ Concluído","—")))</f>
        <v/>
      </c>
      <c r="S14" s="81"/>
      <c r="T14" s="81"/>
      <c r="U14" s="81"/>
      <c r="V14" s="13"/>
      <c r="W14" s="13"/>
      <c r="X14" s="13"/>
      <c r="Y14" s="11"/>
    </row>
    <row r="15" customFormat="false" ht="21.75" hidden="false" customHeight="true" outlineLevel="0" collapsed="false">
      <c r="A15" s="58" t="str">
        <f aca="false">IF($B15="","","PG-"&amp;TEXT(ROW()-9,"00"))</f>
        <v/>
      </c>
      <c r="B15" s="13"/>
      <c r="C15" s="13"/>
      <c r="D15" s="81"/>
      <c r="E15" s="52"/>
      <c r="F15" s="37"/>
      <c r="G15" s="52"/>
      <c r="H15" s="52"/>
      <c r="I15" s="52"/>
      <c r="J15" s="100" t="str">
        <f aca="true">IF(OR($B15="",$I15=""),"",$I15-TODAY())</f>
        <v/>
      </c>
      <c r="K15" s="101" t="str">
        <f aca="false">IF($B15="","",IF($I15="","∞ Vitalício",IF($J15&lt;0,"■ Vencido",IF($J15&lt;=Listas!$H$6,"▲ A vencer","● Ativo"))))</f>
        <v/>
      </c>
      <c r="L15" s="102"/>
      <c r="M15" s="102"/>
      <c r="N15" s="43" t="str">
        <f aca="false">IF($B15="","",IF(N($L15)=0,0,MIN(1,N($M15)/$L15)))</f>
        <v/>
      </c>
      <c r="O15" s="63" t="str">
        <f aca="false">IF($B15="","",SUMIFS('Diário de Estudo'!$D$7:$D$506,'Diário de Estudo'!$C$7:$C$506,$B15))</f>
        <v/>
      </c>
      <c r="P15" s="103" t="str">
        <f aca="false">IF($B15="","",IF(AND(N($O15)&gt;0,N($F15)&gt;0),$F15/$O15,""))</f>
        <v/>
      </c>
      <c r="Q15" s="60" t="str">
        <f aca="true">IF($B15="","",IF(OR(N($L15)=0,$G15=""),"",IF(N($M15)&gt;=$L15,"Concluído",IF(OR(N($M15)&lt;=0,TODAY()&lt;=$G15),"Sem ritmo",TODAY()+ROUNDUP(($L15-$M15)/($M15/(TODAY()-$G15)),0)))))</f>
        <v/>
      </c>
      <c r="R15" s="101" t="str">
        <f aca="false">IF($B15="","",IF(ISNUMBER($Q15),IF(AND(ISNUMBER($I15),$Q15&gt;$I15),"■ Estoura o acesso",IF(AND(ISNUMBER($H15),$Q15&gt;$H15),"▲ Atrasado vs plano","● No prazo")),IF($Q15="Concluído","◆ Concluído","—")))</f>
        <v/>
      </c>
      <c r="S15" s="81"/>
      <c r="T15" s="81"/>
      <c r="U15" s="81"/>
      <c r="V15" s="13"/>
      <c r="W15" s="13"/>
      <c r="X15" s="13"/>
      <c r="Y15" s="11"/>
    </row>
    <row r="16" customFormat="false" ht="21.75" hidden="false" customHeight="true" outlineLevel="0" collapsed="false">
      <c r="A16" s="58" t="str">
        <f aca="false">IF($B16="","","PG-"&amp;TEXT(ROW()-9,"00"))</f>
        <v/>
      </c>
      <c r="B16" s="13"/>
      <c r="C16" s="13"/>
      <c r="D16" s="81"/>
      <c r="E16" s="52"/>
      <c r="F16" s="37"/>
      <c r="G16" s="52"/>
      <c r="H16" s="52"/>
      <c r="I16" s="52"/>
      <c r="J16" s="100" t="str">
        <f aca="true">IF(OR($B16="",$I16=""),"",$I16-TODAY())</f>
        <v/>
      </c>
      <c r="K16" s="101" t="str">
        <f aca="false">IF($B16="","",IF($I16="","∞ Vitalício",IF($J16&lt;0,"■ Vencido",IF($J16&lt;=Listas!$H$6,"▲ A vencer","● Ativo"))))</f>
        <v/>
      </c>
      <c r="L16" s="102"/>
      <c r="M16" s="102"/>
      <c r="N16" s="43" t="str">
        <f aca="false">IF($B16="","",IF(N($L16)=0,0,MIN(1,N($M16)/$L16)))</f>
        <v/>
      </c>
      <c r="O16" s="63" t="str">
        <f aca="false">IF($B16="","",SUMIFS('Diário de Estudo'!$D$7:$D$506,'Diário de Estudo'!$C$7:$C$506,$B16))</f>
        <v/>
      </c>
      <c r="P16" s="103" t="str">
        <f aca="false">IF($B16="","",IF(AND(N($O16)&gt;0,N($F16)&gt;0),$F16/$O16,""))</f>
        <v/>
      </c>
      <c r="Q16" s="60" t="str">
        <f aca="true">IF($B16="","",IF(OR(N($L16)=0,$G16=""),"",IF(N($M16)&gt;=$L16,"Concluído",IF(OR(N($M16)&lt;=0,TODAY()&lt;=$G16),"Sem ritmo",TODAY()+ROUNDUP(($L16-$M16)/($M16/(TODAY()-$G16)),0)))))</f>
        <v/>
      </c>
      <c r="R16" s="101" t="str">
        <f aca="false">IF($B16="","",IF(ISNUMBER($Q16),IF(AND(ISNUMBER($I16),$Q16&gt;$I16),"■ Estoura o acesso",IF(AND(ISNUMBER($H16),$Q16&gt;$H16),"▲ Atrasado vs plano","● No prazo")),IF($Q16="Concluído","◆ Concluído","—")))</f>
        <v/>
      </c>
      <c r="S16" s="81"/>
      <c r="T16" s="81"/>
      <c r="U16" s="81"/>
      <c r="V16" s="13"/>
      <c r="W16" s="13"/>
      <c r="X16" s="13"/>
      <c r="Y16" s="11"/>
    </row>
    <row r="17" customFormat="false" ht="21.75" hidden="false" customHeight="true" outlineLevel="0" collapsed="false">
      <c r="A17" s="58" t="str">
        <f aca="false">IF($B17="","","PG-"&amp;TEXT(ROW()-9,"00"))</f>
        <v/>
      </c>
      <c r="B17" s="13"/>
      <c r="C17" s="13"/>
      <c r="D17" s="81"/>
      <c r="E17" s="52"/>
      <c r="F17" s="37"/>
      <c r="G17" s="52"/>
      <c r="H17" s="52"/>
      <c r="I17" s="52"/>
      <c r="J17" s="100" t="str">
        <f aca="true">IF(OR($B17="",$I17=""),"",$I17-TODAY())</f>
        <v/>
      </c>
      <c r="K17" s="101" t="str">
        <f aca="false">IF($B17="","",IF($I17="","∞ Vitalício",IF($J17&lt;0,"■ Vencido",IF($J17&lt;=Listas!$H$6,"▲ A vencer","● Ativo"))))</f>
        <v/>
      </c>
      <c r="L17" s="102"/>
      <c r="M17" s="102"/>
      <c r="N17" s="43" t="str">
        <f aca="false">IF($B17="","",IF(N($L17)=0,0,MIN(1,N($M17)/$L17)))</f>
        <v/>
      </c>
      <c r="O17" s="63" t="str">
        <f aca="false">IF($B17="","",SUMIFS('Diário de Estudo'!$D$7:$D$506,'Diário de Estudo'!$C$7:$C$506,$B17))</f>
        <v/>
      </c>
      <c r="P17" s="103" t="str">
        <f aca="false">IF($B17="","",IF(AND(N($O17)&gt;0,N($F17)&gt;0),$F17/$O17,""))</f>
        <v/>
      </c>
      <c r="Q17" s="60" t="str">
        <f aca="true">IF($B17="","",IF(OR(N($L17)=0,$G17=""),"",IF(N($M17)&gt;=$L17,"Concluído",IF(OR(N($M17)&lt;=0,TODAY()&lt;=$G17),"Sem ritmo",TODAY()+ROUNDUP(($L17-$M17)/($M17/(TODAY()-$G17)),0)))))</f>
        <v/>
      </c>
      <c r="R17" s="101" t="str">
        <f aca="false">IF($B17="","",IF(ISNUMBER($Q17),IF(AND(ISNUMBER($I17),$Q17&gt;$I17),"■ Estoura o acesso",IF(AND(ISNUMBER($H17),$Q17&gt;$H17),"▲ Atrasado vs plano","● No prazo")),IF($Q17="Concluído","◆ Concluído","—")))</f>
        <v/>
      </c>
      <c r="S17" s="81"/>
      <c r="T17" s="81"/>
      <c r="U17" s="81"/>
      <c r="V17" s="13"/>
      <c r="W17" s="13"/>
      <c r="X17" s="13"/>
      <c r="Y17" s="11"/>
    </row>
    <row r="18" customFormat="false" ht="21.75" hidden="false" customHeight="true" outlineLevel="0" collapsed="false">
      <c r="A18" s="58" t="str">
        <f aca="false">IF($B18="","","PG-"&amp;TEXT(ROW()-9,"00"))</f>
        <v/>
      </c>
      <c r="B18" s="13"/>
      <c r="C18" s="13"/>
      <c r="D18" s="81"/>
      <c r="E18" s="52"/>
      <c r="F18" s="37"/>
      <c r="G18" s="52"/>
      <c r="H18" s="52"/>
      <c r="I18" s="52"/>
      <c r="J18" s="100" t="str">
        <f aca="true">IF(OR($B18="",$I18=""),"",$I18-TODAY())</f>
        <v/>
      </c>
      <c r="K18" s="101" t="str">
        <f aca="false">IF($B18="","",IF($I18="","∞ Vitalício",IF($J18&lt;0,"■ Vencido",IF($J18&lt;=Listas!$H$6,"▲ A vencer","● Ativo"))))</f>
        <v/>
      </c>
      <c r="L18" s="102"/>
      <c r="M18" s="102"/>
      <c r="N18" s="43" t="str">
        <f aca="false">IF($B18="","",IF(N($L18)=0,0,MIN(1,N($M18)/$L18)))</f>
        <v/>
      </c>
      <c r="O18" s="63" t="str">
        <f aca="false">IF($B18="","",SUMIFS('Diário de Estudo'!$D$7:$D$506,'Diário de Estudo'!$C$7:$C$506,$B18))</f>
        <v/>
      </c>
      <c r="P18" s="103" t="str">
        <f aca="false">IF($B18="","",IF(AND(N($O18)&gt;0,N($F18)&gt;0),$F18/$O18,""))</f>
        <v/>
      </c>
      <c r="Q18" s="60" t="str">
        <f aca="true">IF($B18="","",IF(OR(N($L18)=0,$G18=""),"",IF(N($M18)&gt;=$L18,"Concluído",IF(OR(N($M18)&lt;=0,TODAY()&lt;=$G18),"Sem ritmo",TODAY()+ROUNDUP(($L18-$M18)/($M18/(TODAY()-$G18)),0)))))</f>
        <v/>
      </c>
      <c r="R18" s="101" t="str">
        <f aca="false">IF($B18="","",IF(ISNUMBER($Q18),IF(AND(ISNUMBER($I18),$Q18&gt;$I18),"■ Estoura o acesso",IF(AND(ISNUMBER($H18),$Q18&gt;$H18),"▲ Atrasado vs plano","● No prazo")),IF($Q18="Concluído","◆ Concluído","—")))</f>
        <v/>
      </c>
      <c r="S18" s="81"/>
      <c r="T18" s="81"/>
      <c r="U18" s="81"/>
      <c r="V18" s="13"/>
      <c r="W18" s="13"/>
      <c r="X18" s="13"/>
      <c r="Y18" s="11"/>
    </row>
    <row r="19" customFormat="false" ht="21.75" hidden="false" customHeight="true" outlineLevel="0" collapsed="false">
      <c r="A19" s="58" t="str">
        <f aca="false">IF($B19="","","PG-"&amp;TEXT(ROW()-9,"00"))</f>
        <v/>
      </c>
      <c r="B19" s="13"/>
      <c r="C19" s="13"/>
      <c r="D19" s="81"/>
      <c r="E19" s="52"/>
      <c r="F19" s="37"/>
      <c r="G19" s="52"/>
      <c r="H19" s="52"/>
      <c r="I19" s="52"/>
      <c r="J19" s="100" t="str">
        <f aca="true">IF(OR($B19="",$I19=""),"",$I19-TODAY())</f>
        <v/>
      </c>
      <c r="K19" s="101" t="str">
        <f aca="false">IF($B19="","",IF($I19="","∞ Vitalício",IF($J19&lt;0,"■ Vencido",IF($J19&lt;=Listas!$H$6,"▲ A vencer","● Ativo"))))</f>
        <v/>
      </c>
      <c r="L19" s="102"/>
      <c r="M19" s="102"/>
      <c r="N19" s="43" t="str">
        <f aca="false">IF($B19="","",IF(N($L19)=0,0,MIN(1,N($M19)/$L19)))</f>
        <v/>
      </c>
      <c r="O19" s="63" t="str">
        <f aca="false">IF($B19="","",SUMIFS('Diário de Estudo'!$D$7:$D$506,'Diário de Estudo'!$C$7:$C$506,$B19))</f>
        <v/>
      </c>
      <c r="P19" s="103" t="str">
        <f aca="false">IF($B19="","",IF(AND(N($O19)&gt;0,N($F19)&gt;0),$F19/$O19,""))</f>
        <v/>
      </c>
      <c r="Q19" s="60" t="str">
        <f aca="true">IF($B19="","",IF(OR(N($L19)=0,$G19=""),"",IF(N($M19)&gt;=$L19,"Concluído",IF(OR(N($M19)&lt;=0,TODAY()&lt;=$G19),"Sem ritmo",TODAY()+ROUNDUP(($L19-$M19)/($M19/(TODAY()-$G19)),0)))))</f>
        <v/>
      </c>
      <c r="R19" s="101" t="str">
        <f aca="false">IF($B19="","",IF(ISNUMBER($Q19),IF(AND(ISNUMBER($I19),$Q19&gt;$I19),"■ Estoura o acesso",IF(AND(ISNUMBER($H19),$Q19&gt;$H19),"▲ Atrasado vs plano","● No prazo")),IF($Q19="Concluído","◆ Concluído","—")))</f>
        <v/>
      </c>
      <c r="S19" s="81"/>
      <c r="T19" s="81"/>
      <c r="U19" s="81"/>
      <c r="V19" s="13"/>
      <c r="W19" s="13"/>
      <c r="X19" s="13"/>
      <c r="Y19" s="11"/>
    </row>
    <row r="20" customFormat="false" ht="21.75" hidden="false" customHeight="true" outlineLevel="0" collapsed="false">
      <c r="A20" s="58" t="str">
        <f aca="false">IF($B20="","","PG-"&amp;TEXT(ROW()-9,"00"))</f>
        <v/>
      </c>
      <c r="B20" s="13"/>
      <c r="C20" s="13"/>
      <c r="D20" s="81"/>
      <c r="E20" s="52"/>
      <c r="F20" s="37"/>
      <c r="G20" s="52"/>
      <c r="H20" s="52"/>
      <c r="I20" s="52"/>
      <c r="J20" s="100" t="str">
        <f aca="true">IF(OR($B20="",$I20=""),"",$I20-TODAY())</f>
        <v/>
      </c>
      <c r="K20" s="101" t="str">
        <f aca="false">IF($B20="","",IF($I20="","∞ Vitalício",IF($J20&lt;0,"■ Vencido",IF($J20&lt;=Listas!$H$6,"▲ A vencer","● Ativo"))))</f>
        <v/>
      </c>
      <c r="L20" s="102"/>
      <c r="M20" s="102"/>
      <c r="N20" s="43" t="str">
        <f aca="false">IF($B20="","",IF(N($L20)=0,0,MIN(1,N($M20)/$L20)))</f>
        <v/>
      </c>
      <c r="O20" s="63" t="str">
        <f aca="false">IF($B20="","",SUMIFS('Diário de Estudo'!$D$7:$D$506,'Diário de Estudo'!$C$7:$C$506,$B20))</f>
        <v/>
      </c>
      <c r="P20" s="103" t="str">
        <f aca="false">IF($B20="","",IF(AND(N($O20)&gt;0,N($F20)&gt;0),$F20/$O20,""))</f>
        <v/>
      </c>
      <c r="Q20" s="60" t="str">
        <f aca="true">IF($B20="","",IF(OR(N($L20)=0,$G20=""),"",IF(N($M20)&gt;=$L20,"Concluído",IF(OR(N($M20)&lt;=0,TODAY()&lt;=$G20),"Sem ritmo",TODAY()+ROUNDUP(($L20-$M20)/($M20/(TODAY()-$G20)),0)))))</f>
        <v/>
      </c>
      <c r="R20" s="101" t="str">
        <f aca="false">IF($B20="","",IF(ISNUMBER($Q20),IF(AND(ISNUMBER($I20),$Q20&gt;$I20),"■ Estoura o acesso",IF(AND(ISNUMBER($H20),$Q20&gt;$H20),"▲ Atrasado vs plano","● No prazo")),IF($Q20="Concluído","◆ Concluído","—")))</f>
        <v/>
      </c>
      <c r="S20" s="81"/>
      <c r="T20" s="81"/>
      <c r="U20" s="81"/>
      <c r="V20" s="13"/>
      <c r="W20" s="13"/>
      <c r="X20" s="13"/>
      <c r="Y20" s="11"/>
    </row>
    <row r="21" customFormat="false" ht="21.75" hidden="false" customHeight="true" outlineLevel="0" collapsed="false">
      <c r="A21" s="58" t="str">
        <f aca="false">IF($B21="","","PG-"&amp;TEXT(ROW()-9,"00"))</f>
        <v/>
      </c>
      <c r="B21" s="13"/>
      <c r="C21" s="13"/>
      <c r="D21" s="81"/>
      <c r="E21" s="52"/>
      <c r="F21" s="37"/>
      <c r="G21" s="52"/>
      <c r="H21" s="52"/>
      <c r="I21" s="52"/>
      <c r="J21" s="100" t="str">
        <f aca="true">IF(OR($B21="",$I21=""),"",$I21-TODAY())</f>
        <v/>
      </c>
      <c r="K21" s="101" t="str">
        <f aca="false">IF($B21="","",IF($I21="","∞ Vitalício",IF($J21&lt;0,"■ Vencido",IF($J21&lt;=Listas!$H$6,"▲ A vencer","● Ativo"))))</f>
        <v/>
      </c>
      <c r="L21" s="102"/>
      <c r="M21" s="102"/>
      <c r="N21" s="43" t="str">
        <f aca="false">IF($B21="","",IF(N($L21)=0,0,MIN(1,N($M21)/$L21)))</f>
        <v/>
      </c>
      <c r="O21" s="63" t="str">
        <f aca="false">IF($B21="","",SUMIFS('Diário de Estudo'!$D$7:$D$506,'Diário de Estudo'!$C$7:$C$506,$B21))</f>
        <v/>
      </c>
      <c r="P21" s="103" t="str">
        <f aca="false">IF($B21="","",IF(AND(N($O21)&gt;0,N($F21)&gt;0),$F21/$O21,""))</f>
        <v/>
      </c>
      <c r="Q21" s="60" t="str">
        <f aca="true">IF($B21="","",IF(OR(N($L21)=0,$G21=""),"",IF(N($M21)&gt;=$L21,"Concluído",IF(OR(N($M21)&lt;=0,TODAY()&lt;=$G21),"Sem ritmo",TODAY()+ROUNDUP(($L21-$M21)/($M21/(TODAY()-$G21)),0)))))</f>
        <v/>
      </c>
      <c r="R21" s="101" t="str">
        <f aca="false">IF($B21="","",IF(ISNUMBER($Q21),IF(AND(ISNUMBER($I21),$Q21&gt;$I21),"■ Estoura o acesso",IF(AND(ISNUMBER($H21),$Q21&gt;$H21),"▲ Atrasado vs plano","● No prazo")),IF($Q21="Concluído","◆ Concluído","—")))</f>
        <v/>
      </c>
      <c r="S21" s="81"/>
      <c r="T21" s="81"/>
      <c r="U21" s="81"/>
      <c r="V21" s="13"/>
      <c r="W21" s="13"/>
      <c r="X21" s="13"/>
      <c r="Y21" s="11"/>
    </row>
    <row r="22" customFormat="false" ht="21.75" hidden="false" customHeight="true" outlineLevel="0" collapsed="false">
      <c r="A22" s="58" t="str">
        <f aca="false">IF($B22="","","PG-"&amp;TEXT(ROW()-9,"00"))</f>
        <v/>
      </c>
      <c r="B22" s="13"/>
      <c r="C22" s="13"/>
      <c r="D22" s="81"/>
      <c r="E22" s="52"/>
      <c r="F22" s="37"/>
      <c r="G22" s="52"/>
      <c r="H22" s="52"/>
      <c r="I22" s="52"/>
      <c r="J22" s="100" t="str">
        <f aca="true">IF(OR($B22="",$I22=""),"",$I22-TODAY())</f>
        <v/>
      </c>
      <c r="K22" s="101" t="str">
        <f aca="false">IF($B22="","",IF($I22="","∞ Vitalício",IF($J22&lt;0,"■ Vencido",IF($J22&lt;=Listas!$H$6,"▲ A vencer","● Ativo"))))</f>
        <v/>
      </c>
      <c r="L22" s="102"/>
      <c r="M22" s="102"/>
      <c r="N22" s="43" t="str">
        <f aca="false">IF($B22="","",IF(N($L22)=0,0,MIN(1,N($M22)/$L22)))</f>
        <v/>
      </c>
      <c r="O22" s="63" t="str">
        <f aca="false">IF($B22="","",SUMIFS('Diário de Estudo'!$D$7:$D$506,'Diário de Estudo'!$C$7:$C$506,$B22))</f>
        <v/>
      </c>
      <c r="P22" s="103" t="str">
        <f aca="false">IF($B22="","",IF(AND(N($O22)&gt;0,N($F22)&gt;0),$F22/$O22,""))</f>
        <v/>
      </c>
      <c r="Q22" s="60" t="str">
        <f aca="true">IF($B22="","",IF(OR(N($L22)=0,$G22=""),"",IF(N($M22)&gt;=$L22,"Concluído",IF(OR(N($M22)&lt;=0,TODAY()&lt;=$G22),"Sem ritmo",TODAY()+ROUNDUP(($L22-$M22)/($M22/(TODAY()-$G22)),0)))))</f>
        <v/>
      </c>
      <c r="R22" s="101" t="str">
        <f aca="false">IF($B22="","",IF(ISNUMBER($Q22),IF(AND(ISNUMBER($I22),$Q22&gt;$I22),"■ Estoura o acesso",IF(AND(ISNUMBER($H22),$Q22&gt;$H22),"▲ Atrasado vs plano","● No prazo")),IF($Q22="Concluído","◆ Concluído","—")))</f>
        <v/>
      </c>
      <c r="S22" s="81"/>
      <c r="T22" s="81"/>
      <c r="U22" s="81"/>
      <c r="V22" s="13"/>
      <c r="W22" s="13"/>
      <c r="X22" s="13"/>
      <c r="Y22" s="11"/>
    </row>
    <row r="23" customFormat="false" ht="21.75" hidden="false" customHeight="true" outlineLevel="0" collapsed="false">
      <c r="A23" s="58" t="str">
        <f aca="false">IF($B23="","","PG-"&amp;TEXT(ROW()-9,"00"))</f>
        <v/>
      </c>
      <c r="B23" s="13"/>
      <c r="C23" s="13"/>
      <c r="D23" s="81"/>
      <c r="E23" s="52"/>
      <c r="F23" s="37"/>
      <c r="G23" s="52"/>
      <c r="H23" s="52"/>
      <c r="I23" s="52"/>
      <c r="J23" s="100" t="str">
        <f aca="true">IF(OR($B23="",$I23=""),"",$I23-TODAY())</f>
        <v/>
      </c>
      <c r="K23" s="101" t="str">
        <f aca="false">IF($B23="","",IF($I23="","∞ Vitalício",IF($J23&lt;0,"■ Vencido",IF($J23&lt;=Listas!$H$6,"▲ A vencer","● Ativo"))))</f>
        <v/>
      </c>
      <c r="L23" s="102"/>
      <c r="M23" s="102"/>
      <c r="N23" s="43" t="str">
        <f aca="false">IF($B23="","",IF(N($L23)=0,0,MIN(1,N($M23)/$L23)))</f>
        <v/>
      </c>
      <c r="O23" s="63" t="str">
        <f aca="false">IF($B23="","",SUMIFS('Diário de Estudo'!$D$7:$D$506,'Diário de Estudo'!$C$7:$C$506,$B23))</f>
        <v/>
      </c>
      <c r="P23" s="103" t="str">
        <f aca="false">IF($B23="","",IF(AND(N($O23)&gt;0,N($F23)&gt;0),$F23/$O23,""))</f>
        <v/>
      </c>
      <c r="Q23" s="60" t="str">
        <f aca="true">IF($B23="","",IF(OR(N($L23)=0,$G23=""),"",IF(N($M23)&gt;=$L23,"Concluído",IF(OR(N($M23)&lt;=0,TODAY()&lt;=$G23),"Sem ritmo",TODAY()+ROUNDUP(($L23-$M23)/($M23/(TODAY()-$G23)),0)))))</f>
        <v/>
      </c>
      <c r="R23" s="101" t="str">
        <f aca="false">IF($B23="","",IF(ISNUMBER($Q23),IF(AND(ISNUMBER($I23),$Q23&gt;$I23),"■ Estoura o acesso",IF(AND(ISNUMBER($H23),$Q23&gt;$H23),"▲ Atrasado vs plano","● No prazo")),IF($Q23="Concluído","◆ Concluído","—")))</f>
        <v/>
      </c>
      <c r="S23" s="81"/>
      <c r="T23" s="81"/>
      <c r="U23" s="81"/>
      <c r="V23" s="13"/>
      <c r="W23" s="13"/>
      <c r="X23" s="13"/>
      <c r="Y23" s="11"/>
    </row>
    <row r="24" customFormat="false" ht="21.75" hidden="false" customHeight="true" outlineLevel="0" collapsed="false">
      <c r="A24" s="58" t="str">
        <f aca="false">IF($B24="","","PG-"&amp;TEXT(ROW()-9,"00"))</f>
        <v/>
      </c>
      <c r="B24" s="13"/>
      <c r="C24" s="13"/>
      <c r="D24" s="81"/>
      <c r="E24" s="52"/>
      <c r="F24" s="37"/>
      <c r="G24" s="52"/>
      <c r="H24" s="52"/>
      <c r="I24" s="52"/>
      <c r="J24" s="100" t="str">
        <f aca="true">IF(OR($B24="",$I24=""),"",$I24-TODAY())</f>
        <v/>
      </c>
      <c r="K24" s="101" t="str">
        <f aca="false">IF($B24="","",IF($I24="","∞ Vitalício",IF($J24&lt;0,"■ Vencido",IF($J24&lt;=Listas!$H$6,"▲ A vencer","● Ativo"))))</f>
        <v/>
      </c>
      <c r="L24" s="102"/>
      <c r="M24" s="102"/>
      <c r="N24" s="43" t="str">
        <f aca="false">IF($B24="","",IF(N($L24)=0,0,MIN(1,N($M24)/$L24)))</f>
        <v/>
      </c>
      <c r="O24" s="63" t="str">
        <f aca="false">IF($B24="","",SUMIFS('Diário de Estudo'!$D$7:$D$506,'Diário de Estudo'!$C$7:$C$506,$B24))</f>
        <v/>
      </c>
      <c r="P24" s="103" t="str">
        <f aca="false">IF($B24="","",IF(AND(N($O24)&gt;0,N($F24)&gt;0),$F24/$O24,""))</f>
        <v/>
      </c>
      <c r="Q24" s="60" t="str">
        <f aca="true">IF($B24="","",IF(OR(N($L24)=0,$G24=""),"",IF(N($M24)&gt;=$L24,"Concluído",IF(OR(N($M24)&lt;=0,TODAY()&lt;=$G24),"Sem ritmo",TODAY()+ROUNDUP(($L24-$M24)/($M24/(TODAY()-$G24)),0)))))</f>
        <v/>
      </c>
      <c r="R24" s="101" t="str">
        <f aca="false">IF($B24="","",IF(ISNUMBER($Q24),IF(AND(ISNUMBER($I24),$Q24&gt;$I24),"■ Estoura o acesso",IF(AND(ISNUMBER($H24),$Q24&gt;$H24),"▲ Atrasado vs plano","● No prazo")),IF($Q24="Concluído","◆ Concluído","—")))</f>
        <v/>
      </c>
      <c r="S24" s="81"/>
      <c r="T24" s="81"/>
      <c r="U24" s="81"/>
      <c r="V24" s="13"/>
      <c r="W24" s="13"/>
      <c r="X24" s="13"/>
      <c r="Y24" s="11"/>
    </row>
    <row r="25" customFormat="false" ht="21.75" hidden="false" customHeight="true" outlineLevel="0" collapsed="false">
      <c r="A25" s="58" t="str">
        <f aca="false">IF($B25="","","PG-"&amp;TEXT(ROW()-9,"00"))</f>
        <v/>
      </c>
      <c r="B25" s="13"/>
      <c r="C25" s="13"/>
      <c r="D25" s="81"/>
      <c r="E25" s="52"/>
      <c r="F25" s="37"/>
      <c r="G25" s="52"/>
      <c r="H25" s="52"/>
      <c r="I25" s="52"/>
      <c r="J25" s="100" t="str">
        <f aca="true">IF(OR($B25="",$I25=""),"",$I25-TODAY())</f>
        <v/>
      </c>
      <c r="K25" s="101" t="str">
        <f aca="false">IF($B25="","",IF($I25="","∞ Vitalício",IF($J25&lt;0,"■ Vencido",IF($J25&lt;=Listas!$H$6,"▲ A vencer","● Ativo"))))</f>
        <v/>
      </c>
      <c r="L25" s="102"/>
      <c r="M25" s="102"/>
      <c r="N25" s="43" t="str">
        <f aca="false">IF($B25="","",IF(N($L25)=0,0,MIN(1,N($M25)/$L25)))</f>
        <v/>
      </c>
      <c r="O25" s="63" t="str">
        <f aca="false">IF($B25="","",SUMIFS('Diário de Estudo'!$D$7:$D$506,'Diário de Estudo'!$C$7:$C$506,$B25))</f>
        <v/>
      </c>
      <c r="P25" s="103" t="str">
        <f aca="false">IF($B25="","",IF(AND(N($O25)&gt;0,N($F25)&gt;0),$F25/$O25,""))</f>
        <v/>
      </c>
      <c r="Q25" s="60" t="str">
        <f aca="true">IF($B25="","",IF(OR(N($L25)=0,$G25=""),"",IF(N($M25)&gt;=$L25,"Concluído",IF(OR(N($M25)&lt;=0,TODAY()&lt;=$G25),"Sem ritmo",TODAY()+ROUNDUP(($L25-$M25)/($M25/(TODAY()-$G25)),0)))))</f>
        <v/>
      </c>
      <c r="R25" s="101" t="str">
        <f aca="false">IF($B25="","",IF(ISNUMBER($Q25),IF(AND(ISNUMBER($I25),$Q25&gt;$I25),"■ Estoura o acesso",IF(AND(ISNUMBER($H25),$Q25&gt;$H25),"▲ Atrasado vs plano","● No prazo")),IF($Q25="Concluído","◆ Concluído","—")))</f>
        <v/>
      </c>
      <c r="S25" s="81"/>
      <c r="T25" s="81"/>
      <c r="U25" s="81"/>
      <c r="V25" s="13"/>
      <c r="W25" s="13"/>
      <c r="X25" s="13"/>
      <c r="Y25" s="11"/>
    </row>
    <row r="26" customFormat="false" ht="21.75" hidden="false" customHeight="true" outlineLevel="0" collapsed="false">
      <c r="A26" s="58" t="str">
        <f aca="false">IF($B26="","","PG-"&amp;TEXT(ROW()-9,"00"))</f>
        <v/>
      </c>
      <c r="B26" s="13"/>
      <c r="C26" s="13"/>
      <c r="D26" s="81"/>
      <c r="E26" s="52"/>
      <c r="F26" s="37"/>
      <c r="G26" s="52"/>
      <c r="H26" s="52"/>
      <c r="I26" s="52"/>
      <c r="J26" s="100" t="str">
        <f aca="true">IF(OR($B26="",$I26=""),"",$I26-TODAY())</f>
        <v/>
      </c>
      <c r="K26" s="101" t="str">
        <f aca="false">IF($B26="","",IF($I26="","∞ Vitalício",IF($J26&lt;0,"■ Vencido",IF($J26&lt;=Listas!$H$6,"▲ A vencer","● Ativo"))))</f>
        <v/>
      </c>
      <c r="L26" s="102"/>
      <c r="M26" s="102"/>
      <c r="N26" s="43" t="str">
        <f aca="false">IF($B26="","",IF(N($L26)=0,0,MIN(1,N($M26)/$L26)))</f>
        <v/>
      </c>
      <c r="O26" s="63" t="str">
        <f aca="false">IF($B26="","",SUMIFS('Diário de Estudo'!$D$7:$D$506,'Diário de Estudo'!$C$7:$C$506,$B26))</f>
        <v/>
      </c>
      <c r="P26" s="103" t="str">
        <f aca="false">IF($B26="","",IF(AND(N($O26)&gt;0,N($F26)&gt;0),$F26/$O26,""))</f>
        <v/>
      </c>
      <c r="Q26" s="60" t="str">
        <f aca="true">IF($B26="","",IF(OR(N($L26)=0,$G26=""),"",IF(N($M26)&gt;=$L26,"Concluído",IF(OR(N($M26)&lt;=0,TODAY()&lt;=$G26),"Sem ritmo",TODAY()+ROUNDUP(($L26-$M26)/($M26/(TODAY()-$G26)),0)))))</f>
        <v/>
      </c>
      <c r="R26" s="101" t="str">
        <f aca="false">IF($B26="","",IF(ISNUMBER($Q26),IF(AND(ISNUMBER($I26),$Q26&gt;$I26),"■ Estoura o acesso",IF(AND(ISNUMBER($H26),$Q26&gt;$H26),"▲ Atrasado vs plano","● No prazo")),IF($Q26="Concluído","◆ Concluído","—")))</f>
        <v/>
      </c>
      <c r="S26" s="81"/>
      <c r="T26" s="81"/>
      <c r="U26" s="81"/>
      <c r="V26" s="13"/>
      <c r="W26" s="13"/>
      <c r="X26" s="13"/>
      <c r="Y26" s="11"/>
    </row>
    <row r="27" customFormat="false" ht="21.75" hidden="false" customHeight="true" outlineLevel="0" collapsed="false">
      <c r="A27" s="58" t="str">
        <f aca="false">IF($B27="","","PG-"&amp;TEXT(ROW()-9,"00"))</f>
        <v/>
      </c>
      <c r="B27" s="13"/>
      <c r="C27" s="13"/>
      <c r="D27" s="81"/>
      <c r="E27" s="52"/>
      <c r="F27" s="37"/>
      <c r="G27" s="52"/>
      <c r="H27" s="52"/>
      <c r="I27" s="52"/>
      <c r="J27" s="100" t="str">
        <f aca="true">IF(OR($B27="",$I27=""),"",$I27-TODAY())</f>
        <v/>
      </c>
      <c r="K27" s="101" t="str">
        <f aca="false">IF($B27="","",IF($I27="","∞ Vitalício",IF($J27&lt;0,"■ Vencido",IF($J27&lt;=Listas!$H$6,"▲ A vencer","● Ativo"))))</f>
        <v/>
      </c>
      <c r="L27" s="102"/>
      <c r="M27" s="102"/>
      <c r="N27" s="43" t="str">
        <f aca="false">IF($B27="","",IF(N($L27)=0,0,MIN(1,N($M27)/$L27)))</f>
        <v/>
      </c>
      <c r="O27" s="63" t="str">
        <f aca="false">IF($B27="","",SUMIFS('Diário de Estudo'!$D$7:$D$506,'Diário de Estudo'!$C$7:$C$506,$B27))</f>
        <v/>
      </c>
      <c r="P27" s="103" t="str">
        <f aca="false">IF($B27="","",IF(AND(N($O27)&gt;0,N($F27)&gt;0),$F27/$O27,""))</f>
        <v/>
      </c>
      <c r="Q27" s="60" t="str">
        <f aca="true">IF($B27="","",IF(OR(N($L27)=0,$G27=""),"",IF(N($M27)&gt;=$L27,"Concluído",IF(OR(N($M27)&lt;=0,TODAY()&lt;=$G27),"Sem ritmo",TODAY()+ROUNDUP(($L27-$M27)/($M27/(TODAY()-$G27)),0)))))</f>
        <v/>
      </c>
      <c r="R27" s="101" t="str">
        <f aca="false">IF($B27="","",IF(ISNUMBER($Q27),IF(AND(ISNUMBER($I27),$Q27&gt;$I27),"■ Estoura o acesso",IF(AND(ISNUMBER($H27),$Q27&gt;$H27),"▲ Atrasado vs plano","● No prazo")),IF($Q27="Concluído","◆ Concluído","—")))</f>
        <v/>
      </c>
      <c r="S27" s="81"/>
      <c r="T27" s="81"/>
      <c r="U27" s="81"/>
      <c r="V27" s="13"/>
      <c r="W27" s="13"/>
      <c r="X27" s="13"/>
      <c r="Y27" s="11"/>
    </row>
    <row r="28" customFormat="false" ht="21.75" hidden="false" customHeight="true" outlineLevel="0" collapsed="false">
      <c r="A28" s="58" t="str">
        <f aca="false">IF($B28="","","PG-"&amp;TEXT(ROW()-9,"00"))</f>
        <v/>
      </c>
      <c r="B28" s="13"/>
      <c r="C28" s="13"/>
      <c r="D28" s="81"/>
      <c r="E28" s="52"/>
      <c r="F28" s="37"/>
      <c r="G28" s="52"/>
      <c r="H28" s="52"/>
      <c r="I28" s="52"/>
      <c r="J28" s="100" t="str">
        <f aca="true">IF(OR($B28="",$I28=""),"",$I28-TODAY())</f>
        <v/>
      </c>
      <c r="K28" s="101" t="str">
        <f aca="false">IF($B28="","",IF($I28="","∞ Vitalício",IF($J28&lt;0,"■ Vencido",IF($J28&lt;=Listas!$H$6,"▲ A vencer","● Ativo"))))</f>
        <v/>
      </c>
      <c r="L28" s="102"/>
      <c r="M28" s="102"/>
      <c r="N28" s="43" t="str">
        <f aca="false">IF($B28="","",IF(N($L28)=0,0,MIN(1,N($M28)/$L28)))</f>
        <v/>
      </c>
      <c r="O28" s="63" t="str">
        <f aca="false">IF($B28="","",SUMIFS('Diário de Estudo'!$D$7:$D$506,'Diário de Estudo'!$C$7:$C$506,$B28))</f>
        <v/>
      </c>
      <c r="P28" s="103" t="str">
        <f aca="false">IF($B28="","",IF(AND(N($O28)&gt;0,N($F28)&gt;0),$F28/$O28,""))</f>
        <v/>
      </c>
      <c r="Q28" s="60" t="str">
        <f aca="true">IF($B28="","",IF(OR(N($L28)=0,$G28=""),"",IF(N($M28)&gt;=$L28,"Concluído",IF(OR(N($M28)&lt;=0,TODAY()&lt;=$G28),"Sem ritmo",TODAY()+ROUNDUP(($L28-$M28)/($M28/(TODAY()-$G28)),0)))))</f>
        <v/>
      </c>
      <c r="R28" s="101" t="str">
        <f aca="false">IF($B28="","",IF(ISNUMBER($Q28),IF(AND(ISNUMBER($I28),$Q28&gt;$I28),"■ Estoura o acesso",IF(AND(ISNUMBER($H28),$Q28&gt;$H28),"▲ Atrasado vs plano","● No prazo")),IF($Q28="Concluído","◆ Concluído","—")))</f>
        <v/>
      </c>
      <c r="S28" s="81"/>
      <c r="T28" s="81"/>
      <c r="U28" s="81"/>
      <c r="V28" s="13"/>
      <c r="W28" s="13"/>
      <c r="X28" s="13"/>
      <c r="Y28" s="11"/>
    </row>
    <row r="29" customFormat="false" ht="21.75" hidden="false" customHeight="true" outlineLevel="0" collapsed="false">
      <c r="A29" s="58" t="str">
        <f aca="false">IF($B29="","","PG-"&amp;TEXT(ROW()-9,"00"))</f>
        <v/>
      </c>
      <c r="B29" s="13"/>
      <c r="C29" s="13"/>
      <c r="D29" s="81"/>
      <c r="E29" s="52"/>
      <c r="F29" s="37"/>
      <c r="G29" s="52"/>
      <c r="H29" s="52"/>
      <c r="I29" s="52"/>
      <c r="J29" s="100" t="str">
        <f aca="true">IF(OR($B29="",$I29=""),"",$I29-TODAY())</f>
        <v/>
      </c>
      <c r="K29" s="101" t="str">
        <f aca="false">IF($B29="","",IF($I29="","∞ Vitalício",IF($J29&lt;0,"■ Vencido",IF($J29&lt;=Listas!$H$6,"▲ A vencer","● Ativo"))))</f>
        <v/>
      </c>
      <c r="L29" s="102"/>
      <c r="M29" s="102"/>
      <c r="N29" s="43" t="str">
        <f aca="false">IF($B29="","",IF(N($L29)=0,0,MIN(1,N($M29)/$L29)))</f>
        <v/>
      </c>
      <c r="O29" s="63" t="str">
        <f aca="false">IF($B29="","",SUMIFS('Diário de Estudo'!$D$7:$D$506,'Diário de Estudo'!$C$7:$C$506,$B29))</f>
        <v/>
      </c>
      <c r="P29" s="103" t="str">
        <f aca="false">IF($B29="","",IF(AND(N($O29)&gt;0,N($F29)&gt;0),$F29/$O29,""))</f>
        <v/>
      </c>
      <c r="Q29" s="60" t="str">
        <f aca="true">IF($B29="","",IF(OR(N($L29)=0,$G29=""),"",IF(N($M29)&gt;=$L29,"Concluído",IF(OR(N($M29)&lt;=0,TODAY()&lt;=$G29),"Sem ritmo",TODAY()+ROUNDUP(($L29-$M29)/($M29/(TODAY()-$G29)),0)))))</f>
        <v/>
      </c>
      <c r="R29" s="101" t="str">
        <f aca="false">IF($B29="","",IF(ISNUMBER($Q29),IF(AND(ISNUMBER($I29),$Q29&gt;$I29),"■ Estoura o acesso",IF(AND(ISNUMBER($H29),$Q29&gt;$H29),"▲ Atrasado vs plano","● No prazo")),IF($Q29="Concluído","◆ Concluído","—")))</f>
        <v/>
      </c>
      <c r="S29" s="81"/>
      <c r="T29" s="81"/>
      <c r="U29" s="81"/>
      <c r="V29" s="13"/>
      <c r="W29" s="13"/>
      <c r="X29" s="13"/>
      <c r="Y29" s="11"/>
    </row>
    <row r="30" customFormat="false" ht="21.75" hidden="false" customHeight="true" outlineLevel="0" collapsed="false">
      <c r="A30" s="58" t="str">
        <f aca="false">IF($B30="","","PG-"&amp;TEXT(ROW()-9,"00"))</f>
        <v/>
      </c>
      <c r="B30" s="13"/>
      <c r="C30" s="13"/>
      <c r="D30" s="81"/>
      <c r="E30" s="52"/>
      <c r="F30" s="37"/>
      <c r="G30" s="52"/>
      <c r="H30" s="52"/>
      <c r="I30" s="52"/>
      <c r="J30" s="100" t="str">
        <f aca="true">IF(OR($B30="",$I30=""),"",$I30-TODAY())</f>
        <v/>
      </c>
      <c r="K30" s="101" t="str">
        <f aca="false">IF($B30="","",IF($I30="","∞ Vitalício",IF($J30&lt;0,"■ Vencido",IF($J30&lt;=Listas!$H$6,"▲ A vencer","● Ativo"))))</f>
        <v/>
      </c>
      <c r="L30" s="102"/>
      <c r="M30" s="102"/>
      <c r="N30" s="43" t="str">
        <f aca="false">IF($B30="","",IF(N($L30)=0,0,MIN(1,N($M30)/$L30)))</f>
        <v/>
      </c>
      <c r="O30" s="63" t="str">
        <f aca="false">IF($B30="","",SUMIFS('Diário de Estudo'!$D$7:$D$506,'Diário de Estudo'!$C$7:$C$506,$B30))</f>
        <v/>
      </c>
      <c r="P30" s="103" t="str">
        <f aca="false">IF($B30="","",IF(AND(N($O30)&gt;0,N($F30)&gt;0),$F30/$O30,""))</f>
        <v/>
      </c>
      <c r="Q30" s="60" t="str">
        <f aca="true">IF($B30="","",IF(OR(N($L30)=0,$G30=""),"",IF(N($M30)&gt;=$L30,"Concluído",IF(OR(N($M30)&lt;=0,TODAY()&lt;=$G30),"Sem ritmo",TODAY()+ROUNDUP(($L30-$M30)/($M30/(TODAY()-$G30)),0)))))</f>
        <v/>
      </c>
      <c r="R30" s="101" t="str">
        <f aca="false">IF($B30="","",IF(ISNUMBER($Q30),IF(AND(ISNUMBER($I30),$Q30&gt;$I30),"■ Estoura o acesso",IF(AND(ISNUMBER($H30),$Q30&gt;$H30),"▲ Atrasado vs plano","● No prazo")),IF($Q30="Concluído","◆ Concluído","—")))</f>
        <v/>
      </c>
      <c r="S30" s="81"/>
      <c r="T30" s="81"/>
      <c r="U30" s="81"/>
      <c r="V30" s="13"/>
      <c r="W30" s="13"/>
      <c r="X30" s="13"/>
      <c r="Y30" s="11"/>
    </row>
    <row r="31" customFormat="false" ht="21.75" hidden="false" customHeight="true" outlineLevel="0" collapsed="false">
      <c r="A31" s="58" t="str">
        <f aca="false">IF($B31="","","PG-"&amp;TEXT(ROW()-9,"00"))</f>
        <v/>
      </c>
      <c r="B31" s="13"/>
      <c r="C31" s="13"/>
      <c r="D31" s="81"/>
      <c r="E31" s="52"/>
      <c r="F31" s="37"/>
      <c r="G31" s="52"/>
      <c r="H31" s="52"/>
      <c r="I31" s="52"/>
      <c r="J31" s="100" t="str">
        <f aca="true">IF(OR($B31="",$I31=""),"",$I31-TODAY())</f>
        <v/>
      </c>
      <c r="K31" s="101" t="str">
        <f aca="false">IF($B31="","",IF($I31="","∞ Vitalício",IF($J31&lt;0,"■ Vencido",IF($J31&lt;=Listas!$H$6,"▲ A vencer","● Ativo"))))</f>
        <v/>
      </c>
      <c r="L31" s="102"/>
      <c r="M31" s="102"/>
      <c r="N31" s="43" t="str">
        <f aca="false">IF($B31="","",IF(N($L31)=0,0,MIN(1,N($M31)/$L31)))</f>
        <v/>
      </c>
      <c r="O31" s="63" t="str">
        <f aca="false">IF($B31="","",SUMIFS('Diário de Estudo'!$D$7:$D$506,'Diário de Estudo'!$C$7:$C$506,$B31))</f>
        <v/>
      </c>
      <c r="P31" s="103" t="str">
        <f aca="false">IF($B31="","",IF(AND(N($O31)&gt;0,N($F31)&gt;0),$F31/$O31,""))</f>
        <v/>
      </c>
      <c r="Q31" s="60" t="str">
        <f aca="true">IF($B31="","",IF(OR(N($L31)=0,$G31=""),"",IF(N($M31)&gt;=$L31,"Concluído",IF(OR(N($M31)&lt;=0,TODAY()&lt;=$G31),"Sem ritmo",TODAY()+ROUNDUP(($L31-$M31)/($M31/(TODAY()-$G31)),0)))))</f>
        <v/>
      </c>
      <c r="R31" s="101" t="str">
        <f aca="false">IF($B31="","",IF(ISNUMBER($Q31),IF(AND(ISNUMBER($I31),$Q31&gt;$I31),"■ Estoura o acesso",IF(AND(ISNUMBER($H31),$Q31&gt;$H31),"▲ Atrasado vs plano","● No prazo")),IF($Q31="Concluído","◆ Concluído","—")))</f>
        <v/>
      </c>
      <c r="S31" s="81"/>
      <c r="T31" s="81"/>
      <c r="U31" s="81"/>
      <c r="V31" s="13"/>
      <c r="W31" s="13"/>
      <c r="X31" s="13"/>
      <c r="Y31" s="11"/>
    </row>
    <row r="32" customFormat="false" ht="21.75" hidden="false" customHeight="true" outlineLevel="0" collapsed="false">
      <c r="A32" s="58" t="str">
        <f aca="false">IF($B32="","","PG-"&amp;TEXT(ROW()-9,"00"))</f>
        <v/>
      </c>
      <c r="B32" s="13"/>
      <c r="C32" s="13"/>
      <c r="D32" s="81"/>
      <c r="E32" s="52"/>
      <c r="F32" s="37"/>
      <c r="G32" s="52"/>
      <c r="H32" s="52"/>
      <c r="I32" s="52"/>
      <c r="J32" s="100" t="str">
        <f aca="true">IF(OR($B32="",$I32=""),"",$I32-TODAY())</f>
        <v/>
      </c>
      <c r="K32" s="101" t="str">
        <f aca="false">IF($B32="","",IF($I32="","∞ Vitalício",IF($J32&lt;0,"■ Vencido",IF($J32&lt;=Listas!$H$6,"▲ A vencer","● Ativo"))))</f>
        <v/>
      </c>
      <c r="L32" s="102"/>
      <c r="M32" s="102"/>
      <c r="N32" s="43" t="str">
        <f aca="false">IF($B32="","",IF(N($L32)=0,0,MIN(1,N($M32)/$L32)))</f>
        <v/>
      </c>
      <c r="O32" s="63" t="str">
        <f aca="false">IF($B32="","",SUMIFS('Diário de Estudo'!$D$7:$D$506,'Diário de Estudo'!$C$7:$C$506,$B32))</f>
        <v/>
      </c>
      <c r="P32" s="103" t="str">
        <f aca="false">IF($B32="","",IF(AND(N($O32)&gt;0,N($F32)&gt;0),$F32/$O32,""))</f>
        <v/>
      </c>
      <c r="Q32" s="60" t="str">
        <f aca="true">IF($B32="","",IF(OR(N($L32)=0,$G32=""),"",IF(N($M32)&gt;=$L32,"Concluído",IF(OR(N($M32)&lt;=0,TODAY()&lt;=$G32),"Sem ritmo",TODAY()+ROUNDUP(($L32-$M32)/($M32/(TODAY()-$G32)),0)))))</f>
        <v/>
      </c>
      <c r="R32" s="101" t="str">
        <f aca="false">IF($B32="","",IF(ISNUMBER($Q32),IF(AND(ISNUMBER($I32),$Q32&gt;$I32),"■ Estoura o acesso",IF(AND(ISNUMBER($H32),$Q32&gt;$H32),"▲ Atrasado vs plano","● No prazo")),IF($Q32="Concluído","◆ Concluído","—")))</f>
        <v/>
      </c>
      <c r="S32" s="81"/>
      <c r="T32" s="81"/>
      <c r="U32" s="81"/>
      <c r="V32" s="13"/>
      <c r="W32" s="13"/>
      <c r="X32" s="13"/>
      <c r="Y32" s="11"/>
    </row>
    <row r="33" customFormat="false" ht="21.75" hidden="false" customHeight="true" outlineLevel="0" collapsed="false">
      <c r="A33" s="58" t="str">
        <f aca="false">IF($B33="","","PG-"&amp;TEXT(ROW()-9,"00"))</f>
        <v/>
      </c>
      <c r="B33" s="13"/>
      <c r="C33" s="13"/>
      <c r="D33" s="81"/>
      <c r="E33" s="52"/>
      <c r="F33" s="37"/>
      <c r="G33" s="52"/>
      <c r="H33" s="52"/>
      <c r="I33" s="52"/>
      <c r="J33" s="100" t="str">
        <f aca="true">IF(OR($B33="",$I33=""),"",$I33-TODAY())</f>
        <v/>
      </c>
      <c r="K33" s="101" t="str">
        <f aca="false">IF($B33="","",IF($I33="","∞ Vitalício",IF($J33&lt;0,"■ Vencido",IF($J33&lt;=Listas!$H$6,"▲ A vencer","● Ativo"))))</f>
        <v/>
      </c>
      <c r="L33" s="102"/>
      <c r="M33" s="102"/>
      <c r="N33" s="43" t="str">
        <f aca="false">IF($B33="","",IF(N($L33)=0,0,MIN(1,N($M33)/$L33)))</f>
        <v/>
      </c>
      <c r="O33" s="63" t="str">
        <f aca="false">IF($B33="","",SUMIFS('Diário de Estudo'!$D$7:$D$506,'Diário de Estudo'!$C$7:$C$506,$B33))</f>
        <v/>
      </c>
      <c r="P33" s="103" t="str">
        <f aca="false">IF($B33="","",IF(AND(N($O33)&gt;0,N($F33)&gt;0),$F33/$O33,""))</f>
        <v/>
      </c>
      <c r="Q33" s="60" t="str">
        <f aca="true">IF($B33="","",IF(OR(N($L33)=0,$G33=""),"",IF(N($M33)&gt;=$L33,"Concluído",IF(OR(N($M33)&lt;=0,TODAY()&lt;=$G33),"Sem ritmo",TODAY()+ROUNDUP(($L33-$M33)/($M33/(TODAY()-$G33)),0)))))</f>
        <v/>
      </c>
      <c r="R33" s="101" t="str">
        <f aca="false">IF($B33="","",IF(ISNUMBER($Q33),IF(AND(ISNUMBER($I33),$Q33&gt;$I33),"■ Estoura o acesso",IF(AND(ISNUMBER($H33),$Q33&gt;$H33),"▲ Atrasado vs plano","● No prazo")),IF($Q33="Concluído","◆ Concluído","—")))</f>
        <v/>
      </c>
      <c r="S33" s="81"/>
      <c r="T33" s="81"/>
      <c r="U33" s="81"/>
      <c r="V33" s="13"/>
      <c r="W33" s="13"/>
      <c r="X33" s="13"/>
      <c r="Y33" s="11"/>
    </row>
    <row r="34" customFormat="false" ht="21.75" hidden="false" customHeight="true" outlineLevel="0" collapsed="false">
      <c r="A34" s="58" t="str">
        <f aca="false">IF($B34="","","PG-"&amp;TEXT(ROW()-9,"00"))</f>
        <v/>
      </c>
      <c r="B34" s="13"/>
      <c r="C34" s="13"/>
      <c r="D34" s="81"/>
      <c r="E34" s="52"/>
      <c r="F34" s="37"/>
      <c r="G34" s="52"/>
      <c r="H34" s="52"/>
      <c r="I34" s="52"/>
      <c r="J34" s="100" t="str">
        <f aca="true">IF(OR($B34="",$I34=""),"",$I34-TODAY())</f>
        <v/>
      </c>
      <c r="K34" s="101" t="str">
        <f aca="false">IF($B34="","",IF($I34="","∞ Vitalício",IF($J34&lt;0,"■ Vencido",IF($J34&lt;=Listas!$H$6,"▲ A vencer","● Ativo"))))</f>
        <v/>
      </c>
      <c r="L34" s="102"/>
      <c r="M34" s="102"/>
      <c r="N34" s="43" t="str">
        <f aca="false">IF($B34="","",IF(N($L34)=0,0,MIN(1,N($M34)/$L34)))</f>
        <v/>
      </c>
      <c r="O34" s="63" t="str">
        <f aca="false">IF($B34="","",SUMIFS('Diário de Estudo'!$D$7:$D$506,'Diário de Estudo'!$C$7:$C$506,$B34))</f>
        <v/>
      </c>
      <c r="P34" s="103" t="str">
        <f aca="false">IF($B34="","",IF(AND(N($O34)&gt;0,N($F34)&gt;0),$F34/$O34,""))</f>
        <v/>
      </c>
      <c r="Q34" s="60" t="str">
        <f aca="true">IF($B34="","",IF(OR(N($L34)=0,$G34=""),"",IF(N($M34)&gt;=$L34,"Concluído",IF(OR(N($M34)&lt;=0,TODAY()&lt;=$G34),"Sem ritmo",TODAY()+ROUNDUP(($L34-$M34)/($M34/(TODAY()-$G34)),0)))))</f>
        <v/>
      </c>
      <c r="R34" s="101" t="str">
        <f aca="false">IF($B34="","",IF(ISNUMBER($Q34),IF(AND(ISNUMBER($I34),$Q34&gt;$I34),"■ Estoura o acesso",IF(AND(ISNUMBER($H34),$Q34&gt;$H34),"▲ Atrasado vs plano","● No prazo")),IF($Q34="Concluído","◆ Concluído","—")))</f>
        <v/>
      </c>
      <c r="S34" s="81"/>
      <c r="T34" s="81"/>
      <c r="U34" s="81"/>
      <c r="V34" s="13"/>
      <c r="W34" s="13"/>
      <c r="X34" s="13"/>
      <c r="Y34" s="11"/>
    </row>
    <row r="35" customFormat="false" ht="21.75" hidden="false" customHeight="true" outlineLevel="0" collapsed="false">
      <c r="A35" s="58" t="str">
        <f aca="false">IF($B35="","","PG-"&amp;TEXT(ROW()-9,"00"))</f>
        <v/>
      </c>
      <c r="B35" s="13"/>
      <c r="C35" s="13"/>
      <c r="D35" s="81"/>
      <c r="E35" s="52"/>
      <c r="F35" s="37"/>
      <c r="G35" s="52"/>
      <c r="H35" s="52"/>
      <c r="I35" s="52"/>
      <c r="J35" s="100" t="str">
        <f aca="true">IF(OR($B35="",$I35=""),"",$I35-TODAY())</f>
        <v/>
      </c>
      <c r="K35" s="101" t="str">
        <f aca="false">IF($B35="","",IF($I35="","∞ Vitalício",IF($J35&lt;0,"■ Vencido",IF($J35&lt;=Listas!$H$6,"▲ A vencer","● Ativo"))))</f>
        <v/>
      </c>
      <c r="L35" s="102"/>
      <c r="M35" s="102"/>
      <c r="N35" s="43" t="str">
        <f aca="false">IF($B35="","",IF(N($L35)=0,0,MIN(1,N($M35)/$L35)))</f>
        <v/>
      </c>
      <c r="O35" s="63" t="str">
        <f aca="false">IF($B35="","",SUMIFS('Diário de Estudo'!$D$7:$D$506,'Diário de Estudo'!$C$7:$C$506,$B35))</f>
        <v/>
      </c>
      <c r="P35" s="103" t="str">
        <f aca="false">IF($B35="","",IF(AND(N($O35)&gt;0,N($F35)&gt;0),$F35/$O35,""))</f>
        <v/>
      </c>
      <c r="Q35" s="60" t="str">
        <f aca="true">IF($B35="","",IF(OR(N($L35)=0,$G35=""),"",IF(N($M35)&gt;=$L35,"Concluído",IF(OR(N($M35)&lt;=0,TODAY()&lt;=$G35),"Sem ritmo",TODAY()+ROUNDUP(($L35-$M35)/($M35/(TODAY()-$G35)),0)))))</f>
        <v/>
      </c>
      <c r="R35" s="101" t="str">
        <f aca="false">IF($B35="","",IF(ISNUMBER($Q35),IF(AND(ISNUMBER($I35),$Q35&gt;$I35),"■ Estoura o acesso",IF(AND(ISNUMBER($H35),$Q35&gt;$H35),"▲ Atrasado vs plano","● No prazo")),IF($Q35="Concluído","◆ Concluído","—")))</f>
        <v/>
      </c>
      <c r="S35" s="81"/>
      <c r="T35" s="81"/>
      <c r="U35" s="81"/>
      <c r="V35" s="13"/>
      <c r="W35" s="13"/>
      <c r="X35" s="13"/>
      <c r="Y35" s="11"/>
    </row>
    <row r="36" customFormat="false" ht="21.75" hidden="false" customHeight="true" outlineLevel="0" collapsed="false">
      <c r="A36" s="58" t="str">
        <f aca="false">IF($B36="","","PG-"&amp;TEXT(ROW()-9,"00"))</f>
        <v/>
      </c>
      <c r="B36" s="13"/>
      <c r="C36" s="13"/>
      <c r="D36" s="81"/>
      <c r="E36" s="52"/>
      <c r="F36" s="37"/>
      <c r="G36" s="52"/>
      <c r="H36" s="52"/>
      <c r="I36" s="52"/>
      <c r="J36" s="100" t="str">
        <f aca="true">IF(OR($B36="",$I36=""),"",$I36-TODAY())</f>
        <v/>
      </c>
      <c r="K36" s="101" t="str">
        <f aca="false">IF($B36="","",IF($I36="","∞ Vitalício",IF($J36&lt;0,"■ Vencido",IF($J36&lt;=Listas!$H$6,"▲ A vencer","● Ativo"))))</f>
        <v/>
      </c>
      <c r="L36" s="102"/>
      <c r="M36" s="102"/>
      <c r="N36" s="43" t="str">
        <f aca="false">IF($B36="","",IF(N($L36)=0,0,MIN(1,N($M36)/$L36)))</f>
        <v/>
      </c>
      <c r="O36" s="63" t="str">
        <f aca="false">IF($B36="","",SUMIFS('Diário de Estudo'!$D$7:$D$506,'Diário de Estudo'!$C$7:$C$506,$B36))</f>
        <v/>
      </c>
      <c r="P36" s="103" t="str">
        <f aca="false">IF($B36="","",IF(AND(N($O36)&gt;0,N($F36)&gt;0),$F36/$O36,""))</f>
        <v/>
      </c>
      <c r="Q36" s="60" t="str">
        <f aca="true">IF($B36="","",IF(OR(N($L36)=0,$G36=""),"",IF(N($M36)&gt;=$L36,"Concluído",IF(OR(N($M36)&lt;=0,TODAY()&lt;=$G36),"Sem ritmo",TODAY()+ROUNDUP(($L36-$M36)/($M36/(TODAY()-$G36)),0)))))</f>
        <v/>
      </c>
      <c r="R36" s="101" t="str">
        <f aca="false">IF($B36="","",IF(ISNUMBER($Q36),IF(AND(ISNUMBER($I36),$Q36&gt;$I36),"■ Estoura o acesso",IF(AND(ISNUMBER($H36),$Q36&gt;$H36),"▲ Atrasado vs plano","● No prazo")),IF($Q36="Concluído","◆ Concluído","—")))</f>
        <v/>
      </c>
      <c r="S36" s="81"/>
      <c r="T36" s="81"/>
      <c r="U36" s="81"/>
      <c r="V36" s="13"/>
      <c r="W36" s="13"/>
      <c r="X36" s="13"/>
      <c r="Y36" s="11"/>
    </row>
    <row r="37" customFormat="false" ht="21.75" hidden="false" customHeight="true" outlineLevel="0" collapsed="false">
      <c r="A37" s="58" t="str">
        <f aca="false">IF($B37="","","PG-"&amp;TEXT(ROW()-9,"00"))</f>
        <v/>
      </c>
      <c r="B37" s="13"/>
      <c r="C37" s="13"/>
      <c r="D37" s="81"/>
      <c r="E37" s="52"/>
      <c r="F37" s="37"/>
      <c r="G37" s="52"/>
      <c r="H37" s="52"/>
      <c r="I37" s="52"/>
      <c r="J37" s="100" t="str">
        <f aca="true">IF(OR($B37="",$I37=""),"",$I37-TODAY())</f>
        <v/>
      </c>
      <c r="K37" s="101" t="str">
        <f aca="false">IF($B37="","",IF($I37="","∞ Vitalício",IF($J37&lt;0,"■ Vencido",IF($J37&lt;=Listas!$H$6,"▲ A vencer","● Ativo"))))</f>
        <v/>
      </c>
      <c r="L37" s="102"/>
      <c r="M37" s="102"/>
      <c r="N37" s="43" t="str">
        <f aca="false">IF($B37="","",IF(N($L37)=0,0,MIN(1,N($M37)/$L37)))</f>
        <v/>
      </c>
      <c r="O37" s="63" t="str">
        <f aca="false">IF($B37="","",SUMIFS('Diário de Estudo'!$D$7:$D$506,'Diário de Estudo'!$C$7:$C$506,$B37))</f>
        <v/>
      </c>
      <c r="P37" s="103" t="str">
        <f aca="false">IF($B37="","",IF(AND(N($O37)&gt;0,N($F37)&gt;0),$F37/$O37,""))</f>
        <v/>
      </c>
      <c r="Q37" s="60" t="str">
        <f aca="true">IF($B37="","",IF(OR(N($L37)=0,$G37=""),"",IF(N($M37)&gt;=$L37,"Concluído",IF(OR(N($M37)&lt;=0,TODAY()&lt;=$G37),"Sem ritmo",TODAY()+ROUNDUP(($L37-$M37)/($M37/(TODAY()-$G37)),0)))))</f>
        <v/>
      </c>
      <c r="R37" s="101" t="str">
        <f aca="false">IF($B37="","",IF(ISNUMBER($Q37),IF(AND(ISNUMBER($I37),$Q37&gt;$I37),"■ Estoura o acesso",IF(AND(ISNUMBER($H37),$Q37&gt;$H37),"▲ Atrasado vs plano","● No prazo")),IF($Q37="Concluído","◆ Concluído","—")))</f>
        <v/>
      </c>
      <c r="S37" s="81"/>
      <c r="T37" s="81"/>
      <c r="U37" s="81"/>
      <c r="V37" s="13"/>
      <c r="W37" s="13"/>
      <c r="X37" s="13"/>
      <c r="Y37" s="11"/>
    </row>
    <row r="38" customFormat="false" ht="21.75" hidden="false" customHeight="true" outlineLevel="0" collapsed="false">
      <c r="A38" s="58" t="str">
        <f aca="false">IF($B38="","","PG-"&amp;TEXT(ROW()-9,"00"))</f>
        <v/>
      </c>
      <c r="B38" s="13"/>
      <c r="C38" s="13"/>
      <c r="D38" s="81"/>
      <c r="E38" s="52"/>
      <c r="F38" s="37"/>
      <c r="G38" s="52"/>
      <c r="H38" s="52"/>
      <c r="I38" s="52"/>
      <c r="J38" s="100" t="str">
        <f aca="true">IF(OR($B38="",$I38=""),"",$I38-TODAY())</f>
        <v/>
      </c>
      <c r="K38" s="101" t="str">
        <f aca="false">IF($B38="","",IF($I38="","∞ Vitalício",IF($J38&lt;0,"■ Vencido",IF($J38&lt;=Listas!$H$6,"▲ A vencer","● Ativo"))))</f>
        <v/>
      </c>
      <c r="L38" s="102"/>
      <c r="M38" s="102"/>
      <c r="N38" s="43" t="str">
        <f aca="false">IF($B38="","",IF(N($L38)=0,0,MIN(1,N($M38)/$L38)))</f>
        <v/>
      </c>
      <c r="O38" s="63" t="str">
        <f aca="false">IF($B38="","",SUMIFS('Diário de Estudo'!$D$7:$D$506,'Diário de Estudo'!$C$7:$C$506,$B38))</f>
        <v/>
      </c>
      <c r="P38" s="103" t="str">
        <f aca="false">IF($B38="","",IF(AND(N($O38)&gt;0,N($F38)&gt;0),$F38/$O38,""))</f>
        <v/>
      </c>
      <c r="Q38" s="60" t="str">
        <f aca="true">IF($B38="","",IF(OR(N($L38)=0,$G38=""),"",IF(N($M38)&gt;=$L38,"Concluído",IF(OR(N($M38)&lt;=0,TODAY()&lt;=$G38),"Sem ritmo",TODAY()+ROUNDUP(($L38-$M38)/($M38/(TODAY()-$G38)),0)))))</f>
        <v/>
      </c>
      <c r="R38" s="101" t="str">
        <f aca="false">IF($B38="","",IF(ISNUMBER($Q38),IF(AND(ISNUMBER($I38),$Q38&gt;$I38),"■ Estoura o acesso",IF(AND(ISNUMBER($H38),$Q38&gt;$H38),"▲ Atrasado vs plano","● No prazo")),IF($Q38="Concluído","◆ Concluído","—")))</f>
        <v/>
      </c>
      <c r="S38" s="81"/>
      <c r="T38" s="81"/>
      <c r="U38" s="81"/>
      <c r="V38" s="13"/>
      <c r="W38" s="13"/>
      <c r="X38" s="13"/>
      <c r="Y38" s="11"/>
    </row>
    <row r="39" customFormat="false" ht="21.75" hidden="false" customHeight="true" outlineLevel="0" collapsed="false">
      <c r="A39" s="58" t="str">
        <f aca="false">IF($B39="","","PG-"&amp;TEXT(ROW()-9,"00"))</f>
        <v/>
      </c>
      <c r="B39" s="13"/>
      <c r="C39" s="13"/>
      <c r="D39" s="81"/>
      <c r="E39" s="52"/>
      <c r="F39" s="37"/>
      <c r="G39" s="52"/>
      <c r="H39" s="52"/>
      <c r="I39" s="52"/>
      <c r="J39" s="100" t="str">
        <f aca="true">IF(OR($B39="",$I39=""),"",$I39-TODAY())</f>
        <v/>
      </c>
      <c r="K39" s="101" t="str">
        <f aca="false">IF($B39="","",IF($I39="","∞ Vitalício",IF($J39&lt;0,"■ Vencido",IF($J39&lt;=Listas!$H$6,"▲ A vencer","● Ativo"))))</f>
        <v/>
      </c>
      <c r="L39" s="102"/>
      <c r="M39" s="102"/>
      <c r="N39" s="43" t="str">
        <f aca="false">IF($B39="","",IF(N($L39)=0,0,MIN(1,N($M39)/$L39)))</f>
        <v/>
      </c>
      <c r="O39" s="63" t="str">
        <f aca="false">IF($B39="","",SUMIFS('Diário de Estudo'!$D$7:$D$506,'Diário de Estudo'!$C$7:$C$506,$B39))</f>
        <v/>
      </c>
      <c r="P39" s="103" t="str">
        <f aca="false">IF($B39="","",IF(AND(N($O39)&gt;0,N($F39)&gt;0),$F39/$O39,""))</f>
        <v/>
      </c>
      <c r="Q39" s="60" t="str">
        <f aca="true">IF($B39="","",IF(OR(N($L39)=0,$G39=""),"",IF(N($M39)&gt;=$L39,"Concluído",IF(OR(N($M39)&lt;=0,TODAY()&lt;=$G39),"Sem ritmo",TODAY()+ROUNDUP(($L39-$M39)/($M39/(TODAY()-$G39)),0)))))</f>
        <v/>
      </c>
      <c r="R39" s="101" t="str">
        <f aca="false">IF($B39="","",IF(ISNUMBER($Q39),IF(AND(ISNUMBER($I39),$Q39&gt;$I39),"■ Estoura o acesso",IF(AND(ISNUMBER($H39),$Q39&gt;$H39),"▲ Atrasado vs plano","● No prazo")),IF($Q39="Concluído","◆ Concluído","—")))</f>
        <v/>
      </c>
      <c r="S39" s="81"/>
      <c r="T39" s="81"/>
      <c r="U39" s="81"/>
      <c r="V39" s="13"/>
      <c r="W39" s="13"/>
      <c r="X39" s="13"/>
      <c r="Y39" s="11"/>
    </row>
    <row r="40" customFormat="false" ht="21.75" hidden="false" customHeight="true" outlineLevel="0" collapsed="false">
      <c r="A40" s="58" t="str">
        <f aca="false">IF($B40="","","PG-"&amp;TEXT(ROW()-9,"00"))</f>
        <v/>
      </c>
      <c r="B40" s="13"/>
      <c r="C40" s="13"/>
      <c r="D40" s="81"/>
      <c r="E40" s="52"/>
      <c r="F40" s="37"/>
      <c r="G40" s="52"/>
      <c r="H40" s="52"/>
      <c r="I40" s="52"/>
      <c r="J40" s="100" t="str">
        <f aca="true">IF(OR($B40="",$I40=""),"",$I40-TODAY())</f>
        <v/>
      </c>
      <c r="K40" s="101" t="str">
        <f aca="false">IF($B40="","",IF($I40="","∞ Vitalício",IF($J40&lt;0,"■ Vencido",IF($J40&lt;=Listas!$H$6,"▲ A vencer","● Ativo"))))</f>
        <v/>
      </c>
      <c r="L40" s="102"/>
      <c r="M40" s="102"/>
      <c r="N40" s="43" t="str">
        <f aca="false">IF($B40="","",IF(N($L40)=0,0,MIN(1,N($M40)/$L40)))</f>
        <v/>
      </c>
      <c r="O40" s="63" t="str">
        <f aca="false">IF($B40="","",SUMIFS('Diário de Estudo'!$D$7:$D$506,'Diário de Estudo'!$C$7:$C$506,$B40))</f>
        <v/>
      </c>
      <c r="P40" s="103" t="str">
        <f aca="false">IF($B40="","",IF(AND(N($O40)&gt;0,N($F40)&gt;0),$F40/$O40,""))</f>
        <v/>
      </c>
      <c r="Q40" s="60" t="str">
        <f aca="true">IF($B40="","",IF(OR(N($L40)=0,$G40=""),"",IF(N($M40)&gt;=$L40,"Concluído",IF(OR(N($M40)&lt;=0,TODAY()&lt;=$G40),"Sem ritmo",TODAY()+ROUNDUP(($L40-$M40)/($M40/(TODAY()-$G40)),0)))))</f>
        <v/>
      </c>
      <c r="R40" s="101" t="str">
        <f aca="false">IF($B40="","",IF(ISNUMBER($Q40),IF(AND(ISNUMBER($I40),$Q40&gt;$I40),"■ Estoura o acesso",IF(AND(ISNUMBER($H40),$Q40&gt;$H40),"▲ Atrasado vs plano","● No prazo")),IF($Q40="Concluído","◆ Concluído","—")))</f>
        <v/>
      </c>
      <c r="S40" s="81"/>
      <c r="T40" s="81"/>
      <c r="U40" s="81"/>
      <c r="V40" s="13"/>
      <c r="W40" s="13"/>
      <c r="X40" s="13"/>
      <c r="Y40" s="11"/>
    </row>
    <row r="41" customFormat="false" ht="21.75" hidden="false" customHeight="true" outlineLevel="0" collapsed="false">
      <c r="A41" s="58" t="str">
        <f aca="false">IF($B41="","","PG-"&amp;TEXT(ROW()-9,"00"))</f>
        <v/>
      </c>
      <c r="B41" s="13"/>
      <c r="C41" s="13"/>
      <c r="D41" s="81"/>
      <c r="E41" s="52"/>
      <c r="F41" s="37"/>
      <c r="G41" s="52"/>
      <c r="H41" s="52"/>
      <c r="I41" s="52"/>
      <c r="J41" s="100" t="str">
        <f aca="true">IF(OR($B41="",$I41=""),"",$I41-TODAY())</f>
        <v/>
      </c>
      <c r="K41" s="101" t="str">
        <f aca="false">IF($B41="","",IF($I41="","∞ Vitalício",IF($J41&lt;0,"■ Vencido",IF($J41&lt;=Listas!$H$6,"▲ A vencer","● Ativo"))))</f>
        <v/>
      </c>
      <c r="L41" s="102"/>
      <c r="M41" s="102"/>
      <c r="N41" s="43" t="str">
        <f aca="false">IF($B41="","",IF(N($L41)=0,0,MIN(1,N($M41)/$L41)))</f>
        <v/>
      </c>
      <c r="O41" s="63" t="str">
        <f aca="false">IF($B41="","",SUMIFS('Diário de Estudo'!$D$7:$D$506,'Diário de Estudo'!$C$7:$C$506,$B41))</f>
        <v/>
      </c>
      <c r="P41" s="103" t="str">
        <f aca="false">IF($B41="","",IF(AND(N($O41)&gt;0,N($F41)&gt;0),$F41/$O41,""))</f>
        <v/>
      </c>
      <c r="Q41" s="60" t="str">
        <f aca="true">IF($B41="","",IF(OR(N($L41)=0,$G41=""),"",IF(N($M41)&gt;=$L41,"Concluído",IF(OR(N($M41)&lt;=0,TODAY()&lt;=$G41),"Sem ritmo",TODAY()+ROUNDUP(($L41-$M41)/($M41/(TODAY()-$G41)),0)))))</f>
        <v/>
      </c>
      <c r="R41" s="101" t="str">
        <f aca="false">IF($B41="","",IF(ISNUMBER($Q41),IF(AND(ISNUMBER($I41),$Q41&gt;$I41),"■ Estoura o acesso",IF(AND(ISNUMBER($H41),$Q41&gt;$H41),"▲ Atrasado vs plano","● No prazo")),IF($Q41="Concluído","◆ Concluído","—")))</f>
        <v/>
      </c>
      <c r="S41" s="81"/>
      <c r="T41" s="81"/>
      <c r="U41" s="81"/>
      <c r="V41" s="13"/>
      <c r="W41" s="13"/>
      <c r="X41" s="13"/>
      <c r="Y41" s="11"/>
    </row>
    <row r="42" customFormat="false" ht="21.75" hidden="false" customHeight="true" outlineLevel="0" collapsed="false">
      <c r="A42" s="58" t="str">
        <f aca="false">IF($B42="","","PG-"&amp;TEXT(ROW()-9,"00"))</f>
        <v/>
      </c>
      <c r="B42" s="13"/>
      <c r="C42" s="13"/>
      <c r="D42" s="81"/>
      <c r="E42" s="52"/>
      <c r="F42" s="37"/>
      <c r="G42" s="52"/>
      <c r="H42" s="52"/>
      <c r="I42" s="52"/>
      <c r="J42" s="100" t="str">
        <f aca="true">IF(OR($B42="",$I42=""),"",$I42-TODAY())</f>
        <v/>
      </c>
      <c r="K42" s="101" t="str">
        <f aca="false">IF($B42="","",IF($I42="","∞ Vitalício",IF($J42&lt;0,"■ Vencido",IF($J42&lt;=Listas!$H$6,"▲ A vencer","● Ativo"))))</f>
        <v/>
      </c>
      <c r="L42" s="102"/>
      <c r="M42" s="102"/>
      <c r="N42" s="43" t="str">
        <f aca="false">IF($B42="","",IF(N($L42)=0,0,MIN(1,N($M42)/$L42)))</f>
        <v/>
      </c>
      <c r="O42" s="63" t="str">
        <f aca="false">IF($B42="","",SUMIFS('Diário de Estudo'!$D$7:$D$506,'Diário de Estudo'!$C$7:$C$506,$B42))</f>
        <v/>
      </c>
      <c r="P42" s="103" t="str">
        <f aca="false">IF($B42="","",IF(AND(N($O42)&gt;0,N($F42)&gt;0),$F42/$O42,""))</f>
        <v/>
      </c>
      <c r="Q42" s="60" t="str">
        <f aca="true">IF($B42="","",IF(OR(N($L42)=0,$G42=""),"",IF(N($M42)&gt;=$L42,"Concluído",IF(OR(N($M42)&lt;=0,TODAY()&lt;=$G42),"Sem ritmo",TODAY()+ROUNDUP(($L42-$M42)/($M42/(TODAY()-$G42)),0)))))</f>
        <v/>
      </c>
      <c r="R42" s="101" t="str">
        <f aca="false">IF($B42="","",IF(ISNUMBER($Q42),IF(AND(ISNUMBER($I42),$Q42&gt;$I42),"■ Estoura o acesso",IF(AND(ISNUMBER($H42),$Q42&gt;$H42),"▲ Atrasado vs plano","● No prazo")),IF($Q42="Concluído","◆ Concluído","—")))</f>
        <v/>
      </c>
      <c r="S42" s="81"/>
      <c r="T42" s="81"/>
      <c r="U42" s="81"/>
      <c r="V42" s="13"/>
      <c r="W42" s="13"/>
      <c r="X42" s="13"/>
      <c r="Y42" s="11"/>
    </row>
    <row r="43" customFormat="false" ht="21.75" hidden="false" customHeight="true" outlineLevel="0" collapsed="false">
      <c r="A43" s="58" t="str">
        <f aca="false">IF($B43="","","PG-"&amp;TEXT(ROW()-9,"00"))</f>
        <v/>
      </c>
      <c r="B43" s="13"/>
      <c r="C43" s="13"/>
      <c r="D43" s="81"/>
      <c r="E43" s="52"/>
      <c r="F43" s="37"/>
      <c r="G43" s="52"/>
      <c r="H43" s="52"/>
      <c r="I43" s="52"/>
      <c r="J43" s="100" t="str">
        <f aca="true">IF(OR($B43="",$I43=""),"",$I43-TODAY())</f>
        <v/>
      </c>
      <c r="K43" s="101" t="str">
        <f aca="false">IF($B43="","",IF($I43="","∞ Vitalício",IF($J43&lt;0,"■ Vencido",IF($J43&lt;=Listas!$H$6,"▲ A vencer","● Ativo"))))</f>
        <v/>
      </c>
      <c r="L43" s="102"/>
      <c r="M43" s="102"/>
      <c r="N43" s="43" t="str">
        <f aca="false">IF($B43="","",IF(N($L43)=0,0,MIN(1,N($M43)/$L43)))</f>
        <v/>
      </c>
      <c r="O43" s="63" t="str">
        <f aca="false">IF($B43="","",SUMIFS('Diário de Estudo'!$D$7:$D$506,'Diário de Estudo'!$C$7:$C$506,$B43))</f>
        <v/>
      </c>
      <c r="P43" s="103" t="str">
        <f aca="false">IF($B43="","",IF(AND(N($O43)&gt;0,N($F43)&gt;0),$F43/$O43,""))</f>
        <v/>
      </c>
      <c r="Q43" s="60" t="str">
        <f aca="true">IF($B43="","",IF(OR(N($L43)=0,$G43=""),"",IF(N($M43)&gt;=$L43,"Concluído",IF(OR(N($M43)&lt;=0,TODAY()&lt;=$G43),"Sem ritmo",TODAY()+ROUNDUP(($L43-$M43)/($M43/(TODAY()-$G43)),0)))))</f>
        <v/>
      </c>
      <c r="R43" s="101" t="str">
        <f aca="false">IF($B43="","",IF(ISNUMBER($Q43),IF(AND(ISNUMBER($I43),$Q43&gt;$I43),"■ Estoura o acesso",IF(AND(ISNUMBER($H43),$Q43&gt;$H43),"▲ Atrasado vs plano","● No prazo")),IF($Q43="Concluído","◆ Concluído","—")))</f>
        <v/>
      </c>
      <c r="S43" s="81"/>
      <c r="T43" s="81"/>
      <c r="U43" s="81"/>
      <c r="V43" s="13"/>
      <c r="W43" s="13"/>
      <c r="X43" s="13"/>
      <c r="Y43" s="11"/>
    </row>
    <row r="44" customFormat="false" ht="21.75" hidden="false" customHeight="true" outlineLevel="0" collapsed="false">
      <c r="A44" s="58" t="str">
        <f aca="false">IF($B44="","","PG-"&amp;TEXT(ROW()-9,"00"))</f>
        <v/>
      </c>
      <c r="B44" s="13"/>
      <c r="C44" s="13"/>
      <c r="D44" s="81"/>
      <c r="E44" s="52"/>
      <c r="F44" s="37"/>
      <c r="G44" s="52"/>
      <c r="H44" s="52"/>
      <c r="I44" s="52"/>
      <c r="J44" s="100" t="str">
        <f aca="true">IF(OR($B44="",$I44=""),"",$I44-TODAY())</f>
        <v/>
      </c>
      <c r="K44" s="101" t="str">
        <f aca="false">IF($B44="","",IF($I44="","∞ Vitalício",IF($J44&lt;0,"■ Vencido",IF($J44&lt;=Listas!$H$6,"▲ A vencer","● Ativo"))))</f>
        <v/>
      </c>
      <c r="L44" s="102"/>
      <c r="M44" s="102"/>
      <c r="N44" s="43" t="str">
        <f aca="false">IF($B44="","",IF(N($L44)=0,0,MIN(1,N($M44)/$L44)))</f>
        <v/>
      </c>
      <c r="O44" s="63" t="str">
        <f aca="false">IF($B44="","",SUMIFS('Diário de Estudo'!$D$7:$D$506,'Diário de Estudo'!$C$7:$C$506,$B44))</f>
        <v/>
      </c>
      <c r="P44" s="103" t="str">
        <f aca="false">IF($B44="","",IF(AND(N($O44)&gt;0,N($F44)&gt;0),$F44/$O44,""))</f>
        <v/>
      </c>
      <c r="Q44" s="60" t="str">
        <f aca="true">IF($B44="","",IF(OR(N($L44)=0,$G44=""),"",IF(N($M44)&gt;=$L44,"Concluído",IF(OR(N($M44)&lt;=0,TODAY()&lt;=$G44),"Sem ritmo",TODAY()+ROUNDUP(($L44-$M44)/($M44/(TODAY()-$G44)),0)))))</f>
        <v/>
      </c>
      <c r="R44" s="101" t="str">
        <f aca="false">IF($B44="","",IF(ISNUMBER($Q44),IF(AND(ISNUMBER($I44),$Q44&gt;$I44),"■ Estoura o acesso",IF(AND(ISNUMBER($H44),$Q44&gt;$H44),"▲ Atrasado vs plano","● No prazo")),IF($Q44="Concluído","◆ Concluído","—")))</f>
        <v/>
      </c>
      <c r="S44" s="81"/>
      <c r="T44" s="81"/>
      <c r="U44" s="81"/>
      <c r="V44" s="13"/>
      <c r="W44" s="13"/>
      <c r="X44" s="13"/>
      <c r="Y44" s="11"/>
    </row>
    <row r="45" customFormat="false" ht="21.75" hidden="false" customHeight="true" outlineLevel="0" collapsed="false">
      <c r="A45" s="58" t="str">
        <f aca="false">IF($B45="","","PG-"&amp;TEXT(ROW()-9,"00"))</f>
        <v/>
      </c>
      <c r="B45" s="13"/>
      <c r="C45" s="13"/>
      <c r="D45" s="81"/>
      <c r="E45" s="52"/>
      <c r="F45" s="37"/>
      <c r="G45" s="52"/>
      <c r="H45" s="52"/>
      <c r="I45" s="52"/>
      <c r="J45" s="100" t="str">
        <f aca="true">IF(OR($B45="",$I45=""),"",$I45-TODAY())</f>
        <v/>
      </c>
      <c r="K45" s="101" t="str">
        <f aca="false">IF($B45="","",IF($I45="","∞ Vitalício",IF($J45&lt;0,"■ Vencido",IF($J45&lt;=Listas!$H$6,"▲ A vencer","● Ativo"))))</f>
        <v/>
      </c>
      <c r="L45" s="102"/>
      <c r="M45" s="102"/>
      <c r="N45" s="43" t="str">
        <f aca="false">IF($B45="","",IF(N($L45)=0,0,MIN(1,N($M45)/$L45)))</f>
        <v/>
      </c>
      <c r="O45" s="63" t="str">
        <f aca="false">IF($B45="","",SUMIFS('Diário de Estudo'!$D$7:$D$506,'Diário de Estudo'!$C$7:$C$506,$B45))</f>
        <v/>
      </c>
      <c r="P45" s="103" t="str">
        <f aca="false">IF($B45="","",IF(AND(N($O45)&gt;0,N($F45)&gt;0),$F45/$O45,""))</f>
        <v/>
      </c>
      <c r="Q45" s="60" t="str">
        <f aca="true">IF($B45="","",IF(OR(N($L45)=0,$G45=""),"",IF(N($M45)&gt;=$L45,"Concluído",IF(OR(N($M45)&lt;=0,TODAY()&lt;=$G45),"Sem ritmo",TODAY()+ROUNDUP(($L45-$M45)/($M45/(TODAY()-$G45)),0)))))</f>
        <v/>
      </c>
      <c r="R45" s="101" t="str">
        <f aca="false">IF($B45="","",IF(ISNUMBER($Q45),IF(AND(ISNUMBER($I45),$Q45&gt;$I45),"■ Estoura o acesso",IF(AND(ISNUMBER($H45),$Q45&gt;$H45),"▲ Atrasado vs plano","● No prazo")),IF($Q45="Concluído","◆ Concluído","—")))</f>
        <v/>
      </c>
      <c r="S45" s="81"/>
      <c r="T45" s="81"/>
      <c r="U45" s="81"/>
      <c r="V45" s="13"/>
      <c r="W45" s="13"/>
      <c r="X45" s="13"/>
      <c r="Y45" s="11"/>
    </row>
    <row r="46" customFormat="false" ht="21.75" hidden="false" customHeight="true" outlineLevel="0" collapsed="false">
      <c r="A46" s="58" t="str">
        <f aca="false">IF($B46="","","PG-"&amp;TEXT(ROW()-9,"00"))</f>
        <v/>
      </c>
      <c r="B46" s="13"/>
      <c r="C46" s="13"/>
      <c r="D46" s="81"/>
      <c r="E46" s="52"/>
      <c r="F46" s="37"/>
      <c r="G46" s="52"/>
      <c r="H46" s="52"/>
      <c r="I46" s="52"/>
      <c r="J46" s="100" t="str">
        <f aca="true">IF(OR($B46="",$I46=""),"",$I46-TODAY())</f>
        <v/>
      </c>
      <c r="K46" s="101" t="str">
        <f aca="false">IF($B46="","",IF($I46="","∞ Vitalício",IF($J46&lt;0,"■ Vencido",IF($J46&lt;=Listas!$H$6,"▲ A vencer","● Ativo"))))</f>
        <v/>
      </c>
      <c r="L46" s="102"/>
      <c r="M46" s="102"/>
      <c r="N46" s="43" t="str">
        <f aca="false">IF($B46="","",IF(N($L46)=0,0,MIN(1,N($M46)/$L46)))</f>
        <v/>
      </c>
      <c r="O46" s="63" t="str">
        <f aca="false">IF($B46="","",SUMIFS('Diário de Estudo'!$D$7:$D$506,'Diário de Estudo'!$C$7:$C$506,$B46))</f>
        <v/>
      </c>
      <c r="P46" s="103" t="str">
        <f aca="false">IF($B46="","",IF(AND(N($O46)&gt;0,N($F46)&gt;0),$F46/$O46,""))</f>
        <v/>
      </c>
      <c r="Q46" s="60" t="str">
        <f aca="true">IF($B46="","",IF(OR(N($L46)=0,$G46=""),"",IF(N($M46)&gt;=$L46,"Concluído",IF(OR(N($M46)&lt;=0,TODAY()&lt;=$G46),"Sem ritmo",TODAY()+ROUNDUP(($L46-$M46)/($M46/(TODAY()-$G46)),0)))))</f>
        <v/>
      </c>
      <c r="R46" s="101" t="str">
        <f aca="false">IF($B46="","",IF(ISNUMBER($Q46),IF(AND(ISNUMBER($I46),$Q46&gt;$I46),"■ Estoura o acesso",IF(AND(ISNUMBER($H46),$Q46&gt;$H46),"▲ Atrasado vs plano","● No prazo")),IF($Q46="Concluído","◆ Concluído","—")))</f>
        <v/>
      </c>
      <c r="S46" s="81"/>
      <c r="T46" s="81"/>
      <c r="U46" s="81"/>
      <c r="V46" s="13"/>
      <c r="W46" s="13"/>
      <c r="X46" s="13"/>
      <c r="Y46" s="11"/>
    </row>
    <row r="47" customFormat="false" ht="21.75" hidden="false" customHeight="true" outlineLevel="0" collapsed="false">
      <c r="A47" s="58" t="str">
        <f aca="false">IF($B47="","","PG-"&amp;TEXT(ROW()-9,"00"))</f>
        <v/>
      </c>
      <c r="B47" s="13"/>
      <c r="C47" s="13"/>
      <c r="D47" s="81"/>
      <c r="E47" s="52"/>
      <c r="F47" s="37"/>
      <c r="G47" s="52"/>
      <c r="H47" s="52"/>
      <c r="I47" s="52"/>
      <c r="J47" s="100" t="str">
        <f aca="true">IF(OR($B47="",$I47=""),"",$I47-TODAY())</f>
        <v/>
      </c>
      <c r="K47" s="101" t="str">
        <f aca="false">IF($B47="","",IF($I47="","∞ Vitalício",IF($J47&lt;0,"■ Vencido",IF($J47&lt;=Listas!$H$6,"▲ A vencer","● Ativo"))))</f>
        <v/>
      </c>
      <c r="L47" s="102"/>
      <c r="M47" s="102"/>
      <c r="N47" s="43" t="str">
        <f aca="false">IF($B47="","",IF(N($L47)=0,0,MIN(1,N($M47)/$L47)))</f>
        <v/>
      </c>
      <c r="O47" s="63" t="str">
        <f aca="false">IF($B47="","",SUMIFS('Diário de Estudo'!$D$7:$D$506,'Diário de Estudo'!$C$7:$C$506,$B47))</f>
        <v/>
      </c>
      <c r="P47" s="103" t="str">
        <f aca="false">IF($B47="","",IF(AND(N($O47)&gt;0,N($F47)&gt;0),$F47/$O47,""))</f>
        <v/>
      </c>
      <c r="Q47" s="60" t="str">
        <f aca="true">IF($B47="","",IF(OR(N($L47)=0,$G47=""),"",IF(N($M47)&gt;=$L47,"Concluído",IF(OR(N($M47)&lt;=0,TODAY()&lt;=$G47),"Sem ritmo",TODAY()+ROUNDUP(($L47-$M47)/($M47/(TODAY()-$G47)),0)))))</f>
        <v/>
      </c>
      <c r="R47" s="101" t="str">
        <f aca="false">IF($B47="","",IF(ISNUMBER($Q47),IF(AND(ISNUMBER($I47),$Q47&gt;$I47),"■ Estoura o acesso",IF(AND(ISNUMBER($H47),$Q47&gt;$H47),"▲ Atrasado vs plano","● No prazo")),IF($Q47="Concluído","◆ Concluído","—")))</f>
        <v/>
      </c>
      <c r="S47" s="81"/>
      <c r="T47" s="81"/>
      <c r="U47" s="81"/>
      <c r="V47" s="13"/>
      <c r="W47" s="13"/>
      <c r="X47" s="13"/>
      <c r="Y47" s="11"/>
    </row>
    <row r="48" customFormat="false" ht="21.75" hidden="false" customHeight="true" outlineLevel="0" collapsed="false">
      <c r="A48" s="58" t="str">
        <f aca="false">IF($B48="","","PG-"&amp;TEXT(ROW()-9,"00"))</f>
        <v/>
      </c>
      <c r="B48" s="13"/>
      <c r="C48" s="13"/>
      <c r="D48" s="81"/>
      <c r="E48" s="52"/>
      <c r="F48" s="37"/>
      <c r="G48" s="52"/>
      <c r="H48" s="52"/>
      <c r="I48" s="52"/>
      <c r="J48" s="100" t="str">
        <f aca="true">IF(OR($B48="",$I48=""),"",$I48-TODAY())</f>
        <v/>
      </c>
      <c r="K48" s="101" t="str">
        <f aca="false">IF($B48="","",IF($I48="","∞ Vitalício",IF($J48&lt;0,"■ Vencido",IF($J48&lt;=Listas!$H$6,"▲ A vencer","● Ativo"))))</f>
        <v/>
      </c>
      <c r="L48" s="102"/>
      <c r="M48" s="102"/>
      <c r="N48" s="43" t="str">
        <f aca="false">IF($B48="","",IF(N($L48)=0,0,MIN(1,N($M48)/$L48)))</f>
        <v/>
      </c>
      <c r="O48" s="63" t="str">
        <f aca="false">IF($B48="","",SUMIFS('Diário de Estudo'!$D$7:$D$506,'Diário de Estudo'!$C$7:$C$506,$B48))</f>
        <v/>
      </c>
      <c r="P48" s="103" t="str">
        <f aca="false">IF($B48="","",IF(AND(N($O48)&gt;0,N($F48)&gt;0),$F48/$O48,""))</f>
        <v/>
      </c>
      <c r="Q48" s="60" t="str">
        <f aca="true">IF($B48="","",IF(OR(N($L48)=0,$G48=""),"",IF(N($M48)&gt;=$L48,"Concluído",IF(OR(N($M48)&lt;=0,TODAY()&lt;=$G48),"Sem ritmo",TODAY()+ROUNDUP(($L48-$M48)/($M48/(TODAY()-$G48)),0)))))</f>
        <v/>
      </c>
      <c r="R48" s="101" t="str">
        <f aca="false">IF($B48="","",IF(ISNUMBER($Q48),IF(AND(ISNUMBER($I48),$Q48&gt;$I48),"■ Estoura o acesso",IF(AND(ISNUMBER($H48),$Q48&gt;$H48),"▲ Atrasado vs plano","● No prazo")),IF($Q48="Concluído","◆ Concluído","—")))</f>
        <v/>
      </c>
      <c r="S48" s="81"/>
      <c r="T48" s="81"/>
      <c r="U48" s="81"/>
      <c r="V48" s="13"/>
      <c r="W48" s="13"/>
      <c r="X48" s="13"/>
      <c r="Y48" s="11"/>
    </row>
    <row r="49" customFormat="false" ht="21.75" hidden="false" customHeight="true" outlineLevel="0" collapsed="false">
      <c r="A49" s="58" t="str">
        <f aca="false">IF($B49="","","PG-"&amp;TEXT(ROW()-9,"00"))</f>
        <v/>
      </c>
      <c r="B49" s="13"/>
      <c r="C49" s="13"/>
      <c r="D49" s="81"/>
      <c r="E49" s="52"/>
      <c r="F49" s="37"/>
      <c r="G49" s="52"/>
      <c r="H49" s="52"/>
      <c r="I49" s="52"/>
      <c r="J49" s="100" t="str">
        <f aca="true">IF(OR($B49="",$I49=""),"",$I49-TODAY())</f>
        <v/>
      </c>
      <c r="K49" s="101" t="str">
        <f aca="false">IF($B49="","",IF($I49="","∞ Vitalício",IF($J49&lt;0,"■ Vencido",IF($J49&lt;=Listas!$H$6,"▲ A vencer","● Ativo"))))</f>
        <v/>
      </c>
      <c r="L49" s="102"/>
      <c r="M49" s="102"/>
      <c r="N49" s="43" t="str">
        <f aca="false">IF($B49="","",IF(N($L49)=0,0,MIN(1,N($M49)/$L49)))</f>
        <v/>
      </c>
      <c r="O49" s="63" t="str">
        <f aca="false">IF($B49="","",SUMIFS('Diário de Estudo'!$D$7:$D$506,'Diário de Estudo'!$C$7:$C$506,$B49))</f>
        <v/>
      </c>
      <c r="P49" s="103" t="str">
        <f aca="false">IF($B49="","",IF(AND(N($O49)&gt;0,N($F49)&gt;0),$F49/$O49,""))</f>
        <v/>
      </c>
      <c r="Q49" s="60" t="str">
        <f aca="true">IF($B49="","",IF(OR(N($L49)=0,$G49=""),"",IF(N($M49)&gt;=$L49,"Concluído",IF(OR(N($M49)&lt;=0,TODAY()&lt;=$G49),"Sem ritmo",TODAY()+ROUNDUP(($L49-$M49)/($M49/(TODAY()-$G49)),0)))))</f>
        <v/>
      </c>
      <c r="R49" s="101" t="str">
        <f aca="false">IF($B49="","",IF(ISNUMBER($Q49),IF(AND(ISNUMBER($I49),$Q49&gt;$I49),"■ Estoura o acesso",IF(AND(ISNUMBER($H49),$Q49&gt;$H49),"▲ Atrasado vs plano","● No prazo")),IF($Q49="Concluído","◆ Concluído","—")))</f>
        <v/>
      </c>
      <c r="S49" s="81"/>
      <c r="T49" s="81"/>
      <c r="U49" s="81"/>
      <c r="V49" s="13"/>
      <c r="W49" s="13"/>
      <c r="X49" s="13"/>
      <c r="Y49" s="11"/>
    </row>
  </sheetData>
  <autoFilter ref="A9:Y49"/>
  <mergeCells count="22">
    <mergeCell ref="A1:Y1"/>
    <mergeCell ref="A2:V2"/>
    <mergeCell ref="W2:Y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S10:S49">
    <cfRule type="cellIs" priority="2" operator="equal" aboveAverage="0" equalAverage="0" bottom="0" percent="0" rank="0" text="" dxfId="8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19">
      <formula>"Pausado"</formula>
    </cfRule>
  </conditionalFormatting>
  <conditionalFormatting sqref="T10:T49">
    <cfRule type="cellIs" priority="5" operator="equal" aboveAverage="0" equalAverage="0" bottom="0" percent="0" rank="0" text="" dxfId="2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{CD2E8156-BD89-48D4-9E40-838050C6D9F2}</x14:id>
        </ext>
      </extLst>
    </cfRule>
  </conditionalFormatting>
  <conditionalFormatting sqref="U10:U49">
    <cfRule type="cellIs" priority="7" operator="equal" aboveAverage="0" equalAverage="0" bottom="0" percent="0" rank="0" text="" dxfId="8">
      <formula>"Emitido"</formula>
    </cfRule>
    <cfRule type="cellIs" priority="8" operator="equal" aboveAverage="0" equalAverage="0" bottom="0" percent="0" rank="0" text="" dxfId="20">
      <formula>"Em emissão"</formula>
    </cfRule>
  </conditionalFormatting>
  <conditionalFormatting sqref="R10:R49">
    <cfRule type="expression" priority="9" aboveAverage="0" equalAverage="0" bottom="0" percent="0" rank="0" text="" dxfId="0">
      <formula>ISNUMBER(SEARCH("Estoura",R10))</formula>
    </cfRule>
    <cfRule type="expression" priority="10" aboveAverage="0" equalAverage="0" bottom="0" percent="0" rank="0" text="" dxfId="1">
      <formula>ISNUMBER(SEARCH("Atrasado",R10))</formula>
    </cfRule>
    <cfRule type="expression" priority="11" aboveAverage="0" equalAverage="0" bottom="0" percent="0" rank="0" text="" dxfId="21">
      <formula>ISNUMBER(SEARCH("No prazo",R10))</formula>
    </cfRule>
    <cfRule type="expression" priority="12" aboveAverage="0" equalAverage="0" bottom="0" percent="0" rank="0" text="" dxfId="22">
      <formula>ISNUMBER(SEARCH("Concluído",R10))</formula>
    </cfRule>
  </conditionalFormatting>
  <conditionalFormatting sqref="J10:K49">
    <cfRule type="expression" priority="13" aboveAverage="0" equalAverage="0" bottom="0" percent="0" rank="0" text="" dxfId="0">
      <formula>ISNUMBER(SEARCH("Vencido",$K10))</formula>
    </cfRule>
    <cfRule type="expression" priority="14" aboveAverage="0" equalAverage="0" bottom="0" percent="0" rank="0" text="" dxfId="1">
      <formula>ISNUMBER(SEARCH("A vencer",$K10))</formula>
    </cfRule>
    <cfRule type="expression" priority="15" aboveAverage="0" equalAverage="0" bottom="0" percent="0" rank="0" text="" dxfId="21">
      <formula>ISNUMBER(SEARCH("Ativo",$K10))</formula>
    </cfRule>
  </conditionalFormatting>
  <dataValidations count="6">
    <dataValidation allowBlank="true" error="Valor inválido para esta coluna." errorStyle="stop" errorTitle="Atenção" operator="between" showDropDown="false" showErrorMessage="true" showInputMessage="false" sqref="D10:D49" type="list">
      <formula1>Listas!$C$6:$C$8</formula1>
      <formula2>0</formula2>
    </dataValidation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S10:S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T10:T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U10:U49" type="list">
      <formula1>Listas!$F$6:$F$9</formula1>
      <formula2>0</formula2>
    </dataValidation>
  </dataValidations>
  <hyperlinks>
    <hyperlink ref="W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2E8156-BD89-48D4-9E40-838050C6D9F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AA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9"/>
    <col collapsed="false" customWidth="true" hidden="false" outlineLevel="0" max="15" min="14" style="0" width="14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15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26"/>
    <col collapsed="false" customWidth="true" hidden="false" outlineLevel="0" max="25" min="25" style="0" width="22"/>
    <col collapsed="false" customWidth="true" hidden="false" outlineLevel="0" max="26" min="26" style="0" width="30"/>
    <col collapsed="false" customWidth="true" hidden="false" outlineLevel="0" max="27" min="27" style="0" width="36"/>
  </cols>
  <sheetData>
    <row r="1" customFormat="false" ht="37.5" hidden="false" customHeight="true" outlineLevel="0" collapsed="false">
      <c r="A1" s="20" t="s">
        <v>195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customFormat="false" ht="19.5" hidden="false" customHeight="true" outlineLevel="0" collapsed="false">
      <c r="A2" s="21" t="s">
        <v>196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2" t="s">
        <v>57</v>
      </c>
      <c r="Z2" s="22"/>
      <c r="AA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159</v>
      </c>
      <c r="C5" s="23"/>
      <c r="D5" s="23" t="s">
        <v>59</v>
      </c>
      <c r="E5" s="23"/>
      <c r="F5" s="23" t="s">
        <v>60</v>
      </c>
      <c r="G5" s="23"/>
      <c r="H5" s="23" t="s">
        <v>160</v>
      </c>
      <c r="I5" s="23"/>
      <c r="J5" s="23" t="s">
        <v>62</v>
      </c>
      <c r="K5" s="23"/>
      <c r="L5" s="23" t="s">
        <v>161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COUNTIF(U10:U49,"Em andamento")</f>
        <v>1</v>
      </c>
      <c r="E6" s="24"/>
      <c r="F6" s="24" t="n">
        <f aca="false">COUNTIF(U10:U49,"Concluído")</f>
        <v>0</v>
      </c>
      <c r="G6" s="24"/>
      <c r="H6" s="25" t="n">
        <f aca="false">SUM(H10:H49)</f>
        <v>1490</v>
      </c>
      <c r="I6" s="25"/>
      <c r="J6" s="26" t="n">
        <f aca="false">IFERROR(AVERAGE(P10:P49),0)</f>
        <v>0.25</v>
      </c>
      <c r="K6" s="26"/>
      <c r="L6" s="24" t="n">
        <f aca="false">COUNTIF(M10:M49,"*A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7" t="s">
        <v>162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customFormat="false" ht="36" hidden="false" customHeight="true" outlineLevel="0" collapsed="false">
      <c r="A9" s="99" t="s">
        <v>163</v>
      </c>
      <c r="B9" s="34" t="s">
        <v>197</v>
      </c>
      <c r="C9" s="34" t="s">
        <v>198</v>
      </c>
      <c r="D9" s="34" t="s">
        <v>199</v>
      </c>
      <c r="E9" s="34" t="s">
        <v>200</v>
      </c>
      <c r="F9" s="34" t="s">
        <v>201</v>
      </c>
      <c r="G9" s="34" t="s">
        <v>167</v>
      </c>
      <c r="H9" s="34" t="s">
        <v>168</v>
      </c>
      <c r="I9" s="34" t="s">
        <v>169</v>
      </c>
      <c r="J9" s="34" t="s">
        <v>170</v>
      </c>
      <c r="K9" s="34" t="s">
        <v>171</v>
      </c>
      <c r="L9" s="99" t="s">
        <v>172</v>
      </c>
      <c r="M9" s="99" t="s">
        <v>173</v>
      </c>
      <c r="N9" s="34" t="s">
        <v>202</v>
      </c>
      <c r="O9" s="34" t="s">
        <v>203</v>
      </c>
      <c r="P9" s="99" t="s">
        <v>176</v>
      </c>
      <c r="Q9" s="99" t="s">
        <v>177</v>
      </c>
      <c r="R9" s="99" t="s">
        <v>178</v>
      </c>
      <c r="S9" s="99" t="s">
        <v>179</v>
      </c>
      <c r="T9" s="99" t="s">
        <v>180</v>
      </c>
      <c r="U9" s="34" t="s">
        <v>109</v>
      </c>
      <c r="V9" s="34" t="s">
        <v>181</v>
      </c>
      <c r="W9" s="34" t="s">
        <v>182</v>
      </c>
      <c r="X9" s="34" t="s">
        <v>183</v>
      </c>
      <c r="Y9" s="34" t="s">
        <v>184</v>
      </c>
      <c r="Z9" s="34" t="s">
        <v>185</v>
      </c>
      <c r="AA9" s="34" t="s">
        <v>186</v>
      </c>
    </row>
    <row r="10" customFormat="false" ht="21.75" hidden="false" customHeight="true" outlineLevel="0" collapsed="false">
      <c r="A10" s="58" t="str">
        <f aca="false">IF($B10="","","CO-"&amp;TEXT(ROW()-9,"00"))</f>
        <v>CO-01</v>
      </c>
      <c r="B10" s="13" t="s">
        <v>204</v>
      </c>
      <c r="C10" s="13" t="s">
        <v>205</v>
      </c>
      <c r="D10" s="13" t="s">
        <v>206</v>
      </c>
      <c r="E10" s="13" t="s">
        <v>207</v>
      </c>
      <c r="F10" s="52" t="n">
        <v>46460</v>
      </c>
      <c r="G10" s="52" t="n">
        <v>46270</v>
      </c>
      <c r="H10" s="37" t="n">
        <v>1490</v>
      </c>
      <c r="I10" s="52" t="n">
        <v>46280</v>
      </c>
      <c r="J10" s="52" t="n">
        <v>46446</v>
      </c>
      <c r="K10" s="52" t="n">
        <v>46568</v>
      </c>
      <c r="L10" s="100" t="n">
        <f aca="true">IF(OR($B10="",$K10=""),"",$K10-TODAY())</f>
        <v>270</v>
      </c>
      <c r="M10" s="101" t="str">
        <f aca="false">IF($B10="","",IF($K10="","∞ Vitalício",IF($L10&lt;0,"■ Vencido",IF($L10&lt;=Listas!$H$6,"▲ A vencer","● Ativo"))))</f>
        <v>● Ativo</v>
      </c>
      <c r="N10" s="102" t="n">
        <v>180</v>
      </c>
      <c r="O10" s="102" t="n">
        <v>45</v>
      </c>
      <c r="P10" s="43" t="n">
        <f aca="false">IF($B10="","",IF(N($N10)=0,0,MIN(1,N($O10)/$N10)))</f>
        <v>0.25</v>
      </c>
      <c r="Q10" s="63" t="n">
        <f aca="false">IF($B10="","",SUMIFS('Diário de Estudo'!$D$7:$D$506,'Diário de Estudo'!$C$7:$C$506,$B10))</f>
        <v>0</v>
      </c>
      <c r="R10" s="103" t="str">
        <f aca="false">IF($B10="","",IF(AND(N($Q10)&gt;0,N($H10)&gt;0),$H10/$Q10,""))</f>
        <v/>
      </c>
      <c r="S10" s="60" t="n">
        <f aca="true">IF($B10="","",IF(OR(N($N10)=0,$I10=""),"",IF(N($O10)&gt;=$N10,"Concluído",IF(OR(N($O10)&lt;=0,TODAY()&lt;=$I10),"Sem ritmo",TODAY()+ROUNDUP(($N10-$O10)/($O10/(TODAY()-$I10)),0)))))</f>
        <v>46352</v>
      </c>
      <c r="T10" s="101" t="str">
        <f aca="false">IF($B10="","",IF(ISNUMBER($S10),IF(AND(ISNUMBER($K10),$S10&gt;$K10),"■ Estoura o acesso",IF(AND(ISNUMBER($J10),$S10&gt;$J10),"▲ Atrasado vs plano","● No prazo")),IF($S10="Concluído","◆ Concluído","—")))</f>
        <v>● No prazo</v>
      </c>
      <c r="U10" s="81" t="s">
        <v>41</v>
      </c>
      <c r="V10" s="81" t="s">
        <v>189</v>
      </c>
      <c r="W10" s="81" t="s">
        <v>208</v>
      </c>
      <c r="X10" s="13" t="s">
        <v>191</v>
      </c>
      <c r="Y10" s="13" t="s">
        <v>192</v>
      </c>
      <c r="Z10" s="13" t="s">
        <v>209</v>
      </c>
      <c r="AA10" s="11" t="s">
        <v>194</v>
      </c>
    </row>
    <row r="11" customFormat="false" ht="21.75" hidden="false" customHeight="true" outlineLevel="0" collapsed="false">
      <c r="A11" s="58" t="str">
        <f aca="false">IF($B11="","","CO-"&amp;TEXT(ROW()-9,"00"))</f>
        <v/>
      </c>
      <c r="B11" s="13"/>
      <c r="C11" s="13"/>
      <c r="D11" s="13"/>
      <c r="E11" s="13"/>
      <c r="F11" s="52"/>
      <c r="G11" s="52"/>
      <c r="H11" s="37"/>
      <c r="I11" s="52"/>
      <c r="J11" s="52"/>
      <c r="K11" s="52"/>
      <c r="L11" s="100" t="str">
        <f aca="true">IF(OR($B11="",$K11=""),"",$K11-TODAY())</f>
        <v/>
      </c>
      <c r="M11" s="101" t="str">
        <f aca="false">IF($B11="","",IF($K11="","∞ Vitalício",IF($L11&lt;0,"■ Vencido",IF($L11&lt;=Listas!$H$6,"▲ A vencer","● Ativo"))))</f>
        <v/>
      </c>
      <c r="N11" s="102"/>
      <c r="O11" s="102"/>
      <c r="P11" s="43" t="str">
        <f aca="false">IF($B11="","",IF(N($N11)=0,0,MIN(1,N($O11)/$N11)))</f>
        <v/>
      </c>
      <c r="Q11" s="63" t="str">
        <f aca="false">IF($B11="","",SUMIFS('Diário de Estudo'!$D$7:$D$506,'Diário de Estudo'!$C$7:$C$506,$B11))</f>
        <v/>
      </c>
      <c r="R11" s="103" t="str">
        <f aca="false">IF($B11="","",IF(AND(N($Q11)&gt;0,N($H11)&gt;0),$H11/$Q11,""))</f>
        <v/>
      </c>
      <c r="S11" s="60" t="str">
        <f aca="true">IF($B11="","",IF(OR(N($N11)=0,$I11=""),"",IF(N($O11)&gt;=$N11,"Concluído",IF(OR(N($O11)&lt;=0,TODAY()&lt;=$I11),"Sem ritmo",TODAY()+ROUNDUP(($N11-$O11)/($O11/(TODAY()-$I11)),0)))))</f>
        <v/>
      </c>
      <c r="T11" s="101" t="str">
        <f aca="false">IF($B11="","",IF(ISNUMBER($S11),IF(AND(ISNUMBER($K11),$S11&gt;$K11),"■ Estoura o acesso",IF(AND(ISNUMBER($J11),$S11&gt;$J11),"▲ Atrasado vs plano","● No prazo")),IF($S11="Concluído","◆ Concluído","—")))</f>
        <v/>
      </c>
      <c r="U11" s="81"/>
      <c r="V11" s="81"/>
      <c r="W11" s="81"/>
      <c r="X11" s="13"/>
      <c r="Y11" s="13"/>
      <c r="Z11" s="13"/>
      <c r="AA11" s="11"/>
    </row>
    <row r="12" customFormat="false" ht="21.75" hidden="false" customHeight="true" outlineLevel="0" collapsed="false">
      <c r="A12" s="58" t="str">
        <f aca="false">IF($B12="","","CO-"&amp;TEXT(ROW()-9,"00"))</f>
        <v/>
      </c>
      <c r="B12" s="13"/>
      <c r="C12" s="13"/>
      <c r="D12" s="13"/>
      <c r="E12" s="13"/>
      <c r="F12" s="52"/>
      <c r="G12" s="52"/>
      <c r="H12" s="37"/>
      <c r="I12" s="52"/>
      <c r="J12" s="52"/>
      <c r="K12" s="52"/>
      <c r="L12" s="100" t="str">
        <f aca="true">IF(OR($B12="",$K12=""),"",$K12-TODAY())</f>
        <v/>
      </c>
      <c r="M12" s="101" t="str">
        <f aca="false">IF($B12="","",IF($K12="","∞ Vitalício",IF($L12&lt;0,"■ Vencido",IF($L12&lt;=Listas!$H$6,"▲ A vencer","● Ativo"))))</f>
        <v/>
      </c>
      <c r="N12" s="102"/>
      <c r="O12" s="102"/>
      <c r="P12" s="43" t="str">
        <f aca="false">IF($B12="","",IF(N($N12)=0,0,MIN(1,N($O12)/$N12)))</f>
        <v/>
      </c>
      <c r="Q12" s="63" t="str">
        <f aca="false">IF($B12="","",SUMIFS('Diário de Estudo'!$D$7:$D$506,'Diário de Estudo'!$C$7:$C$506,$B12))</f>
        <v/>
      </c>
      <c r="R12" s="103" t="str">
        <f aca="false">IF($B12="","",IF(AND(N($Q12)&gt;0,N($H12)&gt;0),$H12/$Q12,""))</f>
        <v/>
      </c>
      <c r="S12" s="60" t="str">
        <f aca="true">IF($B12="","",IF(OR(N($N12)=0,$I12=""),"",IF(N($O12)&gt;=$N12,"Concluído",IF(OR(N($O12)&lt;=0,TODAY()&lt;=$I12),"Sem ritmo",TODAY()+ROUNDUP(($N12-$O12)/($O12/(TODAY()-$I12)),0)))))</f>
        <v/>
      </c>
      <c r="T12" s="101" t="str">
        <f aca="false">IF($B12="","",IF(ISNUMBER($S12),IF(AND(ISNUMBER($K12),$S12&gt;$K12),"■ Estoura o acesso",IF(AND(ISNUMBER($J12),$S12&gt;$J12),"▲ Atrasado vs plano","● No prazo")),IF($S12="Concluído","◆ Concluído","—")))</f>
        <v/>
      </c>
      <c r="U12" s="81"/>
      <c r="V12" s="81"/>
      <c r="W12" s="81"/>
      <c r="X12" s="13"/>
      <c r="Y12" s="13"/>
      <c r="Z12" s="13"/>
      <c r="AA12" s="11"/>
    </row>
    <row r="13" customFormat="false" ht="21.75" hidden="false" customHeight="true" outlineLevel="0" collapsed="false">
      <c r="A13" s="58" t="str">
        <f aca="false">IF($B13="","","CO-"&amp;TEXT(ROW()-9,"00"))</f>
        <v/>
      </c>
      <c r="B13" s="13"/>
      <c r="C13" s="13"/>
      <c r="D13" s="13"/>
      <c r="E13" s="13"/>
      <c r="F13" s="52"/>
      <c r="G13" s="52"/>
      <c r="H13" s="37"/>
      <c r="I13" s="52"/>
      <c r="J13" s="52"/>
      <c r="K13" s="52"/>
      <c r="L13" s="100" t="str">
        <f aca="true">IF(OR($B13="",$K13=""),"",$K13-TODAY())</f>
        <v/>
      </c>
      <c r="M13" s="101" t="str">
        <f aca="false">IF($B13="","",IF($K13="","∞ Vitalício",IF($L13&lt;0,"■ Vencido",IF($L13&lt;=Listas!$H$6,"▲ A vencer","● Ativo"))))</f>
        <v/>
      </c>
      <c r="N13" s="102"/>
      <c r="O13" s="102"/>
      <c r="P13" s="43" t="str">
        <f aca="false">IF($B13="","",IF(N($N13)=0,0,MIN(1,N($O13)/$N13)))</f>
        <v/>
      </c>
      <c r="Q13" s="63" t="str">
        <f aca="false">IF($B13="","",SUMIFS('Diário de Estudo'!$D$7:$D$506,'Diário de Estudo'!$C$7:$C$506,$B13))</f>
        <v/>
      </c>
      <c r="R13" s="103" t="str">
        <f aca="false">IF($B13="","",IF(AND(N($Q13)&gt;0,N($H13)&gt;0),$H13/$Q13,""))</f>
        <v/>
      </c>
      <c r="S13" s="60" t="str">
        <f aca="true">IF($B13="","",IF(OR(N($N13)=0,$I13=""),"",IF(N($O13)&gt;=$N13,"Concluído",IF(OR(N($O13)&lt;=0,TODAY()&lt;=$I13),"Sem ritmo",TODAY()+ROUNDUP(($N13-$O13)/($O13/(TODAY()-$I13)),0)))))</f>
        <v/>
      </c>
      <c r="T13" s="101" t="str">
        <f aca="false">IF($B13="","",IF(ISNUMBER($S13),IF(AND(ISNUMBER($K13),$S13&gt;$K13),"■ Estoura o acesso",IF(AND(ISNUMBER($J13),$S13&gt;$J13),"▲ Atrasado vs plano","● No prazo")),IF($S13="Concluído","◆ Concluído","—")))</f>
        <v/>
      </c>
      <c r="U13" s="81"/>
      <c r="V13" s="81"/>
      <c r="W13" s="81"/>
      <c r="X13" s="13"/>
      <c r="Y13" s="13"/>
      <c r="Z13" s="13"/>
      <c r="AA13" s="11"/>
    </row>
    <row r="14" customFormat="false" ht="21.75" hidden="false" customHeight="true" outlineLevel="0" collapsed="false">
      <c r="A14" s="58" t="str">
        <f aca="false">IF($B14="","","CO-"&amp;TEXT(ROW()-9,"00"))</f>
        <v/>
      </c>
      <c r="B14" s="13"/>
      <c r="C14" s="13"/>
      <c r="D14" s="13"/>
      <c r="E14" s="13"/>
      <c r="F14" s="52"/>
      <c r="G14" s="52"/>
      <c r="H14" s="37"/>
      <c r="I14" s="52"/>
      <c r="J14" s="52"/>
      <c r="K14" s="52"/>
      <c r="L14" s="100" t="str">
        <f aca="true">IF(OR($B14="",$K14=""),"",$K14-TODAY())</f>
        <v/>
      </c>
      <c r="M14" s="101" t="str">
        <f aca="false">IF($B14="","",IF($K14="","∞ Vitalício",IF($L14&lt;0,"■ Vencido",IF($L14&lt;=Listas!$H$6,"▲ A vencer","● Ativo"))))</f>
        <v/>
      </c>
      <c r="N14" s="102"/>
      <c r="O14" s="102"/>
      <c r="P14" s="43" t="str">
        <f aca="false">IF($B14="","",IF(N($N14)=0,0,MIN(1,N($O14)/$N14)))</f>
        <v/>
      </c>
      <c r="Q14" s="63" t="str">
        <f aca="false">IF($B14="","",SUMIFS('Diário de Estudo'!$D$7:$D$506,'Diário de Estudo'!$C$7:$C$506,$B14))</f>
        <v/>
      </c>
      <c r="R14" s="103" t="str">
        <f aca="false">IF($B14="","",IF(AND(N($Q14)&gt;0,N($H14)&gt;0),$H14/$Q14,""))</f>
        <v/>
      </c>
      <c r="S14" s="60" t="str">
        <f aca="true">IF($B14="","",IF(OR(N($N14)=0,$I14=""),"",IF(N($O14)&gt;=$N14,"Concluído",IF(OR(N($O14)&lt;=0,TODAY()&lt;=$I14),"Sem ritmo",TODAY()+ROUNDUP(($N14-$O14)/($O14/(TODAY()-$I14)),0)))))</f>
        <v/>
      </c>
      <c r="T14" s="101" t="str">
        <f aca="false">IF($B14="","",IF(ISNUMBER($S14),IF(AND(ISNUMBER($K14),$S14&gt;$K14),"■ Estoura o acesso",IF(AND(ISNUMBER($J14),$S14&gt;$J14),"▲ Atrasado vs plano","● No prazo")),IF($S14="Concluído","◆ Concluído","—")))</f>
        <v/>
      </c>
      <c r="U14" s="81"/>
      <c r="V14" s="81"/>
      <c r="W14" s="81"/>
      <c r="X14" s="13"/>
      <c r="Y14" s="13"/>
      <c r="Z14" s="13"/>
      <c r="AA14" s="11"/>
    </row>
    <row r="15" customFormat="false" ht="21.75" hidden="false" customHeight="true" outlineLevel="0" collapsed="false">
      <c r="A15" s="58" t="str">
        <f aca="false">IF($B15="","","CO-"&amp;TEXT(ROW()-9,"00"))</f>
        <v/>
      </c>
      <c r="B15" s="13"/>
      <c r="C15" s="13"/>
      <c r="D15" s="13"/>
      <c r="E15" s="13"/>
      <c r="F15" s="52"/>
      <c r="G15" s="52"/>
      <c r="H15" s="37"/>
      <c r="I15" s="52"/>
      <c r="J15" s="52"/>
      <c r="K15" s="52"/>
      <c r="L15" s="100" t="str">
        <f aca="true">IF(OR($B15="",$K15=""),"",$K15-TODAY())</f>
        <v/>
      </c>
      <c r="M15" s="101" t="str">
        <f aca="false">IF($B15="","",IF($K15="","∞ Vitalício",IF($L15&lt;0,"■ Vencido",IF($L15&lt;=Listas!$H$6,"▲ A vencer","● Ativo"))))</f>
        <v/>
      </c>
      <c r="N15" s="102"/>
      <c r="O15" s="102"/>
      <c r="P15" s="43" t="str">
        <f aca="false">IF($B15="","",IF(N($N15)=0,0,MIN(1,N($O15)/$N15)))</f>
        <v/>
      </c>
      <c r="Q15" s="63" t="str">
        <f aca="false">IF($B15="","",SUMIFS('Diário de Estudo'!$D$7:$D$506,'Diário de Estudo'!$C$7:$C$506,$B15))</f>
        <v/>
      </c>
      <c r="R15" s="103" t="str">
        <f aca="false">IF($B15="","",IF(AND(N($Q15)&gt;0,N($H15)&gt;0),$H15/$Q15,""))</f>
        <v/>
      </c>
      <c r="S15" s="60" t="str">
        <f aca="true">IF($B15="","",IF(OR(N($N15)=0,$I15=""),"",IF(N($O15)&gt;=$N15,"Concluído",IF(OR(N($O15)&lt;=0,TODAY()&lt;=$I15),"Sem ritmo",TODAY()+ROUNDUP(($N15-$O15)/($O15/(TODAY()-$I15)),0)))))</f>
        <v/>
      </c>
      <c r="T15" s="101" t="str">
        <f aca="false">IF($B15="","",IF(ISNUMBER($S15),IF(AND(ISNUMBER($K15),$S15&gt;$K15),"■ Estoura o acesso",IF(AND(ISNUMBER($J15),$S15&gt;$J15),"▲ Atrasado vs plano","● No prazo")),IF($S15="Concluído","◆ Concluído","—")))</f>
        <v/>
      </c>
      <c r="U15" s="81"/>
      <c r="V15" s="81"/>
      <c r="W15" s="81"/>
      <c r="X15" s="13"/>
      <c r="Y15" s="13"/>
      <c r="Z15" s="13"/>
      <c r="AA15" s="11"/>
    </row>
    <row r="16" customFormat="false" ht="21.75" hidden="false" customHeight="true" outlineLevel="0" collapsed="false">
      <c r="A16" s="58" t="str">
        <f aca="false">IF($B16="","","CO-"&amp;TEXT(ROW()-9,"00"))</f>
        <v/>
      </c>
      <c r="B16" s="13"/>
      <c r="C16" s="13"/>
      <c r="D16" s="13"/>
      <c r="E16" s="13"/>
      <c r="F16" s="52"/>
      <c r="G16" s="52"/>
      <c r="H16" s="37"/>
      <c r="I16" s="52"/>
      <c r="J16" s="52"/>
      <c r="K16" s="52"/>
      <c r="L16" s="100" t="str">
        <f aca="true">IF(OR($B16="",$K16=""),"",$K16-TODAY())</f>
        <v/>
      </c>
      <c r="M16" s="101" t="str">
        <f aca="false">IF($B16="","",IF($K16="","∞ Vitalício",IF($L16&lt;0,"■ Vencido",IF($L16&lt;=Listas!$H$6,"▲ A vencer","● Ativo"))))</f>
        <v/>
      </c>
      <c r="N16" s="102"/>
      <c r="O16" s="102"/>
      <c r="P16" s="43" t="str">
        <f aca="false">IF($B16="","",IF(N($N16)=0,0,MIN(1,N($O16)/$N16)))</f>
        <v/>
      </c>
      <c r="Q16" s="63" t="str">
        <f aca="false">IF($B16="","",SUMIFS('Diário de Estudo'!$D$7:$D$506,'Diário de Estudo'!$C$7:$C$506,$B16))</f>
        <v/>
      </c>
      <c r="R16" s="103" t="str">
        <f aca="false">IF($B16="","",IF(AND(N($Q16)&gt;0,N($H16)&gt;0),$H16/$Q16,""))</f>
        <v/>
      </c>
      <c r="S16" s="60" t="str">
        <f aca="true">IF($B16="","",IF(OR(N($N16)=0,$I16=""),"",IF(N($O16)&gt;=$N16,"Concluído",IF(OR(N($O16)&lt;=0,TODAY()&lt;=$I16),"Sem ritmo",TODAY()+ROUNDUP(($N16-$O16)/($O16/(TODAY()-$I16)),0)))))</f>
        <v/>
      </c>
      <c r="T16" s="101" t="str">
        <f aca="false">IF($B16="","",IF(ISNUMBER($S16),IF(AND(ISNUMBER($K16),$S16&gt;$K16),"■ Estoura o acesso",IF(AND(ISNUMBER($J16),$S16&gt;$J16),"▲ Atrasado vs plano","● No prazo")),IF($S16="Concluído","◆ Concluído","—")))</f>
        <v/>
      </c>
      <c r="U16" s="81"/>
      <c r="V16" s="81"/>
      <c r="W16" s="81"/>
      <c r="X16" s="13"/>
      <c r="Y16" s="13"/>
      <c r="Z16" s="13"/>
      <c r="AA16" s="11"/>
    </row>
    <row r="17" customFormat="false" ht="21.75" hidden="false" customHeight="true" outlineLevel="0" collapsed="false">
      <c r="A17" s="58" t="str">
        <f aca="false">IF($B17="","","CO-"&amp;TEXT(ROW()-9,"00"))</f>
        <v/>
      </c>
      <c r="B17" s="13"/>
      <c r="C17" s="13"/>
      <c r="D17" s="13"/>
      <c r="E17" s="13"/>
      <c r="F17" s="52"/>
      <c r="G17" s="52"/>
      <c r="H17" s="37"/>
      <c r="I17" s="52"/>
      <c r="J17" s="52"/>
      <c r="K17" s="52"/>
      <c r="L17" s="100" t="str">
        <f aca="true">IF(OR($B17="",$K17=""),"",$K17-TODAY())</f>
        <v/>
      </c>
      <c r="M17" s="101" t="str">
        <f aca="false">IF($B17="","",IF($K17="","∞ Vitalício",IF($L17&lt;0,"■ Vencido",IF($L17&lt;=Listas!$H$6,"▲ A vencer","● Ativo"))))</f>
        <v/>
      </c>
      <c r="N17" s="102"/>
      <c r="O17" s="102"/>
      <c r="P17" s="43" t="str">
        <f aca="false">IF($B17="","",IF(N($N17)=0,0,MIN(1,N($O17)/$N17)))</f>
        <v/>
      </c>
      <c r="Q17" s="63" t="str">
        <f aca="false">IF($B17="","",SUMIFS('Diário de Estudo'!$D$7:$D$506,'Diário de Estudo'!$C$7:$C$506,$B17))</f>
        <v/>
      </c>
      <c r="R17" s="103" t="str">
        <f aca="false">IF($B17="","",IF(AND(N($Q17)&gt;0,N($H17)&gt;0),$H17/$Q17,""))</f>
        <v/>
      </c>
      <c r="S17" s="60" t="str">
        <f aca="true">IF($B17="","",IF(OR(N($N17)=0,$I17=""),"",IF(N($O17)&gt;=$N17,"Concluído",IF(OR(N($O17)&lt;=0,TODAY()&lt;=$I17),"Sem ritmo",TODAY()+ROUNDUP(($N17-$O17)/($O17/(TODAY()-$I17)),0)))))</f>
        <v/>
      </c>
      <c r="T17" s="101" t="str">
        <f aca="false">IF($B17="","",IF(ISNUMBER($S17),IF(AND(ISNUMBER($K17),$S17&gt;$K17),"■ Estoura o acesso",IF(AND(ISNUMBER($J17),$S17&gt;$J17),"▲ Atrasado vs plano","● No prazo")),IF($S17="Concluído","◆ Concluído","—")))</f>
        <v/>
      </c>
      <c r="U17" s="81"/>
      <c r="V17" s="81"/>
      <c r="W17" s="81"/>
      <c r="X17" s="13"/>
      <c r="Y17" s="13"/>
      <c r="Z17" s="13"/>
      <c r="AA17" s="11"/>
    </row>
    <row r="18" customFormat="false" ht="21.75" hidden="false" customHeight="true" outlineLevel="0" collapsed="false">
      <c r="A18" s="58" t="str">
        <f aca="false">IF($B18="","","CO-"&amp;TEXT(ROW()-9,"00"))</f>
        <v/>
      </c>
      <c r="B18" s="13"/>
      <c r="C18" s="13"/>
      <c r="D18" s="13"/>
      <c r="E18" s="13"/>
      <c r="F18" s="52"/>
      <c r="G18" s="52"/>
      <c r="H18" s="37"/>
      <c r="I18" s="52"/>
      <c r="J18" s="52"/>
      <c r="K18" s="52"/>
      <c r="L18" s="100" t="str">
        <f aca="true">IF(OR($B18="",$K18=""),"",$K18-TODAY())</f>
        <v/>
      </c>
      <c r="M18" s="101" t="str">
        <f aca="false">IF($B18="","",IF($K18="","∞ Vitalício",IF($L18&lt;0,"■ Vencido",IF($L18&lt;=Listas!$H$6,"▲ A vencer","● Ativo"))))</f>
        <v/>
      </c>
      <c r="N18" s="102"/>
      <c r="O18" s="102"/>
      <c r="P18" s="43" t="str">
        <f aca="false">IF($B18="","",IF(N($N18)=0,0,MIN(1,N($O18)/$N18)))</f>
        <v/>
      </c>
      <c r="Q18" s="63" t="str">
        <f aca="false">IF($B18="","",SUMIFS('Diário de Estudo'!$D$7:$D$506,'Diário de Estudo'!$C$7:$C$506,$B18))</f>
        <v/>
      </c>
      <c r="R18" s="103" t="str">
        <f aca="false">IF($B18="","",IF(AND(N($Q18)&gt;0,N($H18)&gt;0),$H18/$Q18,""))</f>
        <v/>
      </c>
      <c r="S18" s="60" t="str">
        <f aca="true">IF($B18="","",IF(OR(N($N18)=0,$I18=""),"",IF(N($O18)&gt;=$N18,"Concluído",IF(OR(N($O18)&lt;=0,TODAY()&lt;=$I18),"Sem ritmo",TODAY()+ROUNDUP(($N18-$O18)/($O18/(TODAY()-$I18)),0)))))</f>
        <v/>
      </c>
      <c r="T18" s="101" t="str">
        <f aca="false">IF($B18="","",IF(ISNUMBER($S18),IF(AND(ISNUMBER($K18),$S18&gt;$K18),"■ Estoura o acesso",IF(AND(ISNUMBER($J18),$S18&gt;$J18),"▲ Atrasado vs plano","● No prazo")),IF($S18="Concluído","◆ Concluído","—")))</f>
        <v/>
      </c>
      <c r="U18" s="81"/>
      <c r="V18" s="81"/>
      <c r="W18" s="81"/>
      <c r="X18" s="13"/>
      <c r="Y18" s="13"/>
      <c r="Z18" s="13"/>
      <c r="AA18" s="11"/>
    </row>
    <row r="19" customFormat="false" ht="21.75" hidden="false" customHeight="true" outlineLevel="0" collapsed="false">
      <c r="A19" s="58" t="str">
        <f aca="false">IF($B19="","","CO-"&amp;TEXT(ROW()-9,"00"))</f>
        <v/>
      </c>
      <c r="B19" s="13"/>
      <c r="C19" s="13"/>
      <c r="D19" s="13"/>
      <c r="E19" s="13"/>
      <c r="F19" s="52"/>
      <c r="G19" s="52"/>
      <c r="H19" s="37"/>
      <c r="I19" s="52"/>
      <c r="J19" s="52"/>
      <c r="K19" s="52"/>
      <c r="L19" s="100" t="str">
        <f aca="true">IF(OR($B19="",$K19=""),"",$K19-TODAY())</f>
        <v/>
      </c>
      <c r="M19" s="101" t="str">
        <f aca="false">IF($B19="","",IF($K19="","∞ Vitalício",IF($L19&lt;0,"■ Vencido",IF($L19&lt;=Listas!$H$6,"▲ A vencer","● Ativo"))))</f>
        <v/>
      </c>
      <c r="N19" s="102"/>
      <c r="O19" s="102"/>
      <c r="P19" s="43" t="str">
        <f aca="false">IF($B19="","",IF(N($N19)=0,0,MIN(1,N($O19)/$N19)))</f>
        <v/>
      </c>
      <c r="Q19" s="63" t="str">
        <f aca="false">IF($B19="","",SUMIFS('Diário de Estudo'!$D$7:$D$506,'Diário de Estudo'!$C$7:$C$506,$B19))</f>
        <v/>
      </c>
      <c r="R19" s="103" t="str">
        <f aca="false">IF($B19="","",IF(AND(N($Q19)&gt;0,N($H19)&gt;0),$H19/$Q19,""))</f>
        <v/>
      </c>
      <c r="S19" s="60" t="str">
        <f aca="true">IF($B19="","",IF(OR(N($N19)=0,$I19=""),"",IF(N($O19)&gt;=$N19,"Concluído",IF(OR(N($O19)&lt;=0,TODAY()&lt;=$I19),"Sem ritmo",TODAY()+ROUNDUP(($N19-$O19)/($O19/(TODAY()-$I19)),0)))))</f>
        <v/>
      </c>
      <c r="T19" s="101" t="str">
        <f aca="false">IF($B19="","",IF(ISNUMBER($S19),IF(AND(ISNUMBER($K19),$S19&gt;$K19),"■ Estoura o acesso",IF(AND(ISNUMBER($J19),$S19&gt;$J19),"▲ Atrasado vs plano","● No prazo")),IF($S19="Concluído","◆ Concluído","—")))</f>
        <v/>
      </c>
      <c r="U19" s="81"/>
      <c r="V19" s="81"/>
      <c r="W19" s="81"/>
      <c r="X19" s="13"/>
      <c r="Y19" s="13"/>
      <c r="Z19" s="13"/>
      <c r="AA19" s="11"/>
    </row>
    <row r="20" customFormat="false" ht="21.75" hidden="false" customHeight="true" outlineLevel="0" collapsed="false">
      <c r="A20" s="58" t="str">
        <f aca="false">IF($B20="","","CO-"&amp;TEXT(ROW()-9,"00"))</f>
        <v/>
      </c>
      <c r="B20" s="13"/>
      <c r="C20" s="13"/>
      <c r="D20" s="13"/>
      <c r="E20" s="13"/>
      <c r="F20" s="52"/>
      <c r="G20" s="52"/>
      <c r="H20" s="37"/>
      <c r="I20" s="52"/>
      <c r="J20" s="52"/>
      <c r="K20" s="52"/>
      <c r="L20" s="100" t="str">
        <f aca="true">IF(OR($B20="",$K20=""),"",$K20-TODAY())</f>
        <v/>
      </c>
      <c r="M20" s="101" t="str">
        <f aca="false">IF($B20="","",IF($K20="","∞ Vitalício",IF($L20&lt;0,"■ Vencido",IF($L20&lt;=Listas!$H$6,"▲ A vencer","● Ativo"))))</f>
        <v/>
      </c>
      <c r="N20" s="102"/>
      <c r="O20" s="102"/>
      <c r="P20" s="43" t="str">
        <f aca="false">IF($B20="","",IF(N($N20)=0,0,MIN(1,N($O20)/$N20)))</f>
        <v/>
      </c>
      <c r="Q20" s="63" t="str">
        <f aca="false">IF($B20="","",SUMIFS('Diário de Estudo'!$D$7:$D$506,'Diário de Estudo'!$C$7:$C$506,$B20))</f>
        <v/>
      </c>
      <c r="R20" s="103" t="str">
        <f aca="false">IF($B20="","",IF(AND(N($Q20)&gt;0,N($H20)&gt;0),$H20/$Q20,""))</f>
        <v/>
      </c>
      <c r="S20" s="60" t="str">
        <f aca="true">IF($B20="","",IF(OR(N($N20)=0,$I20=""),"",IF(N($O20)&gt;=$N20,"Concluído",IF(OR(N($O20)&lt;=0,TODAY()&lt;=$I20),"Sem ritmo",TODAY()+ROUNDUP(($N20-$O20)/($O20/(TODAY()-$I20)),0)))))</f>
        <v/>
      </c>
      <c r="T20" s="101" t="str">
        <f aca="false">IF($B20="","",IF(ISNUMBER($S20),IF(AND(ISNUMBER($K20),$S20&gt;$K20),"■ Estoura o acesso",IF(AND(ISNUMBER($J20),$S20&gt;$J20),"▲ Atrasado vs plano","● No prazo")),IF($S20="Concluído","◆ Concluído","—")))</f>
        <v/>
      </c>
      <c r="U20" s="81"/>
      <c r="V20" s="81"/>
      <c r="W20" s="81"/>
      <c r="X20" s="13"/>
      <c r="Y20" s="13"/>
      <c r="Z20" s="13"/>
      <c r="AA20" s="11"/>
    </row>
    <row r="21" customFormat="false" ht="21.75" hidden="false" customHeight="true" outlineLevel="0" collapsed="false">
      <c r="A21" s="58" t="str">
        <f aca="false">IF($B21="","","CO-"&amp;TEXT(ROW()-9,"00"))</f>
        <v/>
      </c>
      <c r="B21" s="13"/>
      <c r="C21" s="13"/>
      <c r="D21" s="13"/>
      <c r="E21" s="13"/>
      <c r="F21" s="52"/>
      <c r="G21" s="52"/>
      <c r="H21" s="37"/>
      <c r="I21" s="52"/>
      <c r="J21" s="52"/>
      <c r="K21" s="52"/>
      <c r="L21" s="100" t="str">
        <f aca="true">IF(OR($B21="",$K21=""),"",$K21-TODAY())</f>
        <v/>
      </c>
      <c r="M21" s="101" t="str">
        <f aca="false">IF($B21="","",IF($K21="","∞ Vitalício",IF($L21&lt;0,"■ Vencido",IF($L21&lt;=Listas!$H$6,"▲ A vencer","● Ativo"))))</f>
        <v/>
      </c>
      <c r="N21" s="102"/>
      <c r="O21" s="102"/>
      <c r="P21" s="43" t="str">
        <f aca="false">IF($B21="","",IF(N($N21)=0,0,MIN(1,N($O21)/$N21)))</f>
        <v/>
      </c>
      <c r="Q21" s="63" t="str">
        <f aca="false">IF($B21="","",SUMIFS('Diário de Estudo'!$D$7:$D$506,'Diário de Estudo'!$C$7:$C$506,$B21))</f>
        <v/>
      </c>
      <c r="R21" s="103" t="str">
        <f aca="false">IF($B21="","",IF(AND(N($Q21)&gt;0,N($H21)&gt;0),$H21/$Q21,""))</f>
        <v/>
      </c>
      <c r="S21" s="60" t="str">
        <f aca="true">IF($B21="","",IF(OR(N($N21)=0,$I21=""),"",IF(N($O21)&gt;=$N21,"Concluído",IF(OR(N($O21)&lt;=0,TODAY()&lt;=$I21),"Sem ritmo",TODAY()+ROUNDUP(($N21-$O21)/($O21/(TODAY()-$I21)),0)))))</f>
        <v/>
      </c>
      <c r="T21" s="101" t="str">
        <f aca="false">IF($B21="","",IF(ISNUMBER($S21),IF(AND(ISNUMBER($K21),$S21&gt;$K21),"■ Estoura o acesso",IF(AND(ISNUMBER($J21),$S21&gt;$J21),"▲ Atrasado vs plano","● No prazo")),IF($S21="Concluído","◆ Concluído","—")))</f>
        <v/>
      </c>
      <c r="U21" s="81"/>
      <c r="V21" s="81"/>
      <c r="W21" s="81"/>
      <c r="X21" s="13"/>
      <c r="Y21" s="13"/>
      <c r="Z21" s="13"/>
      <c r="AA21" s="11"/>
    </row>
    <row r="22" customFormat="false" ht="21.75" hidden="false" customHeight="true" outlineLevel="0" collapsed="false">
      <c r="A22" s="58" t="str">
        <f aca="false">IF($B22="","","CO-"&amp;TEXT(ROW()-9,"00"))</f>
        <v/>
      </c>
      <c r="B22" s="13"/>
      <c r="C22" s="13"/>
      <c r="D22" s="13"/>
      <c r="E22" s="13"/>
      <c r="F22" s="52"/>
      <c r="G22" s="52"/>
      <c r="H22" s="37"/>
      <c r="I22" s="52"/>
      <c r="J22" s="52"/>
      <c r="K22" s="52"/>
      <c r="L22" s="100" t="str">
        <f aca="true">IF(OR($B22="",$K22=""),"",$K22-TODAY())</f>
        <v/>
      </c>
      <c r="M22" s="101" t="str">
        <f aca="false">IF($B22="","",IF($K22="","∞ Vitalício",IF($L22&lt;0,"■ Vencido",IF($L22&lt;=Listas!$H$6,"▲ A vencer","● Ativo"))))</f>
        <v/>
      </c>
      <c r="N22" s="102"/>
      <c r="O22" s="102"/>
      <c r="P22" s="43" t="str">
        <f aca="false">IF($B22="","",IF(N($N22)=0,0,MIN(1,N($O22)/$N22)))</f>
        <v/>
      </c>
      <c r="Q22" s="63" t="str">
        <f aca="false">IF($B22="","",SUMIFS('Diário de Estudo'!$D$7:$D$506,'Diário de Estudo'!$C$7:$C$506,$B22))</f>
        <v/>
      </c>
      <c r="R22" s="103" t="str">
        <f aca="false">IF($B22="","",IF(AND(N($Q22)&gt;0,N($H22)&gt;0),$H22/$Q22,""))</f>
        <v/>
      </c>
      <c r="S22" s="60" t="str">
        <f aca="true">IF($B22="","",IF(OR(N($N22)=0,$I22=""),"",IF(N($O22)&gt;=$N22,"Concluído",IF(OR(N($O22)&lt;=0,TODAY()&lt;=$I22),"Sem ritmo",TODAY()+ROUNDUP(($N22-$O22)/($O22/(TODAY()-$I22)),0)))))</f>
        <v/>
      </c>
      <c r="T22" s="101" t="str">
        <f aca="false">IF($B22="","",IF(ISNUMBER($S22),IF(AND(ISNUMBER($K22),$S22&gt;$K22),"■ Estoura o acesso",IF(AND(ISNUMBER($J22),$S22&gt;$J22),"▲ Atrasado vs plano","● No prazo")),IF($S22="Concluído","◆ Concluído","—")))</f>
        <v/>
      </c>
      <c r="U22" s="81"/>
      <c r="V22" s="81"/>
      <c r="W22" s="81"/>
      <c r="X22" s="13"/>
      <c r="Y22" s="13"/>
      <c r="Z22" s="13"/>
      <c r="AA22" s="11"/>
    </row>
    <row r="23" customFormat="false" ht="21.75" hidden="false" customHeight="true" outlineLevel="0" collapsed="false">
      <c r="A23" s="58" t="str">
        <f aca="false">IF($B23="","","CO-"&amp;TEXT(ROW()-9,"00"))</f>
        <v/>
      </c>
      <c r="B23" s="13"/>
      <c r="C23" s="13"/>
      <c r="D23" s="13"/>
      <c r="E23" s="13"/>
      <c r="F23" s="52"/>
      <c r="G23" s="52"/>
      <c r="H23" s="37"/>
      <c r="I23" s="52"/>
      <c r="J23" s="52"/>
      <c r="K23" s="52"/>
      <c r="L23" s="100" t="str">
        <f aca="true">IF(OR($B23="",$K23=""),"",$K23-TODAY())</f>
        <v/>
      </c>
      <c r="M23" s="101" t="str">
        <f aca="false">IF($B23="","",IF($K23="","∞ Vitalício",IF($L23&lt;0,"■ Vencido",IF($L23&lt;=Listas!$H$6,"▲ A vencer","● Ativo"))))</f>
        <v/>
      </c>
      <c r="N23" s="102"/>
      <c r="O23" s="102"/>
      <c r="P23" s="43" t="str">
        <f aca="false">IF($B23="","",IF(N($N23)=0,0,MIN(1,N($O23)/$N23)))</f>
        <v/>
      </c>
      <c r="Q23" s="63" t="str">
        <f aca="false">IF($B23="","",SUMIFS('Diário de Estudo'!$D$7:$D$506,'Diário de Estudo'!$C$7:$C$506,$B23))</f>
        <v/>
      </c>
      <c r="R23" s="103" t="str">
        <f aca="false">IF($B23="","",IF(AND(N($Q23)&gt;0,N($H23)&gt;0),$H23/$Q23,""))</f>
        <v/>
      </c>
      <c r="S23" s="60" t="str">
        <f aca="true">IF($B23="","",IF(OR(N($N23)=0,$I23=""),"",IF(N($O23)&gt;=$N23,"Concluído",IF(OR(N($O23)&lt;=0,TODAY()&lt;=$I23),"Sem ritmo",TODAY()+ROUNDUP(($N23-$O23)/($O23/(TODAY()-$I23)),0)))))</f>
        <v/>
      </c>
      <c r="T23" s="101" t="str">
        <f aca="false">IF($B23="","",IF(ISNUMBER($S23),IF(AND(ISNUMBER($K23),$S23&gt;$K23),"■ Estoura o acesso",IF(AND(ISNUMBER($J23),$S23&gt;$J23),"▲ Atrasado vs plano","● No prazo")),IF($S23="Concluído","◆ Concluído","—")))</f>
        <v/>
      </c>
      <c r="U23" s="81"/>
      <c r="V23" s="81"/>
      <c r="W23" s="81"/>
      <c r="X23" s="13"/>
      <c r="Y23" s="13"/>
      <c r="Z23" s="13"/>
      <c r="AA23" s="11"/>
    </row>
    <row r="24" customFormat="false" ht="21.75" hidden="false" customHeight="true" outlineLevel="0" collapsed="false">
      <c r="A24" s="58" t="str">
        <f aca="false">IF($B24="","","CO-"&amp;TEXT(ROW()-9,"00"))</f>
        <v/>
      </c>
      <c r="B24" s="13"/>
      <c r="C24" s="13"/>
      <c r="D24" s="13"/>
      <c r="E24" s="13"/>
      <c r="F24" s="52"/>
      <c r="G24" s="52"/>
      <c r="H24" s="37"/>
      <c r="I24" s="52"/>
      <c r="J24" s="52"/>
      <c r="K24" s="52"/>
      <c r="L24" s="100" t="str">
        <f aca="true">IF(OR($B24="",$K24=""),"",$K24-TODAY())</f>
        <v/>
      </c>
      <c r="M24" s="101" t="str">
        <f aca="false">IF($B24="","",IF($K24="","∞ Vitalício",IF($L24&lt;0,"■ Vencido",IF($L24&lt;=Listas!$H$6,"▲ A vencer","● Ativo"))))</f>
        <v/>
      </c>
      <c r="N24" s="102"/>
      <c r="O24" s="102"/>
      <c r="P24" s="43" t="str">
        <f aca="false">IF($B24="","",IF(N($N24)=0,0,MIN(1,N($O24)/$N24)))</f>
        <v/>
      </c>
      <c r="Q24" s="63" t="str">
        <f aca="false">IF($B24="","",SUMIFS('Diário de Estudo'!$D$7:$D$506,'Diário de Estudo'!$C$7:$C$506,$B24))</f>
        <v/>
      </c>
      <c r="R24" s="103" t="str">
        <f aca="false">IF($B24="","",IF(AND(N($Q24)&gt;0,N($H24)&gt;0),$H24/$Q24,""))</f>
        <v/>
      </c>
      <c r="S24" s="60" t="str">
        <f aca="true">IF($B24="","",IF(OR(N($N24)=0,$I24=""),"",IF(N($O24)&gt;=$N24,"Concluído",IF(OR(N($O24)&lt;=0,TODAY()&lt;=$I24),"Sem ritmo",TODAY()+ROUNDUP(($N24-$O24)/($O24/(TODAY()-$I24)),0)))))</f>
        <v/>
      </c>
      <c r="T24" s="101" t="str">
        <f aca="false">IF($B24="","",IF(ISNUMBER($S24),IF(AND(ISNUMBER($K24),$S24&gt;$K24),"■ Estoura o acesso",IF(AND(ISNUMBER($J24),$S24&gt;$J24),"▲ Atrasado vs plano","● No prazo")),IF($S24="Concluído","◆ Concluído","—")))</f>
        <v/>
      </c>
      <c r="U24" s="81"/>
      <c r="V24" s="81"/>
      <c r="W24" s="81"/>
      <c r="X24" s="13"/>
      <c r="Y24" s="13"/>
      <c r="Z24" s="13"/>
      <c r="AA24" s="11"/>
    </row>
    <row r="25" customFormat="false" ht="21.75" hidden="false" customHeight="true" outlineLevel="0" collapsed="false">
      <c r="A25" s="58" t="str">
        <f aca="false">IF($B25="","","CO-"&amp;TEXT(ROW()-9,"00"))</f>
        <v/>
      </c>
      <c r="B25" s="13"/>
      <c r="C25" s="13"/>
      <c r="D25" s="13"/>
      <c r="E25" s="13"/>
      <c r="F25" s="52"/>
      <c r="G25" s="52"/>
      <c r="H25" s="37"/>
      <c r="I25" s="52"/>
      <c r="J25" s="52"/>
      <c r="K25" s="52"/>
      <c r="L25" s="100" t="str">
        <f aca="true">IF(OR($B25="",$K25=""),"",$K25-TODAY())</f>
        <v/>
      </c>
      <c r="M25" s="101" t="str">
        <f aca="false">IF($B25="","",IF($K25="","∞ Vitalício",IF($L25&lt;0,"■ Vencido",IF($L25&lt;=Listas!$H$6,"▲ A vencer","● Ativo"))))</f>
        <v/>
      </c>
      <c r="N25" s="102"/>
      <c r="O25" s="102"/>
      <c r="P25" s="43" t="str">
        <f aca="false">IF($B25="","",IF(N($N25)=0,0,MIN(1,N($O25)/$N25)))</f>
        <v/>
      </c>
      <c r="Q25" s="63" t="str">
        <f aca="false">IF($B25="","",SUMIFS('Diário de Estudo'!$D$7:$D$506,'Diário de Estudo'!$C$7:$C$506,$B25))</f>
        <v/>
      </c>
      <c r="R25" s="103" t="str">
        <f aca="false">IF($B25="","",IF(AND(N($Q25)&gt;0,N($H25)&gt;0),$H25/$Q25,""))</f>
        <v/>
      </c>
      <c r="S25" s="60" t="str">
        <f aca="true">IF($B25="","",IF(OR(N($N25)=0,$I25=""),"",IF(N($O25)&gt;=$N25,"Concluído",IF(OR(N($O25)&lt;=0,TODAY()&lt;=$I25),"Sem ritmo",TODAY()+ROUNDUP(($N25-$O25)/($O25/(TODAY()-$I25)),0)))))</f>
        <v/>
      </c>
      <c r="T25" s="101" t="str">
        <f aca="false">IF($B25="","",IF(ISNUMBER($S25),IF(AND(ISNUMBER($K25),$S25&gt;$K25),"■ Estoura o acesso",IF(AND(ISNUMBER($J25),$S25&gt;$J25),"▲ Atrasado vs plano","● No prazo")),IF($S25="Concluído","◆ Concluído","—")))</f>
        <v/>
      </c>
      <c r="U25" s="81"/>
      <c r="V25" s="81"/>
      <c r="W25" s="81"/>
      <c r="X25" s="13"/>
      <c r="Y25" s="13"/>
      <c r="Z25" s="13"/>
      <c r="AA25" s="11"/>
    </row>
    <row r="26" customFormat="false" ht="21.75" hidden="false" customHeight="true" outlineLevel="0" collapsed="false">
      <c r="A26" s="58" t="str">
        <f aca="false">IF($B26="","","CO-"&amp;TEXT(ROW()-9,"00"))</f>
        <v/>
      </c>
      <c r="B26" s="13"/>
      <c r="C26" s="13"/>
      <c r="D26" s="13"/>
      <c r="E26" s="13"/>
      <c r="F26" s="52"/>
      <c r="G26" s="52"/>
      <c r="H26" s="37"/>
      <c r="I26" s="52"/>
      <c r="J26" s="52"/>
      <c r="K26" s="52"/>
      <c r="L26" s="100" t="str">
        <f aca="true">IF(OR($B26="",$K26=""),"",$K26-TODAY())</f>
        <v/>
      </c>
      <c r="M26" s="101" t="str">
        <f aca="false">IF($B26="","",IF($K26="","∞ Vitalício",IF($L26&lt;0,"■ Vencido",IF($L26&lt;=Listas!$H$6,"▲ A vencer","● Ativo"))))</f>
        <v/>
      </c>
      <c r="N26" s="102"/>
      <c r="O26" s="102"/>
      <c r="P26" s="43" t="str">
        <f aca="false">IF($B26="","",IF(N($N26)=0,0,MIN(1,N($O26)/$N26)))</f>
        <v/>
      </c>
      <c r="Q26" s="63" t="str">
        <f aca="false">IF($B26="","",SUMIFS('Diário de Estudo'!$D$7:$D$506,'Diário de Estudo'!$C$7:$C$506,$B26))</f>
        <v/>
      </c>
      <c r="R26" s="103" t="str">
        <f aca="false">IF($B26="","",IF(AND(N($Q26)&gt;0,N($H26)&gt;0),$H26/$Q26,""))</f>
        <v/>
      </c>
      <c r="S26" s="60" t="str">
        <f aca="true">IF($B26="","",IF(OR(N($N26)=0,$I26=""),"",IF(N($O26)&gt;=$N26,"Concluído",IF(OR(N($O26)&lt;=0,TODAY()&lt;=$I26),"Sem ritmo",TODAY()+ROUNDUP(($N26-$O26)/($O26/(TODAY()-$I26)),0)))))</f>
        <v/>
      </c>
      <c r="T26" s="101" t="str">
        <f aca="false">IF($B26="","",IF(ISNUMBER($S26),IF(AND(ISNUMBER($K26),$S26&gt;$K26),"■ Estoura o acesso",IF(AND(ISNUMBER($J26),$S26&gt;$J26),"▲ Atrasado vs plano","● No prazo")),IF($S26="Concluído","◆ Concluído","—")))</f>
        <v/>
      </c>
      <c r="U26" s="81"/>
      <c r="V26" s="81"/>
      <c r="W26" s="81"/>
      <c r="X26" s="13"/>
      <c r="Y26" s="13"/>
      <c r="Z26" s="13"/>
      <c r="AA26" s="11"/>
    </row>
    <row r="27" customFormat="false" ht="21.75" hidden="false" customHeight="true" outlineLevel="0" collapsed="false">
      <c r="A27" s="58" t="str">
        <f aca="false">IF($B27="","","CO-"&amp;TEXT(ROW()-9,"00"))</f>
        <v/>
      </c>
      <c r="B27" s="13"/>
      <c r="C27" s="13"/>
      <c r="D27" s="13"/>
      <c r="E27" s="13"/>
      <c r="F27" s="52"/>
      <c r="G27" s="52"/>
      <c r="H27" s="37"/>
      <c r="I27" s="52"/>
      <c r="J27" s="52"/>
      <c r="K27" s="52"/>
      <c r="L27" s="100" t="str">
        <f aca="true">IF(OR($B27="",$K27=""),"",$K27-TODAY())</f>
        <v/>
      </c>
      <c r="M27" s="101" t="str">
        <f aca="false">IF($B27="","",IF($K27="","∞ Vitalício",IF($L27&lt;0,"■ Vencido",IF($L27&lt;=Listas!$H$6,"▲ A vencer","● Ativo"))))</f>
        <v/>
      </c>
      <c r="N27" s="102"/>
      <c r="O27" s="102"/>
      <c r="P27" s="43" t="str">
        <f aca="false">IF($B27="","",IF(N($N27)=0,0,MIN(1,N($O27)/$N27)))</f>
        <v/>
      </c>
      <c r="Q27" s="63" t="str">
        <f aca="false">IF($B27="","",SUMIFS('Diário de Estudo'!$D$7:$D$506,'Diário de Estudo'!$C$7:$C$506,$B27))</f>
        <v/>
      </c>
      <c r="R27" s="103" t="str">
        <f aca="false">IF($B27="","",IF(AND(N($Q27)&gt;0,N($H27)&gt;0),$H27/$Q27,""))</f>
        <v/>
      </c>
      <c r="S27" s="60" t="str">
        <f aca="true">IF($B27="","",IF(OR(N($N27)=0,$I27=""),"",IF(N($O27)&gt;=$N27,"Concluído",IF(OR(N($O27)&lt;=0,TODAY()&lt;=$I27),"Sem ritmo",TODAY()+ROUNDUP(($N27-$O27)/($O27/(TODAY()-$I27)),0)))))</f>
        <v/>
      </c>
      <c r="T27" s="101" t="str">
        <f aca="false">IF($B27="","",IF(ISNUMBER($S27),IF(AND(ISNUMBER($K27),$S27&gt;$K27),"■ Estoura o acesso",IF(AND(ISNUMBER($J27),$S27&gt;$J27),"▲ Atrasado vs plano","● No prazo")),IF($S27="Concluído","◆ Concluído","—")))</f>
        <v/>
      </c>
      <c r="U27" s="81"/>
      <c r="V27" s="81"/>
      <c r="W27" s="81"/>
      <c r="X27" s="13"/>
      <c r="Y27" s="13"/>
      <c r="Z27" s="13"/>
      <c r="AA27" s="11"/>
    </row>
    <row r="28" customFormat="false" ht="21.75" hidden="false" customHeight="true" outlineLevel="0" collapsed="false">
      <c r="A28" s="58" t="str">
        <f aca="false">IF($B28="","","CO-"&amp;TEXT(ROW()-9,"00"))</f>
        <v/>
      </c>
      <c r="B28" s="13"/>
      <c r="C28" s="13"/>
      <c r="D28" s="13"/>
      <c r="E28" s="13"/>
      <c r="F28" s="52"/>
      <c r="G28" s="52"/>
      <c r="H28" s="37"/>
      <c r="I28" s="52"/>
      <c r="J28" s="52"/>
      <c r="K28" s="52"/>
      <c r="L28" s="100" t="str">
        <f aca="true">IF(OR($B28="",$K28=""),"",$K28-TODAY())</f>
        <v/>
      </c>
      <c r="M28" s="101" t="str">
        <f aca="false">IF($B28="","",IF($K28="","∞ Vitalício",IF($L28&lt;0,"■ Vencido",IF($L28&lt;=Listas!$H$6,"▲ A vencer","● Ativo"))))</f>
        <v/>
      </c>
      <c r="N28" s="102"/>
      <c r="O28" s="102"/>
      <c r="P28" s="43" t="str">
        <f aca="false">IF($B28="","",IF(N($N28)=0,0,MIN(1,N($O28)/$N28)))</f>
        <v/>
      </c>
      <c r="Q28" s="63" t="str">
        <f aca="false">IF($B28="","",SUMIFS('Diário de Estudo'!$D$7:$D$506,'Diário de Estudo'!$C$7:$C$506,$B28))</f>
        <v/>
      </c>
      <c r="R28" s="103" t="str">
        <f aca="false">IF($B28="","",IF(AND(N($Q28)&gt;0,N($H28)&gt;0),$H28/$Q28,""))</f>
        <v/>
      </c>
      <c r="S28" s="60" t="str">
        <f aca="true">IF($B28="","",IF(OR(N($N28)=0,$I28=""),"",IF(N($O28)&gt;=$N28,"Concluído",IF(OR(N($O28)&lt;=0,TODAY()&lt;=$I28),"Sem ritmo",TODAY()+ROUNDUP(($N28-$O28)/($O28/(TODAY()-$I28)),0)))))</f>
        <v/>
      </c>
      <c r="T28" s="101" t="str">
        <f aca="false">IF($B28="","",IF(ISNUMBER($S28),IF(AND(ISNUMBER($K28),$S28&gt;$K28),"■ Estoura o acesso",IF(AND(ISNUMBER($J28),$S28&gt;$J28),"▲ Atrasado vs plano","● No prazo")),IF($S28="Concluído","◆ Concluído","—")))</f>
        <v/>
      </c>
      <c r="U28" s="81"/>
      <c r="V28" s="81"/>
      <c r="W28" s="81"/>
      <c r="X28" s="13"/>
      <c r="Y28" s="13"/>
      <c r="Z28" s="13"/>
      <c r="AA28" s="11"/>
    </row>
    <row r="29" customFormat="false" ht="21.75" hidden="false" customHeight="true" outlineLevel="0" collapsed="false">
      <c r="A29" s="58" t="str">
        <f aca="false">IF($B29="","","CO-"&amp;TEXT(ROW()-9,"00"))</f>
        <v/>
      </c>
      <c r="B29" s="13"/>
      <c r="C29" s="13"/>
      <c r="D29" s="13"/>
      <c r="E29" s="13"/>
      <c r="F29" s="52"/>
      <c r="G29" s="52"/>
      <c r="H29" s="37"/>
      <c r="I29" s="52"/>
      <c r="J29" s="52"/>
      <c r="K29" s="52"/>
      <c r="L29" s="100" t="str">
        <f aca="true">IF(OR($B29="",$K29=""),"",$K29-TODAY())</f>
        <v/>
      </c>
      <c r="M29" s="101" t="str">
        <f aca="false">IF($B29="","",IF($K29="","∞ Vitalício",IF($L29&lt;0,"■ Vencido",IF($L29&lt;=Listas!$H$6,"▲ A vencer","● Ativo"))))</f>
        <v/>
      </c>
      <c r="N29" s="102"/>
      <c r="O29" s="102"/>
      <c r="P29" s="43" t="str">
        <f aca="false">IF($B29="","",IF(N($N29)=0,0,MIN(1,N($O29)/$N29)))</f>
        <v/>
      </c>
      <c r="Q29" s="63" t="str">
        <f aca="false">IF($B29="","",SUMIFS('Diário de Estudo'!$D$7:$D$506,'Diário de Estudo'!$C$7:$C$506,$B29))</f>
        <v/>
      </c>
      <c r="R29" s="103" t="str">
        <f aca="false">IF($B29="","",IF(AND(N($Q29)&gt;0,N($H29)&gt;0),$H29/$Q29,""))</f>
        <v/>
      </c>
      <c r="S29" s="60" t="str">
        <f aca="true">IF($B29="","",IF(OR(N($N29)=0,$I29=""),"",IF(N($O29)&gt;=$N29,"Concluído",IF(OR(N($O29)&lt;=0,TODAY()&lt;=$I29),"Sem ritmo",TODAY()+ROUNDUP(($N29-$O29)/($O29/(TODAY()-$I29)),0)))))</f>
        <v/>
      </c>
      <c r="T29" s="101" t="str">
        <f aca="false">IF($B29="","",IF(ISNUMBER($S29),IF(AND(ISNUMBER($K29),$S29&gt;$K29),"■ Estoura o acesso",IF(AND(ISNUMBER($J29),$S29&gt;$J29),"▲ Atrasado vs plano","● No prazo")),IF($S29="Concluído","◆ Concluído","—")))</f>
        <v/>
      </c>
      <c r="U29" s="81"/>
      <c r="V29" s="81"/>
      <c r="W29" s="81"/>
      <c r="X29" s="13"/>
      <c r="Y29" s="13"/>
      <c r="Z29" s="13"/>
      <c r="AA29" s="11"/>
    </row>
    <row r="30" customFormat="false" ht="21.75" hidden="false" customHeight="true" outlineLevel="0" collapsed="false">
      <c r="A30" s="58" t="str">
        <f aca="false">IF($B30="","","CO-"&amp;TEXT(ROW()-9,"00"))</f>
        <v/>
      </c>
      <c r="B30" s="13"/>
      <c r="C30" s="13"/>
      <c r="D30" s="13"/>
      <c r="E30" s="13"/>
      <c r="F30" s="52"/>
      <c r="G30" s="52"/>
      <c r="H30" s="37"/>
      <c r="I30" s="52"/>
      <c r="J30" s="52"/>
      <c r="K30" s="52"/>
      <c r="L30" s="100" t="str">
        <f aca="true">IF(OR($B30="",$K30=""),"",$K30-TODAY())</f>
        <v/>
      </c>
      <c r="M30" s="101" t="str">
        <f aca="false">IF($B30="","",IF($K30="","∞ Vitalício",IF($L30&lt;0,"■ Vencido",IF($L30&lt;=Listas!$H$6,"▲ A vencer","● Ativo"))))</f>
        <v/>
      </c>
      <c r="N30" s="102"/>
      <c r="O30" s="102"/>
      <c r="P30" s="43" t="str">
        <f aca="false">IF($B30="","",IF(N($N30)=0,0,MIN(1,N($O30)/$N30)))</f>
        <v/>
      </c>
      <c r="Q30" s="63" t="str">
        <f aca="false">IF($B30="","",SUMIFS('Diário de Estudo'!$D$7:$D$506,'Diário de Estudo'!$C$7:$C$506,$B30))</f>
        <v/>
      </c>
      <c r="R30" s="103" t="str">
        <f aca="false">IF($B30="","",IF(AND(N($Q30)&gt;0,N($H30)&gt;0),$H30/$Q30,""))</f>
        <v/>
      </c>
      <c r="S30" s="60" t="str">
        <f aca="true">IF($B30="","",IF(OR(N($N30)=0,$I30=""),"",IF(N($O30)&gt;=$N30,"Concluído",IF(OR(N($O30)&lt;=0,TODAY()&lt;=$I30),"Sem ritmo",TODAY()+ROUNDUP(($N30-$O30)/($O30/(TODAY()-$I30)),0)))))</f>
        <v/>
      </c>
      <c r="T30" s="101" t="str">
        <f aca="false">IF($B30="","",IF(ISNUMBER($S30),IF(AND(ISNUMBER($K30),$S30&gt;$K30),"■ Estoura o acesso",IF(AND(ISNUMBER($J30),$S30&gt;$J30),"▲ Atrasado vs plano","● No prazo")),IF($S30="Concluído","◆ Concluído","—")))</f>
        <v/>
      </c>
      <c r="U30" s="81"/>
      <c r="V30" s="81"/>
      <c r="W30" s="81"/>
      <c r="X30" s="13"/>
      <c r="Y30" s="13"/>
      <c r="Z30" s="13"/>
      <c r="AA30" s="11"/>
    </row>
    <row r="31" customFormat="false" ht="21.75" hidden="false" customHeight="true" outlineLevel="0" collapsed="false">
      <c r="A31" s="58" t="str">
        <f aca="false">IF($B31="","","CO-"&amp;TEXT(ROW()-9,"00"))</f>
        <v/>
      </c>
      <c r="B31" s="13"/>
      <c r="C31" s="13"/>
      <c r="D31" s="13"/>
      <c r="E31" s="13"/>
      <c r="F31" s="52"/>
      <c r="G31" s="52"/>
      <c r="H31" s="37"/>
      <c r="I31" s="52"/>
      <c r="J31" s="52"/>
      <c r="K31" s="52"/>
      <c r="L31" s="100" t="str">
        <f aca="true">IF(OR($B31="",$K31=""),"",$K31-TODAY())</f>
        <v/>
      </c>
      <c r="M31" s="101" t="str">
        <f aca="false">IF($B31="","",IF($K31="","∞ Vitalício",IF($L31&lt;0,"■ Vencido",IF($L31&lt;=Listas!$H$6,"▲ A vencer","● Ativo"))))</f>
        <v/>
      </c>
      <c r="N31" s="102"/>
      <c r="O31" s="102"/>
      <c r="P31" s="43" t="str">
        <f aca="false">IF($B31="","",IF(N($N31)=0,0,MIN(1,N($O31)/$N31)))</f>
        <v/>
      </c>
      <c r="Q31" s="63" t="str">
        <f aca="false">IF($B31="","",SUMIFS('Diário de Estudo'!$D$7:$D$506,'Diário de Estudo'!$C$7:$C$506,$B31))</f>
        <v/>
      </c>
      <c r="R31" s="103" t="str">
        <f aca="false">IF($B31="","",IF(AND(N($Q31)&gt;0,N($H31)&gt;0),$H31/$Q31,""))</f>
        <v/>
      </c>
      <c r="S31" s="60" t="str">
        <f aca="true">IF($B31="","",IF(OR(N($N31)=0,$I31=""),"",IF(N($O31)&gt;=$N31,"Concluído",IF(OR(N($O31)&lt;=0,TODAY()&lt;=$I31),"Sem ritmo",TODAY()+ROUNDUP(($N31-$O31)/($O31/(TODAY()-$I31)),0)))))</f>
        <v/>
      </c>
      <c r="T31" s="101" t="str">
        <f aca="false">IF($B31="","",IF(ISNUMBER($S31),IF(AND(ISNUMBER($K31),$S31&gt;$K31),"■ Estoura o acesso",IF(AND(ISNUMBER($J31),$S31&gt;$J31),"▲ Atrasado vs plano","● No prazo")),IF($S31="Concluído","◆ Concluído","—")))</f>
        <v/>
      </c>
      <c r="U31" s="81"/>
      <c r="V31" s="81"/>
      <c r="W31" s="81"/>
      <c r="X31" s="13"/>
      <c r="Y31" s="13"/>
      <c r="Z31" s="13"/>
      <c r="AA31" s="11"/>
    </row>
    <row r="32" customFormat="false" ht="21.75" hidden="false" customHeight="true" outlineLevel="0" collapsed="false">
      <c r="A32" s="58" t="str">
        <f aca="false">IF($B32="","","CO-"&amp;TEXT(ROW()-9,"00"))</f>
        <v/>
      </c>
      <c r="B32" s="13"/>
      <c r="C32" s="13"/>
      <c r="D32" s="13"/>
      <c r="E32" s="13"/>
      <c r="F32" s="52"/>
      <c r="G32" s="52"/>
      <c r="H32" s="37"/>
      <c r="I32" s="52"/>
      <c r="J32" s="52"/>
      <c r="K32" s="52"/>
      <c r="L32" s="100" t="str">
        <f aca="true">IF(OR($B32="",$K32=""),"",$K32-TODAY())</f>
        <v/>
      </c>
      <c r="M32" s="101" t="str">
        <f aca="false">IF($B32="","",IF($K32="","∞ Vitalício",IF($L32&lt;0,"■ Vencido",IF($L32&lt;=Listas!$H$6,"▲ A vencer","● Ativo"))))</f>
        <v/>
      </c>
      <c r="N32" s="102"/>
      <c r="O32" s="102"/>
      <c r="P32" s="43" t="str">
        <f aca="false">IF($B32="","",IF(N($N32)=0,0,MIN(1,N($O32)/$N32)))</f>
        <v/>
      </c>
      <c r="Q32" s="63" t="str">
        <f aca="false">IF($B32="","",SUMIFS('Diário de Estudo'!$D$7:$D$506,'Diário de Estudo'!$C$7:$C$506,$B32))</f>
        <v/>
      </c>
      <c r="R32" s="103" t="str">
        <f aca="false">IF($B32="","",IF(AND(N($Q32)&gt;0,N($H32)&gt;0),$H32/$Q32,""))</f>
        <v/>
      </c>
      <c r="S32" s="60" t="str">
        <f aca="true">IF($B32="","",IF(OR(N($N32)=0,$I32=""),"",IF(N($O32)&gt;=$N32,"Concluído",IF(OR(N($O32)&lt;=0,TODAY()&lt;=$I32),"Sem ritmo",TODAY()+ROUNDUP(($N32-$O32)/($O32/(TODAY()-$I32)),0)))))</f>
        <v/>
      </c>
      <c r="T32" s="101" t="str">
        <f aca="false">IF($B32="","",IF(ISNUMBER($S32),IF(AND(ISNUMBER($K32),$S32&gt;$K32),"■ Estoura o acesso",IF(AND(ISNUMBER($J32),$S32&gt;$J32),"▲ Atrasado vs plano","● No prazo")),IF($S32="Concluído","◆ Concluído","—")))</f>
        <v/>
      </c>
      <c r="U32" s="81"/>
      <c r="V32" s="81"/>
      <c r="W32" s="81"/>
      <c r="X32" s="13"/>
      <c r="Y32" s="13"/>
      <c r="Z32" s="13"/>
      <c r="AA32" s="11"/>
    </row>
    <row r="33" customFormat="false" ht="21.75" hidden="false" customHeight="true" outlineLevel="0" collapsed="false">
      <c r="A33" s="58" t="str">
        <f aca="false">IF($B33="","","CO-"&amp;TEXT(ROW()-9,"00"))</f>
        <v/>
      </c>
      <c r="B33" s="13"/>
      <c r="C33" s="13"/>
      <c r="D33" s="13"/>
      <c r="E33" s="13"/>
      <c r="F33" s="52"/>
      <c r="G33" s="52"/>
      <c r="H33" s="37"/>
      <c r="I33" s="52"/>
      <c r="J33" s="52"/>
      <c r="K33" s="52"/>
      <c r="L33" s="100" t="str">
        <f aca="true">IF(OR($B33="",$K33=""),"",$K33-TODAY())</f>
        <v/>
      </c>
      <c r="M33" s="101" t="str">
        <f aca="false">IF($B33="","",IF($K33="","∞ Vitalício",IF($L33&lt;0,"■ Vencido",IF($L33&lt;=Listas!$H$6,"▲ A vencer","● Ativo"))))</f>
        <v/>
      </c>
      <c r="N33" s="102"/>
      <c r="O33" s="102"/>
      <c r="P33" s="43" t="str">
        <f aca="false">IF($B33="","",IF(N($N33)=0,0,MIN(1,N($O33)/$N33)))</f>
        <v/>
      </c>
      <c r="Q33" s="63" t="str">
        <f aca="false">IF($B33="","",SUMIFS('Diário de Estudo'!$D$7:$D$506,'Diário de Estudo'!$C$7:$C$506,$B33))</f>
        <v/>
      </c>
      <c r="R33" s="103" t="str">
        <f aca="false">IF($B33="","",IF(AND(N($Q33)&gt;0,N($H33)&gt;0),$H33/$Q33,""))</f>
        <v/>
      </c>
      <c r="S33" s="60" t="str">
        <f aca="true">IF($B33="","",IF(OR(N($N33)=0,$I33=""),"",IF(N($O33)&gt;=$N33,"Concluído",IF(OR(N($O33)&lt;=0,TODAY()&lt;=$I33),"Sem ritmo",TODAY()+ROUNDUP(($N33-$O33)/($O33/(TODAY()-$I33)),0)))))</f>
        <v/>
      </c>
      <c r="T33" s="101" t="str">
        <f aca="false">IF($B33="","",IF(ISNUMBER($S33),IF(AND(ISNUMBER($K33),$S33&gt;$K33),"■ Estoura o acesso",IF(AND(ISNUMBER($J33),$S33&gt;$J33),"▲ Atrasado vs plano","● No prazo")),IF($S33="Concluído","◆ Concluído","—")))</f>
        <v/>
      </c>
      <c r="U33" s="81"/>
      <c r="V33" s="81"/>
      <c r="W33" s="81"/>
      <c r="X33" s="13"/>
      <c r="Y33" s="13"/>
      <c r="Z33" s="13"/>
      <c r="AA33" s="11"/>
    </row>
    <row r="34" customFormat="false" ht="21.75" hidden="false" customHeight="true" outlineLevel="0" collapsed="false">
      <c r="A34" s="58" t="str">
        <f aca="false">IF($B34="","","CO-"&amp;TEXT(ROW()-9,"00"))</f>
        <v/>
      </c>
      <c r="B34" s="13"/>
      <c r="C34" s="13"/>
      <c r="D34" s="13"/>
      <c r="E34" s="13"/>
      <c r="F34" s="52"/>
      <c r="G34" s="52"/>
      <c r="H34" s="37"/>
      <c r="I34" s="52"/>
      <c r="J34" s="52"/>
      <c r="K34" s="52"/>
      <c r="L34" s="100" t="str">
        <f aca="true">IF(OR($B34="",$K34=""),"",$K34-TODAY())</f>
        <v/>
      </c>
      <c r="M34" s="101" t="str">
        <f aca="false">IF($B34="","",IF($K34="","∞ Vitalício",IF($L34&lt;0,"■ Vencido",IF($L34&lt;=Listas!$H$6,"▲ A vencer","● Ativo"))))</f>
        <v/>
      </c>
      <c r="N34" s="102"/>
      <c r="O34" s="102"/>
      <c r="P34" s="43" t="str">
        <f aca="false">IF($B34="","",IF(N($N34)=0,0,MIN(1,N($O34)/$N34)))</f>
        <v/>
      </c>
      <c r="Q34" s="63" t="str">
        <f aca="false">IF($B34="","",SUMIFS('Diário de Estudo'!$D$7:$D$506,'Diário de Estudo'!$C$7:$C$506,$B34))</f>
        <v/>
      </c>
      <c r="R34" s="103" t="str">
        <f aca="false">IF($B34="","",IF(AND(N($Q34)&gt;0,N($H34)&gt;0),$H34/$Q34,""))</f>
        <v/>
      </c>
      <c r="S34" s="60" t="str">
        <f aca="true">IF($B34="","",IF(OR(N($N34)=0,$I34=""),"",IF(N($O34)&gt;=$N34,"Concluído",IF(OR(N($O34)&lt;=0,TODAY()&lt;=$I34),"Sem ritmo",TODAY()+ROUNDUP(($N34-$O34)/($O34/(TODAY()-$I34)),0)))))</f>
        <v/>
      </c>
      <c r="T34" s="101" t="str">
        <f aca="false">IF($B34="","",IF(ISNUMBER($S34),IF(AND(ISNUMBER($K34),$S34&gt;$K34),"■ Estoura o acesso",IF(AND(ISNUMBER($J34),$S34&gt;$J34),"▲ Atrasado vs plano","● No prazo")),IF($S34="Concluído","◆ Concluído","—")))</f>
        <v/>
      </c>
      <c r="U34" s="81"/>
      <c r="V34" s="81"/>
      <c r="W34" s="81"/>
      <c r="X34" s="13"/>
      <c r="Y34" s="13"/>
      <c r="Z34" s="13"/>
      <c r="AA34" s="11"/>
    </row>
    <row r="35" customFormat="false" ht="21.75" hidden="false" customHeight="true" outlineLevel="0" collapsed="false">
      <c r="A35" s="58" t="str">
        <f aca="false">IF($B35="","","CO-"&amp;TEXT(ROW()-9,"00"))</f>
        <v/>
      </c>
      <c r="B35" s="13"/>
      <c r="C35" s="13"/>
      <c r="D35" s="13"/>
      <c r="E35" s="13"/>
      <c r="F35" s="52"/>
      <c r="G35" s="52"/>
      <c r="H35" s="37"/>
      <c r="I35" s="52"/>
      <c r="J35" s="52"/>
      <c r="K35" s="52"/>
      <c r="L35" s="100" t="str">
        <f aca="true">IF(OR($B35="",$K35=""),"",$K35-TODAY())</f>
        <v/>
      </c>
      <c r="M35" s="101" t="str">
        <f aca="false">IF($B35="","",IF($K35="","∞ Vitalício",IF($L35&lt;0,"■ Vencido",IF($L35&lt;=Listas!$H$6,"▲ A vencer","● Ativo"))))</f>
        <v/>
      </c>
      <c r="N35" s="102"/>
      <c r="O35" s="102"/>
      <c r="P35" s="43" t="str">
        <f aca="false">IF($B35="","",IF(N($N35)=0,0,MIN(1,N($O35)/$N35)))</f>
        <v/>
      </c>
      <c r="Q35" s="63" t="str">
        <f aca="false">IF($B35="","",SUMIFS('Diário de Estudo'!$D$7:$D$506,'Diário de Estudo'!$C$7:$C$506,$B35))</f>
        <v/>
      </c>
      <c r="R35" s="103" t="str">
        <f aca="false">IF($B35="","",IF(AND(N($Q35)&gt;0,N($H35)&gt;0),$H35/$Q35,""))</f>
        <v/>
      </c>
      <c r="S35" s="60" t="str">
        <f aca="true">IF($B35="","",IF(OR(N($N35)=0,$I35=""),"",IF(N($O35)&gt;=$N35,"Concluído",IF(OR(N($O35)&lt;=0,TODAY()&lt;=$I35),"Sem ritmo",TODAY()+ROUNDUP(($N35-$O35)/($O35/(TODAY()-$I35)),0)))))</f>
        <v/>
      </c>
      <c r="T35" s="101" t="str">
        <f aca="false">IF($B35="","",IF(ISNUMBER($S35),IF(AND(ISNUMBER($K35),$S35&gt;$K35),"■ Estoura o acesso",IF(AND(ISNUMBER($J35),$S35&gt;$J35),"▲ Atrasado vs plano","● No prazo")),IF($S35="Concluído","◆ Concluído","—")))</f>
        <v/>
      </c>
      <c r="U35" s="81"/>
      <c r="V35" s="81"/>
      <c r="W35" s="81"/>
      <c r="X35" s="13"/>
      <c r="Y35" s="13"/>
      <c r="Z35" s="13"/>
      <c r="AA35" s="11"/>
    </row>
    <row r="36" customFormat="false" ht="21.75" hidden="false" customHeight="true" outlineLevel="0" collapsed="false">
      <c r="A36" s="58" t="str">
        <f aca="false">IF($B36="","","CO-"&amp;TEXT(ROW()-9,"00"))</f>
        <v/>
      </c>
      <c r="B36" s="13"/>
      <c r="C36" s="13"/>
      <c r="D36" s="13"/>
      <c r="E36" s="13"/>
      <c r="F36" s="52"/>
      <c r="G36" s="52"/>
      <c r="H36" s="37"/>
      <c r="I36" s="52"/>
      <c r="J36" s="52"/>
      <c r="K36" s="52"/>
      <c r="L36" s="100" t="str">
        <f aca="true">IF(OR($B36="",$K36=""),"",$K36-TODAY())</f>
        <v/>
      </c>
      <c r="M36" s="101" t="str">
        <f aca="false">IF($B36="","",IF($K36="","∞ Vitalício",IF($L36&lt;0,"■ Vencido",IF($L36&lt;=Listas!$H$6,"▲ A vencer","● Ativo"))))</f>
        <v/>
      </c>
      <c r="N36" s="102"/>
      <c r="O36" s="102"/>
      <c r="P36" s="43" t="str">
        <f aca="false">IF($B36="","",IF(N($N36)=0,0,MIN(1,N($O36)/$N36)))</f>
        <v/>
      </c>
      <c r="Q36" s="63" t="str">
        <f aca="false">IF($B36="","",SUMIFS('Diário de Estudo'!$D$7:$D$506,'Diário de Estudo'!$C$7:$C$506,$B36))</f>
        <v/>
      </c>
      <c r="R36" s="103" t="str">
        <f aca="false">IF($B36="","",IF(AND(N($Q36)&gt;0,N($H36)&gt;0),$H36/$Q36,""))</f>
        <v/>
      </c>
      <c r="S36" s="60" t="str">
        <f aca="true">IF($B36="","",IF(OR(N($N36)=0,$I36=""),"",IF(N($O36)&gt;=$N36,"Concluído",IF(OR(N($O36)&lt;=0,TODAY()&lt;=$I36),"Sem ritmo",TODAY()+ROUNDUP(($N36-$O36)/($O36/(TODAY()-$I36)),0)))))</f>
        <v/>
      </c>
      <c r="T36" s="101" t="str">
        <f aca="false">IF($B36="","",IF(ISNUMBER($S36),IF(AND(ISNUMBER($K36),$S36&gt;$K36),"■ Estoura o acesso",IF(AND(ISNUMBER($J36),$S36&gt;$J36),"▲ Atrasado vs plano","● No prazo")),IF($S36="Concluído","◆ Concluído","—")))</f>
        <v/>
      </c>
      <c r="U36" s="81"/>
      <c r="V36" s="81"/>
      <c r="W36" s="81"/>
      <c r="X36" s="13"/>
      <c r="Y36" s="13"/>
      <c r="Z36" s="13"/>
      <c r="AA36" s="11"/>
    </row>
    <row r="37" customFormat="false" ht="21.75" hidden="false" customHeight="true" outlineLevel="0" collapsed="false">
      <c r="A37" s="58" t="str">
        <f aca="false">IF($B37="","","CO-"&amp;TEXT(ROW()-9,"00"))</f>
        <v/>
      </c>
      <c r="B37" s="13"/>
      <c r="C37" s="13"/>
      <c r="D37" s="13"/>
      <c r="E37" s="13"/>
      <c r="F37" s="52"/>
      <c r="G37" s="52"/>
      <c r="H37" s="37"/>
      <c r="I37" s="52"/>
      <c r="J37" s="52"/>
      <c r="K37" s="52"/>
      <c r="L37" s="100" t="str">
        <f aca="true">IF(OR($B37="",$K37=""),"",$K37-TODAY())</f>
        <v/>
      </c>
      <c r="M37" s="101" t="str">
        <f aca="false">IF($B37="","",IF($K37="","∞ Vitalício",IF($L37&lt;0,"■ Vencido",IF($L37&lt;=Listas!$H$6,"▲ A vencer","● Ativo"))))</f>
        <v/>
      </c>
      <c r="N37" s="102"/>
      <c r="O37" s="102"/>
      <c r="P37" s="43" t="str">
        <f aca="false">IF($B37="","",IF(N($N37)=0,0,MIN(1,N($O37)/$N37)))</f>
        <v/>
      </c>
      <c r="Q37" s="63" t="str">
        <f aca="false">IF($B37="","",SUMIFS('Diário de Estudo'!$D$7:$D$506,'Diário de Estudo'!$C$7:$C$506,$B37))</f>
        <v/>
      </c>
      <c r="R37" s="103" t="str">
        <f aca="false">IF($B37="","",IF(AND(N($Q37)&gt;0,N($H37)&gt;0),$H37/$Q37,""))</f>
        <v/>
      </c>
      <c r="S37" s="60" t="str">
        <f aca="true">IF($B37="","",IF(OR(N($N37)=0,$I37=""),"",IF(N($O37)&gt;=$N37,"Concluído",IF(OR(N($O37)&lt;=0,TODAY()&lt;=$I37),"Sem ritmo",TODAY()+ROUNDUP(($N37-$O37)/($O37/(TODAY()-$I37)),0)))))</f>
        <v/>
      </c>
      <c r="T37" s="101" t="str">
        <f aca="false">IF($B37="","",IF(ISNUMBER($S37),IF(AND(ISNUMBER($K37),$S37&gt;$K37),"■ Estoura o acesso",IF(AND(ISNUMBER($J37),$S37&gt;$J37),"▲ Atrasado vs plano","● No prazo")),IF($S37="Concluído","◆ Concluído","—")))</f>
        <v/>
      </c>
      <c r="U37" s="81"/>
      <c r="V37" s="81"/>
      <c r="W37" s="81"/>
      <c r="X37" s="13"/>
      <c r="Y37" s="13"/>
      <c r="Z37" s="13"/>
      <c r="AA37" s="11"/>
    </row>
    <row r="38" customFormat="false" ht="21.75" hidden="false" customHeight="true" outlineLevel="0" collapsed="false">
      <c r="A38" s="58" t="str">
        <f aca="false">IF($B38="","","CO-"&amp;TEXT(ROW()-9,"00"))</f>
        <v/>
      </c>
      <c r="B38" s="13"/>
      <c r="C38" s="13"/>
      <c r="D38" s="13"/>
      <c r="E38" s="13"/>
      <c r="F38" s="52"/>
      <c r="G38" s="52"/>
      <c r="H38" s="37"/>
      <c r="I38" s="52"/>
      <c r="J38" s="52"/>
      <c r="K38" s="52"/>
      <c r="L38" s="100" t="str">
        <f aca="true">IF(OR($B38="",$K38=""),"",$K38-TODAY())</f>
        <v/>
      </c>
      <c r="M38" s="101" t="str">
        <f aca="false">IF($B38="","",IF($K38="","∞ Vitalício",IF($L38&lt;0,"■ Vencido",IF($L38&lt;=Listas!$H$6,"▲ A vencer","● Ativo"))))</f>
        <v/>
      </c>
      <c r="N38" s="102"/>
      <c r="O38" s="102"/>
      <c r="P38" s="43" t="str">
        <f aca="false">IF($B38="","",IF(N($N38)=0,0,MIN(1,N($O38)/$N38)))</f>
        <v/>
      </c>
      <c r="Q38" s="63" t="str">
        <f aca="false">IF($B38="","",SUMIFS('Diário de Estudo'!$D$7:$D$506,'Diário de Estudo'!$C$7:$C$506,$B38))</f>
        <v/>
      </c>
      <c r="R38" s="103" t="str">
        <f aca="false">IF($B38="","",IF(AND(N($Q38)&gt;0,N($H38)&gt;0),$H38/$Q38,""))</f>
        <v/>
      </c>
      <c r="S38" s="60" t="str">
        <f aca="true">IF($B38="","",IF(OR(N($N38)=0,$I38=""),"",IF(N($O38)&gt;=$N38,"Concluído",IF(OR(N($O38)&lt;=0,TODAY()&lt;=$I38),"Sem ritmo",TODAY()+ROUNDUP(($N38-$O38)/($O38/(TODAY()-$I38)),0)))))</f>
        <v/>
      </c>
      <c r="T38" s="101" t="str">
        <f aca="false">IF($B38="","",IF(ISNUMBER($S38),IF(AND(ISNUMBER($K38),$S38&gt;$K38),"■ Estoura o acesso",IF(AND(ISNUMBER($J38),$S38&gt;$J38),"▲ Atrasado vs plano","● No prazo")),IF($S38="Concluído","◆ Concluído","—")))</f>
        <v/>
      </c>
      <c r="U38" s="81"/>
      <c r="V38" s="81"/>
      <c r="W38" s="81"/>
      <c r="X38" s="13"/>
      <c r="Y38" s="13"/>
      <c r="Z38" s="13"/>
      <c r="AA38" s="11"/>
    </row>
    <row r="39" customFormat="false" ht="21.75" hidden="false" customHeight="true" outlineLevel="0" collapsed="false">
      <c r="A39" s="58" t="str">
        <f aca="false">IF($B39="","","CO-"&amp;TEXT(ROW()-9,"00"))</f>
        <v/>
      </c>
      <c r="B39" s="13"/>
      <c r="C39" s="13"/>
      <c r="D39" s="13"/>
      <c r="E39" s="13"/>
      <c r="F39" s="52"/>
      <c r="G39" s="52"/>
      <c r="H39" s="37"/>
      <c r="I39" s="52"/>
      <c r="J39" s="52"/>
      <c r="K39" s="52"/>
      <c r="L39" s="100" t="str">
        <f aca="true">IF(OR($B39="",$K39=""),"",$K39-TODAY())</f>
        <v/>
      </c>
      <c r="M39" s="101" t="str">
        <f aca="false">IF($B39="","",IF($K39="","∞ Vitalício",IF($L39&lt;0,"■ Vencido",IF($L39&lt;=Listas!$H$6,"▲ A vencer","● Ativo"))))</f>
        <v/>
      </c>
      <c r="N39" s="102"/>
      <c r="O39" s="102"/>
      <c r="P39" s="43" t="str">
        <f aca="false">IF($B39="","",IF(N($N39)=0,0,MIN(1,N($O39)/$N39)))</f>
        <v/>
      </c>
      <c r="Q39" s="63" t="str">
        <f aca="false">IF($B39="","",SUMIFS('Diário de Estudo'!$D$7:$D$506,'Diário de Estudo'!$C$7:$C$506,$B39))</f>
        <v/>
      </c>
      <c r="R39" s="103" t="str">
        <f aca="false">IF($B39="","",IF(AND(N($Q39)&gt;0,N($H39)&gt;0),$H39/$Q39,""))</f>
        <v/>
      </c>
      <c r="S39" s="60" t="str">
        <f aca="true">IF($B39="","",IF(OR(N($N39)=0,$I39=""),"",IF(N($O39)&gt;=$N39,"Concluído",IF(OR(N($O39)&lt;=0,TODAY()&lt;=$I39),"Sem ritmo",TODAY()+ROUNDUP(($N39-$O39)/($O39/(TODAY()-$I39)),0)))))</f>
        <v/>
      </c>
      <c r="T39" s="101" t="str">
        <f aca="false">IF($B39="","",IF(ISNUMBER($S39),IF(AND(ISNUMBER($K39),$S39&gt;$K39),"■ Estoura o acesso",IF(AND(ISNUMBER($J39),$S39&gt;$J39),"▲ Atrasado vs plano","● No prazo")),IF($S39="Concluído","◆ Concluído","—")))</f>
        <v/>
      </c>
      <c r="U39" s="81"/>
      <c r="V39" s="81"/>
      <c r="W39" s="81"/>
      <c r="X39" s="13"/>
      <c r="Y39" s="13"/>
      <c r="Z39" s="13"/>
      <c r="AA39" s="11"/>
    </row>
    <row r="40" customFormat="false" ht="21.75" hidden="false" customHeight="true" outlineLevel="0" collapsed="false">
      <c r="A40" s="58" t="str">
        <f aca="false">IF($B40="","","CO-"&amp;TEXT(ROW()-9,"00"))</f>
        <v/>
      </c>
      <c r="B40" s="13"/>
      <c r="C40" s="13"/>
      <c r="D40" s="13"/>
      <c r="E40" s="13"/>
      <c r="F40" s="52"/>
      <c r="G40" s="52"/>
      <c r="H40" s="37"/>
      <c r="I40" s="52"/>
      <c r="J40" s="52"/>
      <c r="K40" s="52"/>
      <c r="L40" s="100" t="str">
        <f aca="true">IF(OR($B40="",$K40=""),"",$K40-TODAY())</f>
        <v/>
      </c>
      <c r="M40" s="101" t="str">
        <f aca="false">IF($B40="","",IF($K40="","∞ Vitalício",IF($L40&lt;0,"■ Vencido",IF($L40&lt;=Listas!$H$6,"▲ A vencer","● Ativo"))))</f>
        <v/>
      </c>
      <c r="N40" s="102"/>
      <c r="O40" s="102"/>
      <c r="P40" s="43" t="str">
        <f aca="false">IF($B40="","",IF(N($N40)=0,0,MIN(1,N($O40)/$N40)))</f>
        <v/>
      </c>
      <c r="Q40" s="63" t="str">
        <f aca="false">IF($B40="","",SUMIFS('Diário de Estudo'!$D$7:$D$506,'Diário de Estudo'!$C$7:$C$506,$B40))</f>
        <v/>
      </c>
      <c r="R40" s="103" t="str">
        <f aca="false">IF($B40="","",IF(AND(N($Q40)&gt;0,N($H40)&gt;0),$H40/$Q40,""))</f>
        <v/>
      </c>
      <c r="S40" s="60" t="str">
        <f aca="true">IF($B40="","",IF(OR(N($N40)=0,$I40=""),"",IF(N($O40)&gt;=$N40,"Concluído",IF(OR(N($O40)&lt;=0,TODAY()&lt;=$I40),"Sem ritmo",TODAY()+ROUNDUP(($N40-$O40)/($O40/(TODAY()-$I40)),0)))))</f>
        <v/>
      </c>
      <c r="T40" s="101" t="str">
        <f aca="false">IF($B40="","",IF(ISNUMBER($S40),IF(AND(ISNUMBER($K40),$S40&gt;$K40),"■ Estoura o acesso",IF(AND(ISNUMBER($J40),$S40&gt;$J40),"▲ Atrasado vs plano","● No prazo")),IF($S40="Concluído","◆ Concluído","—")))</f>
        <v/>
      </c>
      <c r="U40" s="81"/>
      <c r="V40" s="81"/>
      <c r="W40" s="81"/>
      <c r="X40" s="13"/>
      <c r="Y40" s="13"/>
      <c r="Z40" s="13"/>
      <c r="AA40" s="11"/>
    </row>
    <row r="41" customFormat="false" ht="21.75" hidden="false" customHeight="true" outlineLevel="0" collapsed="false">
      <c r="A41" s="58" t="str">
        <f aca="false">IF($B41="","","CO-"&amp;TEXT(ROW()-9,"00"))</f>
        <v/>
      </c>
      <c r="B41" s="13"/>
      <c r="C41" s="13"/>
      <c r="D41" s="13"/>
      <c r="E41" s="13"/>
      <c r="F41" s="52"/>
      <c r="G41" s="52"/>
      <c r="H41" s="37"/>
      <c r="I41" s="52"/>
      <c r="J41" s="52"/>
      <c r="K41" s="52"/>
      <c r="L41" s="100" t="str">
        <f aca="true">IF(OR($B41="",$K41=""),"",$K41-TODAY())</f>
        <v/>
      </c>
      <c r="M41" s="101" t="str">
        <f aca="false">IF($B41="","",IF($K41="","∞ Vitalício",IF($L41&lt;0,"■ Vencido",IF($L41&lt;=Listas!$H$6,"▲ A vencer","● Ativo"))))</f>
        <v/>
      </c>
      <c r="N41" s="102"/>
      <c r="O41" s="102"/>
      <c r="P41" s="43" t="str">
        <f aca="false">IF($B41="","",IF(N($N41)=0,0,MIN(1,N($O41)/$N41)))</f>
        <v/>
      </c>
      <c r="Q41" s="63" t="str">
        <f aca="false">IF($B41="","",SUMIFS('Diário de Estudo'!$D$7:$D$506,'Diário de Estudo'!$C$7:$C$506,$B41))</f>
        <v/>
      </c>
      <c r="R41" s="103" t="str">
        <f aca="false">IF($B41="","",IF(AND(N($Q41)&gt;0,N($H41)&gt;0),$H41/$Q41,""))</f>
        <v/>
      </c>
      <c r="S41" s="60" t="str">
        <f aca="true">IF($B41="","",IF(OR(N($N41)=0,$I41=""),"",IF(N($O41)&gt;=$N41,"Concluído",IF(OR(N($O41)&lt;=0,TODAY()&lt;=$I41),"Sem ritmo",TODAY()+ROUNDUP(($N41-$O41)/($O41/(TODAY()-$I41)),0)))))</f>
        <v/>
      </c>
      <c r="T41" s="101" t="str">
        <f aca="false">IF($B41="","",IF(ISNUMBER($S41),IF(AND(ISNUMBER($K41),$S41&gt;$K41),"■ Estoura o acesso",IF(AND(ISNUMBER($J41),$S41&gt;$J41),"▲ Atrasado vs plano","● No prazo")),IF($S41="Concluído","◆ Concluído","—")))</f>
        <v/>
      </c>
      <c r="U41" s="81"/>
      <c r="V41" s="81"/>
      <c r="W41" s="81"/>
      <c r="X41" s="13"/>
      <c r="Y41" s="13"/>
      <c r="Z41" s="13"/>
      <c r="AA41" s="11"/>
    </row>
    <row r="42" customFormat="false" ht="21.75" hidden="false" customHeight="true" outlineLevel="0" collapsed="false">
      <c r="A42" s="58" t="str">
        <f aca="false">IF($B42="","","CO-"&amp;TEXT(ROW()-9,"00"))</f>
        <v/>
      </c>
      <c r="B42" s="13"/>
      <c r="C42" s="13"/>
      <c r="D42" s="13"/>
      <c r="E42" s="13"/>
      <c r="F42" s="52"/>
      <c r="G42" s="52"/>
      <c r="H42" s="37"/>
      <c r="I42" s="52"/>
      <c r="J42" s="52"/>
      <c r="K42" s="52"/>
      <c r="L42" s="100" t="str">
        <f aca="true">IF(OR($B42="",$K42=""),"",$K42-TODAY())</f>
        <v/>
      </c>
      <c r="M42" s="101" t="str">
        <f aca="false">IF($B42="","",IF($K42="","∞ Vitalício",IF($L42&lt;0,"■ Vencido",IF($L42&lt;=Listas!$H$6,"▲ A vencer","● Ativo"))))</f>
        <v/>
      </c>
      <c r="N42" s="102"/>
      <c r="O42" s="102"/>
      <c r="P42" s="43" t="str">
        <f aca="false">IF($B42="","",IF(N($N42)=0,0,MIN(1,N($O42)/$N42)))</f>
        <v/>
      </c>
      <c r="Q42" s="63" t="str">
        <f aca="false">IF($B42="","",SUMIFS('Diário de Estudo'!$D$7:$D$506,'Diário de Estudo'!$C$7:$C$506,$B42))</f>
        <v/>
      </c>
      <c r="R42" s="103" t="str">
        <f aca="false">IF($B42="","",IF(AND(N($Q42)&gt;0,N($H42)&gt;0),$H42/$Q42,""))</f>
        <v/>
      </c>
      <c r="S42" s="60" t="str">
        <f aca="true">IF($B42="","",IF(OR(N($N42)=0,$I42=""),"",IF(N($O42)&gt;=$N42,"Concluído",IF(OR(N($O42)&lt;=0,TODAY()&lt;=$I42),"Sem ritmo",TODAY()+ROUNDUP(($N42-$O42)/($O42/(TODAY()-$I42)),0)))))</f>
        <v/>
      </c>
      <c r="T42" s="101" t="str">
        <f aca="false">IF($B42="","",IF(ISNUMBER($S42),IF(AND(ISNUMBER($K42),$S42&gt;$K42),"■ Estoura o acesso",IF(AND(ISNUMBER($J42),$S42&gt;$J42),"▲ Atrasado vs plano","● No prazo")),IF($S42="Concluído","◆ Concluído","—")))</f>
        <v/>
      </c>
      <c r="U42" s="81"/>
      <c r="V42" s="81"/>
      <c r="W42" s="81"/>
      <c r="X42" s="13"/>
      <c r="Y42" s="13"/>
      <c r="Z42" s="13"/>
      <c r="AA42" s="11"/>
    </row>
    <row r="43" customFormat="false" ht="21.75" hidden="false" customHeight="true" outlineLevel="0" collapsed="false">
      <c r="A43" s="58" t="str">
        <f aca="false">IF($B43="","","CO-"&amp;TEXT(ROW()-9,"00"))</f>
        <v/>
      </c>
      <c r="B43" s="13"/>
      <c r="C43" s="13"/>
      <c r="D43" s="13"/>
      <c r="E43" s="13"/>
      <c r="F43" s="52"/>
      <c r="G43" s="52"/>
      <c r="H43" s="37"/>
      <c r="I43" s="52"/>
      <c r="J43" s="52"/>
      <c r="K43" s="52"/>
      <c r="L43" s="100" t="str">
        <f aca="true">IF(OR($B43="",$K43=""),"",$K43-TODAY())</f>
        <v/>
      </c>
      <c r="M43" s="101" t="str">
        <f aca="false">IF($B43="","",IF($K43="","∞ Vitalício",IF($L43&lt;0,"■ Vencido",IF($L43&lt;=Listas!$H$6,"▲ A vencer","● Ativo"))))</f>
        <v/>
      </c>
      <c r="N43" s="102"/>
      <c r="O43" s="102"/>
      <c r="P43" s="43" t="str">
        <f aca="false">IF($B43="","",IF(N($N43)=0,0,MIN(1,N($O43)/$N43)))</f>
        <v/>
      </c>
      <c r="Q43" s="63" t="str">
        <f aca="false">IF($B43="","",SUMIFS('Diário de Estudo'!$D$7:$D$506,'Diário de Estudo'!$C$7:$C$506,$B43))</f>
        <v/>
      </c>
      <c r="R43" s="103" t="str">
        <f aca="false">IF($B43="","",IF(AND(N($Q43)&gt;0,N($H43)&gt;0),$H43/$Q43,""))</f>
        <v/>
      </c>
      <c r="S43" s="60" t="str">
        <f aca="true">IF($B43="","",IF(OR(N($N43)=0,$I43=""),"",IF(N($O43)&gt;=$N43,"Concluído",IF(OR(N($O43)&lt;=0,TODAY()&lt;=$I43),"Sem ritmo",TODAY()+ROUNDUP(($N43-$O43)/($O43/(TODAY()-$I43)),0)))))</f>
        <v/>
      </c>
      <c r="T43" s="101" t="str">
        <f aca="false">IF($B43="","",IF(ISNUMBER($S43),IF(AND(ISNUMBER($K43),$S43&gt;$K43),"■ Estoura o acesso",IF(AND(ISNUMBER($J43),$S43&gt;$J43),"▲ Atrasado vs plano","● No prazo")),IF($S43="Concluído","◆ Concluído","—")))</f>
        <v/>
      </c>
      <c r="U43" s="81"/>
      <c r="V43" s="81"/>
      <c r="W43" s="81"/>
      <c r="X43" s="13"/>
      <c r="Y43" s="13"/>
      <c r="Z43" s="13"/>
      <c r="AA43" s="11"/>
    </row>
    <row r="44" customFormat="false" ht="21.75" hidden="false" customHeight="true" outlineLevel="0" collapsed="false">
      <c r="A44" s="58" t="str">
        <f aca="false">IF($B44="","","CO-"&amp;TEXT(ROW()-9,"00"))</f>
        <v/>
      </c>
      <c r="B44" s="13"/>
      <c r="C44" s="13"/>
      <c r="D44" s="13"/>
      <c r="E44" s="13"/>
      <c r="F44" s="52"/>
      <c r="G44" s="52"/>
      <c r="H44" s="37"/>
      <c r="I44" s="52"/>
      <c r="J44" s="52"/>
      <c r="K44" s="52"/>
      <c r="L44" s="100" t="str">
        <f aca="true">IF(OR($B44="",$K44=""),"",$K44-TODAY())</f>
        <v/>
      </c>
      <c r="M44" s="101" t="str">
        <f aca="false">IF($B44="","",IF($K44="","∞ Vitalício",IF($L44&lt;0,"■ Vencido",IF($L44&lt;=Listas!$H$6,"▲ A vencer","● Ativo"))))</f>
        <v/>
      </c>
      <c r="N44" s="102"/>
      <c r="O44" s="102"/>
      <c r="P44" s="43" t="str">
        <f aca="false">IF($B44="","",IF(N($N44)=0,0,MIN(1,N($O44)/$N44)))</f>
        <v/>
      </c>
      <c r="Q44" s="63" t="str">
        <f aca="false">IF($B44="","",SUMIFS('Diário de Estudo'!$D$7:$D$506,'Diário de Estudo'!$C$7:$C$506,$B44))</f>
        <v/>
      </c>
      <c r="R44" s="103" t="str">
        <f aca="false">IF($B44="","",IF(AND(N($Q44)&gt;0,N($H44)&gt;0),$H44/$Q44,""))</f>
        <v/>
      </c>
      <c r="S44" s="60" t="str">
        <f aca="true">IF($B44="","",IF(OR(N($N44)=0,$I44=""),"",IF(N($O44)&gt;=$N44,"Concluído",IF(OR(N($O44)&lt;=0,TODAY()&lt;=$I44),"Sem ritmo",TODAY()+ROUNDUP(($N44-$O44)/($O44/(TODAY()-$I44)),0)))))</f>
        <v/>
      </c>
      <c r="T44" s="101" t="str">
        <f aca="false">IF($B44="","",IF(ISNUMBER($S44),IF(AND(ISNUMBER($K44),$S44&gt;$K44),"■ Estoura o acesso",IF(AND(ISNUMBER($J44),$S44&gt;$J44),"▲ Atrasado vs plano","● No prazo")),IF($S44="Concluído","◆ Concluído","—")))</f>
        <v/>
      </c>
      <c r="U44" s="81"/>
      <c r="V44" s="81"/>
      <c r="W44" s="81"/>
      <c r="X44" s="13"/>
      <c r="Y44" s="13"/>
      <c r="Z44" s="13"/>
      <c r="AA44" s="11"/>
    </row>
    <row r="45" customFormat="false" ht="21.75" hidden="false" customHeight="true" outlineLevel="0" collapsed="false">
      <c r="A45" s="58" t="str">
        <f aca="false">IF($B45="","","CO-"&amp;TEXT(ROW()-9,"00"))</f>
        <v/>
      </c>
      <c r="B45" s="13"/>
      <c r="C45" s="13"/>
      <c r="D45" s="13"/>
      <c r="E45" s="13"/>
      <c r="F45" s="52"/>
      <c r="G45" s="52"/>
      <c r="H45" s="37"/>
      <c r="I45" s="52"/>
      <c r="J45" s="52"/>
      <c r="K45" s="52"/>
      <c r="L45" s="100" t="str">
        <f aca="true">IF(OR($B45="",$K45=""),"",$K45-TODAY())</f>
        <v/>
      </c>
      <c r="M45" s="101" t="str">
        <f aca="false">IF($B45="","",IF($K45="","∞ Vitalício",IF($L45&lt;0,"■ Vencido",IF($L45&lt;=Listas!$H$6,"▲ A vencer","● Ativo"))))</f>
        <v/>
      </c>
      <c r="N45" s="102"/>
      <c r="O45" s="102"/>
      <c r="P45" s="43" t="str">
        <f aca="false">IF($B45="","",IF(N($N45)=0,0,MIN(1,N($O45)/$N45)))</f>
        <v/>
      </c>
      <c r="Q45" s="63" t="str">
        <f aca="false">IF($B45="","",SUMIFS('Diário de Estudo'!$D$7:$D$506,'Diário de Estudo'!$C$7:$C$506,$B45))</f>
        <v/>
      </c>
      <c r="R45" s="103" t="str">
        <f aca="false">IF($B45="","",IF(AND(N($Q45)&gt;0,N($H45)&gt;0),$H45/$Q45,""))</f>
        <v/>
      </c>
      <c r="S45" s="60" t="str">
        <f aca="true">IF($B45="","",IF(OR(N($N45)=0,$I45=""),"",IF(N($O45)&gt;=$N45,"Concluído",IF(OR(N($O45)&lt;=0,TODAY()&lt;=$I45),"Sem ritmo",TODAY()+ROUNDUP(($N45-$O45)/($O45/(TODAY()-$I45)),0)))))</f>
        <v/>
      </c>
      <c r="T45" s="101" t="str">
        <f aca="false">IF($B45="","",IF(ISNUMBER($S45),IF(AND(ISNUMBER($K45),$S45&gt;$K45),"■ Estoura o acesso",IF(AND(ISNUMBER($J45),$S45&gt;$J45),"▲ Atrasado vs plano","● No prazo")),IF($S45="Concluído","◆ Concluído","—")))</f>
        <v/>
      </c>
      <c r="U45" s="81"/>
      <c r="V45" s="81"/>
      <c r="W45" s="81"/>
      <c r="X45" s="13"/>
      <c r="Y45" s="13"/>
      <c r="Z45" s="13"/>
      <c r="AA45" s="11"/>
    </row>
    <row r="46" customFormat="false" ht="21.75" hidden="false" customHeight="true" outlineLevel="0" collapsed="false">
      <c r="A46" s="58" t="str">
        <f aca="false">IF($B46="","","CO-"&amp;TEXT(ROW()-9,"00"))</f>
        <v/>
      </c>
      <c r="B46" s="13"/>
      <c r="C46" s="13"/>
      <c r="D46" s="13"/>
      <c r="E46" s="13"/>
      <c r="F46" s="52"/>
      <c r="G46" s="52"/>
      <c r="H46" s="37"/>
      <c r="I46" s="52"/>
      <c r="J46" s="52"/>
      <c r="K46" s="52"/>
      <c r="L46" s="100" t="str">
        <f aca="true">IF(OR($B46="",$K46=""),"",$K46-TODAY())</f>
        <v/>
      </c>
      <c r="M46" s="101" t="str">
        <f aca="false">IF($B46="","",IF($K46="","∞ Vitalício",IF($L46&lt;0,"■ Vencido",IF($L46&lt;=Listas!$H$6,"▲ A vencer","● Ativo"))))</f>
        <v/>
      </c>
      <c r="N46" s="102"/>
      <c r="O46" s="102"/>
      <c r="P46" s="43" t="str">
        <f aca="false">IF($B46="","",IF(N($N46)=0,0,MIN(1,N($O46)/$N46)))</f>
        <v/>
      </c>
      <c r="Q46" s="63" t="str">
        <f aca="false">IF($B46="","",SUMIFS('Diário de Estudo'!$D$7:$D$506,'Diário de Estudo'!$C$7:$C$506,$B46))</f>
        <v/>
      </c>
      <c r="R46" s="103" t="str">
        <f aca="false">IF($B46="","",IF(AND(N($Q46)&gt;0,N($H46)&gt;0),$H46/$Q46,""))</f>
        <v/>
      </c>
      <c r="S46" s="60" t="str">
        <f aca="true">IF($B46="","",IF(OR(N($N46)=0,$I46=""),"",IF(N($O46)&gt;=$N46,"Concluído",IF(OR(N($O46)&lt;=0,TODAY()&lt;=$I46),"Sem ritmo",TODAY()+ROUNDUP(($N46-$O46)/($O46/(TODAY()-$I46)),0)))))</f>
        <v/>
      </c>
      <c r="T46" s="101" t="str">
        <f aca="false">IF($B46="","",IF(ISNUMBER($S46),IF(AND(ISNUMBER($K46),$S46&gt;$K46),"■ Estoura o acesso",IF(AND(ISNUMBER($J46),$S46&gt;$J46),"▲ Atrasado vs plano","● No prazo")),IF($S46="Concluído","◆ Concluído","—")))</f>
        <v/>
      </c>
      <c r="U46" s="81"/>
      <c r="V46" s="81"/>
      <c r="W46" s="81"/>
      <c r="X46" s="13"/>
      <c r="Y46" s="13"/>
      <c r="Z46" s="13"/>
      <c r="AA46" s="11"/>
    </row>
    <row r="47" customFormat="false" ht="21.75" hidden="false" customHeight="true" outlineLevel="0" collapsed="false">
      <c r="A47" s="58" t="str">
        <f aca="false">IF($B47="","","CO-"&amp;TEXT(ROW()-9,"00"))</f>
        <v/>
      </c>
      <c r="B47" s="13"/>
      <c r="C47" s="13"/>
      <c r="D47" s="13"/>
      <c r="E47" s="13"/>
      <c r="F47" s="52"/>
      <c r="G47" s="52"/>
      <c r="H47" s="37"/>
      <c r="I47" s="52"/>
      <c r="J47" s="52"/>
      <c r="K47" s="52"/>
      <c r="L47" s="100" t="str">
        <f aca="true">IF(OR($B47="",$K47=""),"",$K47-TODAY())</f>
        <v/>
      </c>
      <c r="M47" s="101" t="str">
        <f aca="false">IF($B47="","",IF($K47="","∞ Vitalício",IF($L47&lt;0,"■ Vencido",IF($L47&lt;=Listas!$H$6,"▲ A vencer","● Ativo"))))</f>
        <v/>
      </c>
      <c r="N47" s="102"/>
      <c r="O47" s="102"/>
      <c r="P47" s="43" t="str">
        <f aca="false">IF($B47="","",IF(N($N47)=0,0,MIN(1,N($O47)/$N47)))</f>
        <v/>
      </c>
      <c r="Q47" s="63" t="str">
        <f aca="false">IF($B47="","",SUMIFS('Diário de Estudo'!$D$7:$D$506,'Diário de Estudo'!$C$7:$C$506,$B47))</f>
        <v/>
      </c>
      <c r="R47" s="103" t="str">
        <f aca="false">IF($B47="","",IF(AND(N($Q47)&gt;0,N($H47)&gt;0),$H47/$Q47,""))</f>
        <v/>
      </c>
      <c r="S47" s="60" t="str">
        <f aca="true">IF($B47="","",IF(OR(N($N47)=0,$I47=""),"",IF(N($O47)&gt;=$N47,"Concluído",IF(OR(N($O47)&lt;=0,TODAY()&lt;=$I47),"Sem ritmo",TODAY()+ROUNDUP(($N47-$O47)/($O47/(TODAY()-$I47)),0)))))</f>
        <v/>
      </c>
      <c r="T47" s="101" t="str">
        <f aca="false">IF($B47="","",IF(ISNUMBER($S47),IF(AND(ISNUMBER($K47),$S47&gt;$K47),"■ Estoura o acesso",IF(AND(ISNUMBER($J47),$S47&gt;$J47),"▲ Atrasado vs plano","● No prazo")),IF($S47="Concluído","◆ Concluído","—")))</f>
        <v/>
      </c>
      <c r="U47" s="81"/>
      <c r="V47" s="81"/>
      <c r="W47" s="81"/>
      <c r="X47" s="13"/>
      <c r="Y47" s="13"/>
      <c r="Z47" s="13"/>
      <c r="AA47" s="11"/>
    </row>
    <row r="48" customFormat="false" ht="21.75" hidden="false" customHeight="true" outlineLevel="0" collapsed="false">
      <c r="A48" s="58" t="str">
        <f aca="false">IF($B48="","","CO-"&amp;TEXT(ROW()-9,"00"))</f>
        <v/>
      </c>
      <c r="B48" s="13"/>
      <c r="C48" s="13"/>
      <c r="D48" s="13"/>
      <c r="E48" s="13"/>
      <c r="F48" s="52"/>
      <c r="G48" s="52"/>
      <c r="H48" s="37"/>
      <c r="I48" s="52"/>
      <c r="J48" s="52"/>
      <c r="K48" s="52"/>
      <c r="L48" s="100" t="str">
        <f aca="true">IF(OR($B48="",$K48=""),"",$K48-TODAY())</f>
        <v/>
      </c>
      <c r="M48" s="101" t="str">
        <f aca="false">IF($B48="","",IF($K48="","∞ Vitalício",IF($L48&lt;0,"■ Vencido",IF($L48&lt;=Listas!$H$6,"▲ A vencer","● Ativo"))))</f>
        <v/>
      </c>
      <c r="N48" s="102"/>
      <c r="O48" s="102"/>
      <c r="P48" s="43" t="str">
        <f aca="false">IF($B48="","",IF(N($N48)=0,0,MIN(1,N($O48)/$N48)))</f>
        <v/>
      </c>
      <c r="Q48" s="63" t="str">
        <f aca="false">IF($B48="","",SUMIFS('Diário de Estudo'!$D$7:$D$506,'Diário de Estudo'!$C$7:$C$506,$B48))</f>
        <v/>
      </c>
      <c r="R48" s="103" t="str">
        <f aca="false">IF($B48="","",IF(AND(N($Q48)&gt;0,N($H48)&gt;0),$H48/$Q48,""))</f>
        <v/>
      </c>
      <c r="S48" s="60" t="str">
        <f aca="true">IF($B48="","",IF(OR(N($N48)=0,$I48=""),"",IF(N($O48)&gt;=$N48,"Concluído",IF(OR(N($O48)&lt;=0,TODAY()&lt;=$I48),"Sem ritmo",TODAY()+ROUNDUP(($N48-$O48)/($O48/(TODAY()-$I48)),0)))))</f>
        <v/>
      </c>
      <c r="T48" s="101" t="str">
        <f aca="false">IF($B48="","",IF(ISNUMBER($S48),IF(AND(ISNUMBER($K48),$S48&gt;$K48),"■ Estoura o acesso",IF(AND(ISNUMBER($J48),$S48&gt;$J48),"▲ Atrasado vs plano","● No prazo")),IF($S48="Concluído","◆ Concluído","—")))</f>
        <v/>
      </c>
      <c r="U48" s="81"/>
      <c r="V48" s="81"/>
      <c r="W48" s="81"/>
      <c r="X48" s="13"/>
      <c r="Y48" s="13"/>
      <c r="Z48" s="13"/>
      <c r="AA48" s="11"/>
    </row>
    <row r="49" customFormat="false" ht="21.75" hidden="false" customHeight="true" outlineLevel="0" collapsed="false">
      <c r="A49" s="58" t="str">
        <f aca="false">IF($B49="","","CO-"&amp;TEXT(ROW()-9,"00"))</f>
        <v/>
      </c>
      <c r="B49" s="13"/>
      <c r="C49" s="13"/>
      <c r="D49" s="13"/>
      <c r="E49" s="13"/>
      <c r="F49" s="52"/>
      <c r="G49" s="52"/>
      <c r="H49" s="37"/>
      <c r="I49" s="52"/>
      <c r="J49" s="52"/>
      <c r="K49" s="52"/>
      <c r="L49" s="100" t="str">
        <f aca="true">IF(OR($B49="",$K49=""),"",$K49-TODAY())</f>
        <v/>
      </c>
      <c r="M49" s="101" t="str">
        <f aca="false">IF($B49="","",IF($K49="","∞ Vitalício",IF($L49&lt;0,"■ Vencido",IF($L49&lt;=Listas!$H$6,"▲ A vencer","● Ativo"))))</f>
        <v/>
      </c>
      <c r="N49" s="102"/>
      <c r="O49" s="102"/>
      <c r="P49" s="43" t="str">
        <f aca="false">IF($B49="","",IF(N($N49)=0,0,MIN(1,N($O49)/$N49)))</f>
        <v/>
      </c>
      <c r="Q49" s="63" t="str">
        <f aca="false">IF($B49="","",SUMIFS('Diário de Estudo'!$D$7:$D$506,'Diário de Estudo'!$C$7:$C$506,$B49))</f>
        <v/>
      </c>
      <c r="R49" s="103" t="str">
        <f aca="false">IF($B49="","",IF(AND(N($Q49)&gt;0,N($H49)&gt;0),$H49/$Q49,""))</f>
        <v/>
      </c>
      <c r="S49" s="60" t="str">
        <f aca="true">IF($B49="","",IF(OR(N($N49)=0,$I49=""),"",IF(N($O49)&gt;=$N49,"Concluído",IF(OR(N($O49)&lt;=0,TODAY()&lt;=$I49),"Sem ritmo",TODAY()+ROUNDUP(($N49-$O49)/($O49/(TODAY()-$I49)),0)))))</f>
        <v/>
      </c>
      <c r="T49" s="101" t="str">
        <f aca="false">IF($B49="","",IF(ISNUMBER($S49),IF(AND(ISNUMBER($K49),$S49&gt;$K49),"■ Estoura o acesso",IF(AND(ISNUMBER($J49),$S49&gt;$J49),"▲ Atrasado vs plano","● No prazo")),IF($S49="Concluído","◆ Concluído","—")))</f>
        <v/>
      </c>
      <c r="U49" s="81"/>
      <c r="V49" s="81"/>
      <c r="W49" s="81"/>
      <c r="X49" s="13"/>
      <c r="Y49" s="13"/>
      <c r="Z49" s="13"/>
      <c r="AA49" s="11"/>
    </row>
  </sheetData>
  <autoFilter ref="A9:AA49"/>
  <mergeCells count="22">
    <mergeCell ref="A1:AA1"/>
    <mergeCell ref="A2:X2"/>
    <mergeCell ref="Y2:AA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U10:U49">
    <cfRule type="cellIs" priority="2" operator="equal" aboveAverage="0" equalAverage="0" bottom="0" percent="0" rank="0" text="" dxfId="8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19">
      <formula>"Pausado"</formula>
    </cfRule>
  </conditionalFormatting>
  <conditionalFormatting sqref="V10:V49">
    <cfRule type="cellIs" priority="5" operator="equal" aboveAverage="0" equalAverage="0" bottom="0" percent="0" rank="0" text="" dxfId="2">
      <formula>"Alta"</formula>
    </cfRule>
  </conditionalFormatting>
  <conditionalFormatting sqref="P10:P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{ED76784A-B06D-4A2F-85F9-167A4055F17E}</x14:id>
        </ext>
      </extLst>
    </cfRule>
  </conditionalFormatting>
  <conditionalFormatting sqref="W10:W49">
    <cfRule type="cellIs" priority="7" operator="equal" aboveAverage="0" equalAverage="0" bottom="0" percent="0" rank="0" text="" dxfId="8">
      <formula>"Emitido"</formula>
    </cfRule>
    <cfRule type="cellIs" priority="8" operator="equal" aboveAverage="0" equalAverage="0" bottom="0" percent="0" rank="0" text="" dxfId="20">
      <formula>"Em emissão"</formula>
    </cfRule>
  </conditionalFormatting>
  <conditionalFormatting sqref="T10:T49">
    <cfRule type="expression" priority="9" aboveAverage="0" equalAverage="0" bottom="0" percent="0" rank="0" text="" dxfId="0">
      <formula>ISNUMBER(SEARCH("Estoura",T10))</formula>
    </cfRule>
    <cfRule type="expression" priority="10" aboveAverage="0" equalAverage="0" bottom="0" percent="0" rank="0" text="" dxfId="1">
      <formula>ISNUMBER(SEARCH("Atrasado",T10))</formula>
    </cfRule>
    <cfRule type="expression" priority="11" aboveAverage="0" equalAverage="0" bottom="0" percent="0" rank="0" text="" dxfId="21">
      <formula>ISNUMBER(SEARCH("No prazo",T10))</formula>
    </cfRule>
    <cfRule type="expression" priority="12" aboveAverage="0" equalAverage="0" bottom="0" percent="0" rank="0" text="" dxfId="22">
      <formula>ISNUMBER(SEARCH("Concluído",T10))</formula>
    </cfRule>
  </conditionalFormatting>
  <conditionalFormatting sqref="L10:M49">
    <cfRule type="expression" priority="13" aboveAverage="0" equalAverage="0" bottom="0" percent="0" rank="0" text="" dxfId="0">
      <formula>ISNUMBER(SEARCH("Vencido",$M10))</formula>
    </cfRule>
    <cfRule type="expression" priority="14" aboveAverage="0" equalAverage="0" bottom="0" percent="0" rank="0" text="" dxfId="1">
      <formula>ISNUMBER(SEARCH("A vencer",$M10))</formula>
    </cfRule>
    <cfRule type="expression" priority="15" aboveAverage="0" equalAverage="0" bottom="0" percent="0" rank="0" text="" dxfId="21">
      <formula>ISNUMBER(SEARCH("Ativo",$M10))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F10:G49 I10:K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10:H49 N10:O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U10:U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V10:V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W10:W49" type="list">
      <formula1>Listas!$F$6:$F$9</formula1>
      <formula2>0</formula2>
    </dataValidation>
  </dataValidations>
  <hyperlinks>
    <hyperlink ref="Y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76784A-B06D-4A2F-85F9-167A4055F17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P10:P49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9A0"/>
    <pageSetUpPr fitToPage="true"/>
  </sheetPr>
  <dimension ref="A1:V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2" min="11" style="0" width="13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28"/>
    <col collapsed="false" customWidth="true" hidden="false" outlineLevel="0" max="22" min="22" style="0" width="36"/>
  </cols>
  <sheetData>
    <row r="1" customFormat="false" ht="37.5" hidden="false" customHeight="true" outlineLevel="0" collapsed="false">
      <c r="A1" s="20" t="s">
        <v>116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customFormat="false" ht="19.5" hidden="false" customHeight="true" outlineLevel="0" collapsed="false">
      <c r="A2" s="21" t="s">
        <v>210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2" t="s">
        <v>57</v>
      </c>
      <c r="U2" s="22"/>
      <c r="V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159</v>
      </c>
      <c r="C5" s="23"/>
      <c r="D5" s="23" t="s">
        <v>59</v>
      </c>
      <c r="E5" s="23"/>
      <c r="F5" s="23" t="s">
        <v>60</v>
      </c>
      <c r="G5" s="23"/>
      <c r="H5" s="23" t="s">
        <v>160</v>
      </c>
      <c r="I5" s="23"/>
      <c r="J5" s="23" t="s">
        <v>62</v>
      </c>
      <c r="K5" s="23"/>
      <c r="L5" s="23" t="s">
        <v>211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COUNTIF(R10:R49,"Em andamento")</f>
        <v>1</v>
      </c>
      <c r="E6" s="24"/>
      <c r="F6" s="24" t="n">
        <f aca="false">COUNTIF(R10:R49,"Concluído")</f>
        <v>0</v>
      </c>
      <c r="G6" s="24"/>
      <c r="H6" s="25" t="n">
        <f aca="false">SUM(H10:H49)</f>
        <v>49.9</v>
      </c>
      <c r="I6" s="25"/>
      <c r="J6" s="26" t="n">
        <f aca="false">IFERROR(AVERAGE(M10:M49),0)</f>
        <v>0.375</v>
      </c>
      <c r="K6" s="26"/>
      <c r="L6" s="104" t="n">
        <f aca="false">SUM(L10:L49)</f>
        <v>120</v>
      </c>
      <c r="M6" s="10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7" t="s">
        <v>162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customFormat="false" ht="36" hidden="false" customHeight="true" outlineLevel="0" collapsed="false">
      <c r="A9" s="99" t="s">
        <v>163</v>
      </c>
      <c r="B9" s="34" t="s">
        <v>212</v>
      </c>
      <c r="C9" s="34" t="s">
        <v>213</v>
      </c>
      <c r="D9" s="34" t="s">
        <v>214</v>
      </c>
      <c r="E9" s="34" t="s">
        <v>215</v>
      </c>
      <c r="F9" s="34" t="s">
        <v>216</v>
      </c>
      <c r="G9" s="34" t="s">
        <v>167</v>
      </c>
      <c r="H9" s="34" t="s">
        <v>168</v>
      </c>
      <c r="I9" s="34" t="s">
        <v>169</v>
      </c>
      <c r="J9" s="34" t="s">
        <v>170</v>
      </c>
      <c r="K9" s="34" t="s">
        <v>217</v>
      </c>
      <c r="L9" s="34" t="s">
        <v>218</v>
      </c>
      <c r="M9" s="99" t="s">
        <v>176</v>
      </c>
      <c r="N9" s="99" t="s">
        <v>219</v>
      </c>
      <c r="O9" s="99" t="s">
        <v>178</v>
      </c>
      <c r="P9" s="99" t="s">
        <v>179</v>
      </c>
      <c r="Q9" s="99" t="s">
        <v>180</v>
      </c>
      <c r="R9" s="34" t="s">
        <v>109</v>
      </c>
      <c r="S9" s="34" t="s">
        <v>181</v>
      </c>
      <c r="T9" s="34" t="s">
        <v>220</v>
      </c>
      <c r="U9" s="34" t="s">
        <v>221</v>
      </c>
      <c r="V9" s="34" t="s">
        <v>186</v>
      </c>
    </row>
    <row r="10" customFormat="false" ht="21.75" hidden="false" customHeight="true" outlineLevel="0" collapsed="false">
      <c r="A10" s="58" t="str">
        <f aca="false">IF($B10="","","LV-"&amp;TEXT(ROW()-9,"00"))</f>
        <v>LV-01</v>
      </c>
      <c r="B10" s="13" t="s">
        <v>156</v>
      </c>
      <c r="C10" s="13" t="s">
        <v>222</v>
      </c>
      <c r="D10" s="13" t="s">
        <v>223</v>
      </c>
      <c r="E10" s="13" t="s">
        <v>224</v>
      </c>
      <c r="F10" s="81" t="s">
        <v>225</v>
      </c>
      <c r="G10" s="52" t="n">
        <v>46285</v>
      </c>
      <c r="H10" s="37" t="n">
        <v>49.9</v>
      </c>
      <c r="I10" s="52" t="n">
        <v>46290</v>
      </c>
      <c r="J10" s="52" t="n">
        <v>46341</v>
      </c>
      <c r="K10" s="102" t="n">
        <v>320</v>
      </c>
      <c r="L10" s="102" t="n">
        <v>120</v>
      </c>
      <c r="M10" s="43" t="n">
        <f aca="false">IF($B10="","",IF(N($K10)=0,0,MIN(1,N($L10)/$K10)))</f>
        <v>0.375</v>
      </c>
      <c r="N10" s="63" t="n">
        <f aca="false">IF($B10="","",SUMIFS('Diário de Estudo'!$D$7:$D$506,'Diário de Estudo'!$C$7:$C$506,$B10))</f>
        <v>1</v>
      </c>
      <c r="O10" s="103" t="n">
        <f aca="false">IF($B10="","",IF(AND(N($N10)&gt;0,N($H10)&gt;0),$H10/$N10,""))</f>
        <v>49.9</v>
      </c>
      <c r="P10" s="60" t="n">
        <f aca="true">IF($B10="","",IF(OR(N($K10)=0,$I10=""),"",IF(N($L10)&gt;=$K10,"Concluído",IF(OR(N($L10)&lt;=0,TODAY()&lt;=$I10),"Sem ritmo",TODAY()+ROUNDUP(($K10-$L10)/($L10/(TODAY()-$I10)),0)))))</f>
        <v>46312</v>
      </c>
      <c r="Q10" s="101" t="str">
        <f aca="false">IF($B10="","",IF(ISNUMBER($P10),IF(AND(ISNUMBER($J10),$P10&gt;$J10),"▲ Atrasado vs plano","● No prazo"),IF($P10="Concluído","◆ Concluído","—")))</f>
        <v>● No prazo</v>
      </c>
      <c r="R10" s="81" t="s">
        <v>41</v>
      </c>
      <c r="S10" s="81" t="s">
        <v>226</v>
      </c>
      <c r="T10" s="102"/>
      <c r="U10" s="13" t="s">
        <v>227</v>
      </c>
      <c r="V10" s="11" t="s">
        <v>194</v>
      </c>
    </row>
    <row r="11" customFormat="false" ht="21.75" hidden="false" customHeight="true" outlineLevel="0" collapsed="false">
      <c r="A11" s="58" t="str">
        <f aca="false">IF($B11="","","LV-"&amp;TEXT(ROW()-9,"00"))</f>
        <v/>
      </c>
      <c r="B11" s="13"/>
      <c r="C11" s="13"/>
      <c r="D11" s="13"/>
      <c r="E11" s="13"/>
      <c r="F11" s="81"/>
      <c r="G11" s="52"/>
      <c r="H11" s="37"/>
      <c r="I11" s="52"/>
      <c r="J11" s="52"/>
      <c r="K11" s="102"/>
      <c r="L11" s="102"/>
      <c r="M11" s="43" t="str">
        <f aca="false">IF($B11="","",IF(N($K11)=0,0,MIN(1,N($L11)/$K11)))</f>
        <v/>
      </c>
      <c r="N11" s="63" t="str">
        <f aca="false">IF($B11="","",SUMIFS('Diário de Estudo'!$D$7:$D$506,'Diário de Estudo'!$C$7:$C$506,$B11))</f>
        <v/>
      </c>
      <c r="O11" s="103" t="str">
        <f aca="false">IF($B11="","",IF(AND(N($N11)&gt;0,N($H11)&gt;0),$H11/$N11,""))</f>
        <v/>
      </c>
      <c r="P11" s="60" t="str">
        <f aca="true">IF($B11="","",IF(OR(N($K11)=0,$I11=""),"",IF(N($L11)&gt;=$K11,"Concluído",IF(OR(N($L11)&lt;=0,TODAY()&lt;=$I11),"Sem ritmo",TODAY()+ROUNDUP(($K11-$L11)/($L11/(TODAY()-$I11)),0)))))</f>
        <v/>
      </c>
      <c r="Q11" s="101" t="str">
        <f aca="false">IF($B11="","",IF(ISNUMBER($P11),IF(AND(ISNUMBER($J11),$P11&gt;$J11),"▲ Atrasado vs plano","● No prazo"),IF($P11="Concluído","◆ Concluído","—")))</f>
        <v/>
      </c>
      <c r="R11" s="81"/>
      <c r="S11" s="81"/>
      <c r="T11" s="102"/>
      <c r="U11" s="13"/>
      <c r="V11" s="11"/>
    </row>
    <row r="12" customFormat="false" ht="21.75" hidden="false" customHeight="true" outlineLevel="0" collapsed="false">
      <c r="A12" s="58" t="str">
        <f aca="false">IF($B12="","","LV-"&amp;TEXT(ROW()-9,"00"))</f>
        <v/>
      </c>
      <c r="B12" s="13"/>
      <c r="C12" s="13"/>
      <c r="D12" s="13"/>
      <c r="E12" s="13"/>
      <c r="F12" s="81"/>
      <c r="G12" s="52"/>
      <c r="H12" s="37"/>
      <c r="I12" s="52"/>
      <c r="J12" s="52"/>
      <c r="K12" s="102"/>
      <c r="L12" s="102"/>
      <c r="M12" s="43" t="str">
        <f aca="false">IF($B12="","",IF(N($K12)=0,0,MIN(1,N($L12)/$K12)))</f>
        <v/>
      </c>
      <c r="N12" s="63" t="str">
        <f aca="false">IF($B12="","",SUMIFS('Diário de Estudo'!$D$7:$D$506,'Diário de Estudo'!$C$7:$C$506,$B12))</f>
        <v/>
      </c>
      <c r="O12" s="103" t="str">
        <f aca="false">IF($B12="","",IF(AND(N($N12)&gt;0,N($H12)&gt;0),$H12/$N12,""))</f>
        <v/>
      </c>
      <c r="P12" s="60" t="str">
        <f aca="true">IF($B12="","",IF(OR(N($K12)=0,$I12=""),"",IF(N($L12)&gt;=$K12,"Concluído",IF(OR(N($L12)&lt;=0,TODAY()&lt;=$I12),"Sem ritmo",TODAY()+ROUNDUP(($K12-$L12)/($L12/(TODAY()-$I12)),0)))))</f>
        <v/>
      </c>
      <c r="Q12" s="101" t="str">
        <f aca="false">IF($B12="","",IF(ISNUMBER($P12),IF(AND(ISNUMBER($J12),$P12&gt;$J12),"▲ Atrasado vs plano","● No prazo"),IF($P12="Concluído","◆ Concluído","—")))</f>
        <v/>
      </c>
      <c r="R12" s="81"/>
      <c r="S12" s="81"/>
      <c r="T12" s="102"/>
      <c r="U12" s="13"/>
      <c r="V12" s="11"/>
    </row>
    <row r="13" customFormat="false" ht="21.75" hidden="false" customHeight="true" outlineLevel="0" collapsed="false">
      <c r="A13" s="58" t="str">
        <f aca="false">IF($B13="","","LV-"&amp;TEXT(ROW()-9,"00"))</f>
        <v/>
      </c>
      <c r="B13" s="13"/>
      <c r="C13" s="13"/>
      <c r="D13" s="13"/>
      <c r="E13" s="13"/>
      <c r="F13" s="81"/>
      <c r="G13" s="52"/>
      <c r="H13" s="37"/>
      <c r="I13" s="52"/>
      <c r="J13" s="52"/>
      <c r="K13" s="102"/>
      <c r="L13" s="102"/>
      <c r="M13" s="43" t="str">
        <f aca="false">IF($B13="","",IF(N($K13)=0,0,MIN(1,N($L13)/$K13)))</f>
        <v/>
      </c>
      <c r="N13" s="63" t="str">
        <f aca="false">IF($B13="","",SUMIFS('Diário de Estudo'!$D$7:$D$506,'Diário de Estudo'!$C$7:$C$506,$B13))</f>
        <v/>
      </c>
      <c r="O13" s="103" t="str">
        <f aca="false">IF($B13="","",IF(AND(N($N13)&gt;0,N($H13)&gt;0),$H13/$N13,""))</f>
        <v/>
      </c>
      <c r="P13" s="60" t="str">
        <f aca="true">IF($B13="","",IF(OR(N($K13)=0,$I13=""),"",IF(N($L13)&gt;=$K13,"Concluído",IF(OR(N($L13)&lt;=0,TODAY()&lt;=$I13),"Sem ritmo",TODAY()+ROUNDUP(($K13-$L13)/($L13/(TODAY()-$I13)),0)))))</f>
        <v/>
      </c>
      <c r="Q13" s="101" t="str">
        <f aca="false">IF($B13="","",IF(ISNUMBER($P13),IF(AND(ISNUMBER($J13),$P13&gt;$J13),"▲ Atrasado vs plano","● No prazo"),IF($P13="Concluído","◆ Concluído","—")))</f>
        <v/>
      </c>
      <c r="R13" s="81"/>
      <c r="S13" s="81"/>
      <c r="T13" s="102"/>
      <c r="U13" s="13"/>
      <c r="V13" s="11"/>
    </row>
    <row r="14" customFormat="false" ht="21.75" hidden="false" customHeight="true" outlineLevel="0" collapsed="false">
      <c r="A14" s="58" t="str">
        <f aca="false">IF($B14="","","LV-"&amp;TEXT(ROW()-9,"00"))</f>
        <v/>
      </c>
      <c r="B14" s="13"/>
      <c r="C14" s="13"/>
      <c r="D14" s="13"/>
      <c r="E14" s="13"/>
      <c r="F14" s="81"/>
      <c r="G14" s="52"/>
      <c r="H14" s="37"/>
      <c r="I14" s="52"/>
      <c r="J14" s="52"/>
      <c r="K14" s="102"/>
      <c r="L14" s="102"/>
      <c r="M14" s="43" t="str">
        <f aca="false">IF($B14="","",IF(N($K14)=0,0,MIN(1,N($L14)/$K14)))</f>
        <v/>
      </c>
      <c r="N14" s="63" t="str">
        <f aca="false">IF($B14="","",SUMIFS('Diário de Estudo'!$D$7:$D$506,'Diário de Estudo'!$C$7:$C$506,$B14))</f>
        <v/>
      </c>
      <c r="O14" s="103" t="str">
        <f aca="false">IF($B14="","",IF(AND(N($N14)&gt;0,N($H14)&gt;0),$H14/$N14,""))</f>
        <v/>
      </c>
      <c r="P14" s="60" t="str">
        <f aca="true">IF($B14="","",IF(OR(N($K14)=0,$I14=""),"",IF(N($L14)&gt;=$K14,"Concluído",IF(OR(N($L14)&lt;=0,TODAY()&lt;=$I14),"Sem ritmo",TODAY()+ROUNDUP(($K14-$L14)/($L14/(TODAY()-$I14)),0)))))</f>
        <v/>
      </c>
      <c r="Q14" s="101" t="str">
        <f aca="false">IF($B14="","",IF(ISNUMBER($P14),IF(AND(ISNUMBER($J14),$P14&gt;$J14),"▲ Atrasado vs plano","● No prazo"),IF($P14="Concluído","◆ Concluído","—")))</f>
        <v/>
      </c>
      <c r="R14" s="81"/>
      <c r="S14" s="81"/>
      <c r="T14" s="102"/>
      <c r="U14" s="13"/>
      <c r="V14" s="11"/>
    </row>
    <row r="15" customFormat="false" ht="21.75" hidden="false" customHeight="true" outlineLevel="0" collapsed="false">
      <c r="A15" s="58" t="str">
        <f aca="false">IF($B15="","","LV-"&amp;TEXT(ROW()-9,"00"))</f>
        <v/>
      </c>
      <c r="B15" s="13"/>
      <c r="C15" s="13"/>
      <c r="D15" s="13"/>
      <c r="E15" s="13"/>
      <c r="F15" s="81"/>
      <c r="G15" s="52"/>
      <c r="H15" s="37"/>
      <c r="I15" s="52"/>
      <c r="J15" s="52"/>
      <c r="K15" s="102"/>
      <c r="L15" s="102"/>
      <c r="M15" s="43" t="str">
        <f aca="false">IF($B15="","",IF(N($K15)=0,0,MIN(1,N($L15)/$K15)))</f>
        <v/>
      </c>
      <c r="N15" s="63" t="str">
        <f aca="false">IF($B15="","",SUMIFS('Diário de Estudo'!$D$7:$D$506,'Diário de Estudo'!$C$7:$C$506,$B15))</f>
        <v/>
      </c>
      <c r="O15" s="103" t="str">
        <f aca="false">IF($B15="","",IF(AND(N($N15)&gt;0,N($H15)&gt;0),$H15/$N15,""))</f>
        <v/>
      </c>
      <c r="P15" s="60" t="str">
        <f aca="true">IF($B15="","",IF(OR(N($K15)=0,$I15=""),"",IF(N($L15)&gt;=$K15,"Concluído",IF(OR(N($L15)&lt;=0,TODAY()&lt;=$I15),"Sem ritmo",TODAY()+ROUNDUP(($K15-$L15)/($L15/(TODAY()-$I15)),0)))))</f>
        <v/>
      </c>
      <c r="Q15" s="101" t="str">
        <f aca="false">IF($B15="","",IF(ISNUMBER($P15),IF(AND(ISNUMBER($J15),$P15&gt;$J15),"▲ Atrasado vs plano","● No prazo"),IF($P15="Concluído","◆ Concluído","—")))</f>
        <v/>
      </c>
      <c r="R15" s="81"/>
      <c r="S15" s="81"/>
      <c r="T15" s="102"/>
      <c r="U15" s="13"/>
      <c r="V15" s="11"/>
    </row>
    <row r="16" customFormat="false" ht="21.75" hidden="false" customHeight="true" outlineLevel="0" collapsed="false">
      <c r="A16" s="58" t="str">
        <f aca="false">IF($B16="","","LV-"&amp;TEXT(ROW()-9,"00"))</f>
        <v/>
      </c>
      <c r="B16" s="13"/>
      <c r="C16" s="13"/>
      <c r="D16" s="13"/>
      <c r="E16" s="13"/>
      <c r="F16" s="81"/>
      <c r="G16" s="52"/>
      <c r="H16" s="37"/>
      <c r="I16" s="52"/>
      <c r="J16" s="52"/>
      <c r="K16" s="102"/>
      <c r="L16" s="102"/>
      <c r="M16" s="43" t="str">
        <f aca="false">IF($B16="","",IF(N($K16)=0,0,MIN(1,N($L16)/$K16)))</f>
        <v/>
      </c>
      <c r="N16" s="63" t="str">
        <f aca="false">IF($B16="","",SUMIFS('Diário de Estudo'!$D$7:$D$506,'Diário de Estudo'!$C$7:$C$506,$B16))</f>
        <v/>
      </c>
      <c r="O16" s="103" t="str">
        <f aca="false">IF($B16="","",IF(AND(N($N16)&gt;0,N($H16)&gt;0),$H16/$N16,""))</f>
        <v/>
      </c>
      <c r="P16" s="60" t="str">
        <f aca="true">IF($B16="","",IF(OR(N($K16)=0,$I16=""),"",IF(N($L16)&gt;=$K16,"Concluído",IF(OR(N($L16)&lt;=0,TODAY()&lt;=$I16),"Sem ritmo",TODAY()+ROUNDUP(($K16-$L16)/($L16/(TODAY()-$I16)),0)))))</f>
        <v/>
      </c>
      <c r="Q16" s="101" t="str">
        <f aca="false">IF($B16="","",IF(ISNUMBER($P16),IF(AND(ISNUMBER($J16),$P16&gt;$J16),"▲ Atrasado vs plano","● No prazo"),IF($P16="Concluído","◆ Concluído","—")))</f>
        <v/>
      </c>
      <c r="R16" s="81"/>
      <c r="S16" s="81"/>
      <c r="T16" s="102"/>
      <c r="U16" s="13"/>
      <c r="V16" s="11"/>
    </row>
    <row r="17" customFormat="false" ht="21.75" hidden="false" customHeight="true" outlineLevel="0" collapsed="false">
      <c r="A17" s="58" t="str">
        <f aca="false">IF($B17="","","LV-"&amp;TEXT(ROW()-9,"00"))</f>
        <v/>
      </c>
      <c r="B17" s="13"/>
      <c r="C17" s="13"/>
      <c r="D17" s="13"/>
      <c r="E17" s="13"/>
      <c r="F17" s="81"/>
      <c r="G17" s="52"/>
      <c r="H17" s="37"/>
      <c r="I17" s="52"/>
      <c r="J17" s="52"/>
      <c r="K17" s="102"/>
      <c r="L17" s="102"/>
      <c r="M17" s="43" t="str">
        <f aca="false">IF($B17="","",IF(N($K17)=0,0,MIN(1,N($L17)/$K17)))</f>
        <v/>
      </c>
      <c r="N17" s="63" t="str">
        <f aca="false">IF($B17="","",SUMIFS('Diário de Estudo'!$D$7:$D$506,'Diário de Estudo'!$C$7:$C$506,$B17))</f>
        <v/>
      </c>
      <c r="O17" s="103" t="str">
        <f aca="false">IF($B17="","",IF(AND(N($N17)&gt;0,N($H17)&gt;0),$H17/$N17,""))</f>
        <v/>
      </c>
      <c r="P17" s="60" t="str">
        <f aca="true">IF($B17="","",IF(OR(N($K17)=0,$I17=""),"",IF(N($L17)&gt;=$K17,"Concluído",IF(OR(N($L17)&lt;=0,TODAY()&lt;=$I17),"Sem ritmo",TODAY()+ROUNDUP(($K17-$L17)/($L17/(TODAY()-$I17)),0)))))</f>
        <v/>
      </c>
      <c r="Q17" s="101" t="str">
        <f aca="false">IF($B17="","",IF(ISNUMBER($P17),IF(AND(ISNUMBER($J17),$P17&gt;$J17),"▲ Atrasado vs plano","● No prazo"),IF($P17="Concluído","◆ Concluído","—")))</f>
        <v/>
      </c>
      <c r="R17" s="81"/>
      <c r="S17" s="81"/>
      <c r="T17" s="102"/>
      <c r="U17" s="13"/>
      <c r="V17" s="11"/>
    </row>
    <row r="18" customFormat="false" ht="21.75" hidden="false" customHeight="true" outlineLevel="0" collapsed="false">
      <c r="A18" s="58" t="str">
        <f aca="false">IF($B18="","","LV-"&amp;TEXT(ROW()-9,"00"))</f>
        <v/>
      </c>
      <c r="B18" s="13"/>
      <c r="C18" s="13"/>
      <c r="D18" s="13"/>
      <c r="E18" s="13"/>
      <c r="F18" s="81"/>
      <c r="G18" s="52"/>
      <c r="H18" s="37"/>
      <c r="I18" s="52"/>
      <c r="J18" s="52"/>
      <c r="K18" s="102"/>
      <c r="L18" s="102"/>
      <c r="M18" s="43" t="str">
        <f aca="false">IF($B18="","",IF(N($K18)=0,0,MIN(1,N($L18)/$K18)))</f>
        <v/>
      </c>
      <c r="N18" s="63" t="str">
        <f aca="false">IF($B18="","",SUMIFS('Diário de Estudo'!$D$7:$D$506,'Diário de Estudo'!$C$7:$C$506,$B18))</f>
        <v/>
      </c>
      <c r="O18" s="103" t="str">
        <f aca="false">IF($B18="","",IF(AND(N($N18)&gt;0,N($H18)&gt;0),$H18/$N18,""))</f>
        <v/>
      </c>
      <c r="P18" s="60" t="str">
        <f aca="true">IF($B18="","",IF(OR(N($K18)=0,$I18=""),"",IF(N($L18)&gt;=$K18,"Concluído",IF(OR(N($L18)&lt;=0,TODAY()&lt;=$I18),"Sem ritmo",TODAY()+ROUNDUP(($K18-$L18)/($L18/(TODAY()-$I18)),0)))))</f>
        <v/>
      </c>
      <c r="Q18" s="101" t="str">
        <f aca="false">IF($B18="","",IF(ISNUMBER($P18),IF(AND(ISNUMBER($J18),$P18&gt;$J18),"▲ Atrasado vs plano","● No prazo"),IF($P18="Concluído","◆ Concluído","—")))</f>
        <v/>
      </c>
      <c r="R18" s="81"/>
      <c r="S18" s="81"/>
      <c r="T18" s="102"/>
      <c r="U18" s="13"/>
      <c r="V18" s="11"/>
    </row>
    <row r="19" customFormat="false" ht="21.75" hidden="false" customHeight="true" outlineLevel="0" collapsed="false">
      <c r="A19" s="58" t="str">
        <f aca="false">IF($B19="","","LV-"&amp;TEXT(ROW()-9,"00"))</f>
        <v/>
      </c>
      <c r="B19" s="13"/>
      <c r="C19" s="13"/>
      <c r="D19" s="13"/>
      <c r="E19" s="13"/>
      <c r="F19" s="81"/>
      <c r="G19" s="52"/>
      <c r="H19" s="37"/>
      <c r="I19" s="52"/>
      <c r="J19" s="52"/>
      <c r="K19" s="102"/>
      <c r="L19" s="102"/>
      <c r="M19" s="43" t="str">
        <f aca="false">IF($B19="","",IF(N($K19)=0,0,MIN(1,N($L19)/$K19)))</f>
        <v/>
      </c>
      <c r="N19" s="63" t="str">
        <f aca="false">IF($B19="","",SUMIFS('Diário de Estudo'!$D$7:$D$506,'Diário de Estudo'!$C$7:$C$506,$B19))</f>
        <v/>
      </c>
      <c r="O19" s="103" t="str">
        <f aca="false">IF($B19="","",IF(AND(N($N19)&gt;0,N($H19)&gt;0),$H19/$N19,""))</f>
        <v/>
      </c>
      <c r="P19" s="60" t="str">
        <f aca="true">IF($B19="","",IF(OR(N($K19)=0,$I19=""),"",IF(N($L19)&gt;=$K19,"Concluído",IF(OR(N($L19)&lt;=0,TODAY()&lt;=$I19),"Sem ritmo",TODAY()+ROUNDUP(($K19-$L19)/($L19/(TODAY()-$I19)),0)))))</f>
        <v/>
      </c>
      <c r="Q19" s="101" t="str">
        <f aca="false">IF($B19="","",IF(ISNUMBER($P19),IF(AND(ISNUMBER($J19),$P19&gt;$J19),"▲ Atrasado vs plano","● No prazo"),IF($P19="Concluído","◆ Concluído","—")))</f>
        <v/>
      </c>
      <c r="R19" s="81"/>
      <c r="S19" s="81"/>
      <c r="T19" s="102"/>
      <c r="U19" s="13"/>
      <c r="V19" s="11"/>
    </row>
    <row r="20" customFormat="false" ht="21.75" hidden="false" customHeight="true" outlineLevel="0" collapsed="false">
      <c r="A20" s="58" t="str">
        <f aca="false">IF($B20="","","LV-"&amp;TEXT(ROW()-9,"00"))</f>
        <v/>
      </c>
      <c r="B20" s="13"/>
      <c r="C20" s="13"/>
      <c r="D20" s="13"/>
      <c r="E20" s="13"/>
      <c r="F20" s="81"/>
      <c r="G20" s="52"/>
      <c r="H20" s="37"/>
      <c r="I20" s="52"/>
      <c r="J20" s="52"/>
      <c r="K20" s="102"/>
      <c r="L20" s="102"/>
      <c r="M20" s="43" t="str">
        <f aca="false">IF($B20="","",IF(N($K20)=0,0,MIN(1,N($L20)/$K20)))</f>
        <v/>
      </c>
      <c r="N20" s="63" t="str">
        <f aca="false">IF($B20="","",SUMIFS('Diário de Estudo'!$D$7:$D$506,'Diário de Estudo'!$C$7:$C$506,$B20))</f>
        <v/>
      </c>
      <c r="O20" s="103" t="str">
        <f aca="false">IF($B20="","",IF(AND(N($N20)&gt;0,N($H20)&gt;0),$H20/$N20,""))</f>
        <v/>
      </c>
      <c r="P20" s="60" t="str">
        <f aca="true">IF($B20="","",IF(OR(N($K20)=0,$I20=""),"",IF(N($L20)&gt;=$K20,"Concluído",IF(OR(N($L20)&lt;=0,TODAY()&lt;=$I20),"Sem ritmo",TODAY()+ROUNDUP(($K20-$L20)/($L20/(TODAY()-$I20)),0)))))</f>
        <v/>
      </c>
      <c r="Q20" s="101" t="str">
        <f aca="false">IF($B20="","",IF(ISNUMBER($P20),IF(AND(ISNUMBER($J20),$P20&gt;$J20),"▲ Atrasado vs plano","● No prazo"),IF($P20="Concluído","◆ Concluído","—")))</f>
        <v/>
      </c>
      <c r="R20" s="81"/>
      <c r="S20" s="81"/>
      <c r="T20" s="102"/>
      <c r="U20" s="13"/>
      <c r="V20" s="11"/>
    </row>
    <row r="21" customFormat="false" ht="21.75" hidden="false" customHeight="true" outlineLevel="0" collapsed="false">
      <c r="A21" s="58" t="str">
        <f aca="false">IF($B21="","","LV-"&amp;TEXT(ROW()-9,"00"))</f>
        <v/>
      </c>
      <c r="B21" s="13"/>
      <c r="C21" s="13"/>
      <c r="D21" s="13"/>
      <c r="E21" s="13"/>
      <c r="F21" s="81"/>
      <c r="G21" s="52"/>
      <c r="H21" s="37"/>
      <c r="I21" s="52"/>
      <c r="J21" s="52"/>
      <c r="K21" s="102"/>
      <c r="L21" s="102"/>
      <c r="M21" s="43" t="str">
        <f aca="false">IF($B21="","",IF(N($K21)=0,0,MIN(1,N($L21)/$K21)))</f>
        <v/>
      </c>
      <c r="N21" s="63" t="str">
        <f aca="false">IF($B21="","",SUMIFS('Diário de Estudo'!$D$7:$D$506,'Diário de Estudo'!$C$7:$C$506,$B21))</f>
        <v/>
      </c>
      <c r="O21" s="103" t="str">
        <f aca="false">IF($B21="","",IF(AND(N($N21)&gt;0,N($H21)&gt;0),$H21/$N21,""))</f>
        <v/>
      </c>
      <c r="P21" s="60" t="str">
        <f aca="true">IF($B21="","",IF(OR(N($K21)=0,$I21=""),"",IF(N($L21)&gt;=$K21,"Concluído",IF(OR(N($L21)&lt;=0,TODAY()&lt;=$I21),"Sem ritmo",TODAY()+ROUNDUP(($K21-$L21)/($L21/(TODAY()-$I21)),0)))))</f>
        <v/>
      </c>
      <c r="Q21" s="101" t="str">
        <f aca="false">IF($B21="","",IF(ISNUMBER($P21),IF(AND(ISNUMBER($J21),$P21&gt;$J21),"▲ Atrasado vs plano","● No prazo"),IF($P21="Concluído","◆ Concluído","—")))</f>
        <v/>
      </c>
      <c r="R21" s="81"/>
      <c r="S21" s="81"/>
      <c r="T21" s="102"/>
      <c r="U21" s="13"/>
      <c r="V21" s="11"/>
    </row>
    <row r="22" customFormat="false" ht="21.75" hidden="false" customHeight="true" outlineLevel="0" collapsed="false">
      <c r="A22" s="58" t="str">
        <f aca="false">IF($B22="","","LV-"&amp;TEXT(ROW()-9,"00"))</f>
        <v/>
      </c>
      <c r="B22" s="13"/>
      <c r="C22" s="13"/>
      <c r="D22" s="13"/>
      <c r="E22" s="13"/>
      <c r="F22" s="81"/>
      <c r="G22" s="52"/>
      <c r="H22" s="37"/>
      <c r="I22" s="52"/>
      <c r="J22" s="52"/>
      <c r="K22" s="102"/>
      <c r="L22" s="102"/>
      <c r="M22" s="43" t="str">
        <f aca="false">IF($B22="","",IF(N($K22)=0,0,MIN(1,N($L22)/$K22)))</f>
        <v/>
      </c>
      <c r="N22" s="63" t="str">
        <f aca="false">IF($B22="","",SUMIFS('Diário de Estudo'!$D$7:$D$506,'Diário de Estudo'!$C$7:$C$506,$B22))</f>
        <v/>
      </c>
      <c r="O22" s="103" t="str">
        <f aca="false">IF($B22="","",IF(AND(N($N22)&gt;0,N($H22)&gt;0),$H22/$N22,""))</f>
        <v/>
      </c>
      <c r="P22" s="60" t="str">
        <f aca="true">IF($B22="","",IF(OR(N($K22)=0,$I22=""),"",IF(N($L22)&gt;=$K22,"Concluído",IF(OR(N($L22)&lt;=0,TODAY()&lt;=$I22),"Sem ritmo",TODAY()+ROUNDUP(($K22-$L22)/($L22/(TODAY()-$I22)),0)))))</f>
        <v/>
      </c>
      <c r="Q22" s="101" t="str">
        <f aca="false">IF($B22="","",IF(ISNUMBER($P22),IF(AND(ISNUMBER($J22),$P22&gt;$J22),"▲ Atrasado vs plano","● No prazo"),IF($P22="Concluído","◆ Concluído","—")))</f>
        <v/>
      </c>
      <c r="R22" s="81"/>
      <c r="S22" s="81"/>
      <c r="T22" s="102"/>
      <c r="U22" s="13"/>
      <c r="V22" s="11"/>
    </row>
    <row r="23" customFormat="false" ht="21.75" hidden="false" customHeight="true" outlineLevel="0" collapsed="false">
      <c r="A23" s="58" t="str">
        <f aca="false">IF($B23="","","LV-"&amp;TEXT(ROW()-9,"00"))</f>
        <v/>
      </c>
      <c r="B23" s="13"/>
      <c r="C23" s="13"/>
      <c r="D23" s="13"/>
      <c r="E23" s="13"/>
      <c r="F23" s="81"/>
      <c r="G23" s="52"/>
      <c r="H23" s="37"/>
      <c r="I23" s="52"/>
      <c r="J23" s="52"/>
      <c r="K23" s="102"/>
      <c r="L23" s="102"/>
      <c r="M23" s="43" t="str">
        <f aca="false">IF($B23="","",IF(N($K23)=0,0,MIN(1,N($L23)/$K23)))</f>
        <v/>
      </c>
      <c r="N23" s="63" t="str">
        <f aca="false">IF($B23="","",SUMIFS('Diário de Estudo'!$D$7:$D$506,'Diário de Estudo'!$C$7:$C$506,$B23))</f>
        <v/>
      </c>
      <c r="O23" s="103" t="str">
        <f aca="false">IF($B23="","",IF(AND(N($N23)&gt;0,N($H23)&gt;0),$H23/$N23,""))</f>
        <v/>
      </c>
      <c r="P23" s="60" t="str">
        <f aca="true">IF($B23="","",IF(OR(N($K23)=0,$I23=""),"",IF(N($L23)&gt;=$K23,"Concluído",IF(OR(N($L23)&lt;=0,TODAY()&lt;=$I23),"Sem ritmo",TODAY()+ROUNDUP(($K23-$L23)/($L23/(TODAY()-$I23)),0)))))</f>
        <v/>
      </c>
      <c r="Q23" s="101" t="str">
        <f aca="false">IF($B23="","",IF(ISNUMBER($P23),IF(AND(ISNUMBER($J23),$P23&gt;$J23),"▲ Atrasado vs plano","● No prazo"),IF($P23="Concluído","◆ Concluído","—")))</f>
        <v/>
      </c>
      <c r="R23" s="81"/>
      <c r="S23" s="81"/>
      <c r="T23" s="102"/>
      <c r="U23" s="13"/>
      <c r="V23" s="11"/>
    </row>
    <row r="24" customFormat="false" ht="21.75" hidden="false" customHeight="true" outlineLevel="0" collapsed="false">
      <c r="A24" s="58" t="str">
        <f aca="false">IF($B24="","","LV-"&amp;TEXT(ROW()-9,"00"))</f>
        <v/>
      </c>
      <c r="B24" s="13"/>
      <c r="C24" s="13"/>
      <c r="D24" s="13"/>
      <c r="E24" s="13"/>
      <c r="F24" s="81"/>
      <c r="G24" s="52"/>
      <c r="H24" s="37"/>
      <c r="I24" s="52"/>
      <c r="J24" s="52"/>
      <c r="K24" s="102"/>
      <c r="L24" s="102"/>
      <c r="M24" s="43" t="str">
        <f aca="false">IF($B24="","",IF(N($K24)=0,0,MIN(1,N($L24)/$K24)))</f>
        <v/>
      </c>
      <c r="N24" s="63" t="str">
        <f aca="false">IF($B24="","",SUMIFS('Diário de Estudo'!$D$7:$D$506,'Diário de Estudo'!$C$7:$C$506,$B24))</f>
        <v/>
      </c>
      <c r="O24" s="103" t="str">
        <f aca="false">IF($B24="","",IF(AND(N($N24)&gt;0,N($H24)&gt;0),$H24/$N24,""))</f>
        <v/>
      </c>
      <c r="P24" s="60" t="str">
        <f aca="true">IF($B24="","",IF(OR(N($K24)=0,$I24=""),"",IF(N($L24)&gt;=$K24,"Concluído",IF(OR(N($L24)&lt;=0,TODAY()&lt;=$I24),"Sem ritmo",TODAY()+ROUNDUP(($K24-$L24)/($L24/(TODAY()-$I24)),0)))))</f>
        <v/>
      </c>
      <c r="Q24" s="101" t="str">
        <f aca="false">IF($B24="","",IF(ISNUMBER($P24),IF(AND(ISNUMBER($J24),$P24&gt;$J24),"▲ Atrasado vs plano","● No prazo"),IF($P24="Concluído","◆ Concluído","—")))</f>
        <v/>
      </c>
      <c r="R24" s="81"/>
      <c r="S24" s="81"/>
      <c r="T24" s="102"/>
      <c r="U24" s="13"/>
      <c r="V24" s="11"/>
    </row>
    <row r="25" customFormat="false" ht="21.75" hidden="false" customHeight="true" outlineLevel="0" collapsed="false">
      <c r="A25" s="58" t="str">
        <f aca="false">IF($B25="","","LV-"&amp;TEXT(ROW()-9,"00"))</f>
        <v/>
      </c>
      <c r="B25" s="13"/>
      <c r="C25" s="13"/>
      <c r="D25" s="13"/>
      <c r="E25" s="13"/>
      <c r="F25" s="81"/>
      <c r="G25" s="52"/>
      <c r="H25" s="37"/>
      <c r="I25" s="52"/>
      <c r="J25" s="52"/>
      <c r="K25" s="102"/>
      <c r="L25" s="102"/>
      <c r="M25" s="43" t="str">
        <f aca="false">IF($B25="","",IF(N($K25)=0,0,MIN(1,N($L25)/$K25)))</f>
        <v/>
      </c>
      <c r="N25" s="63" t="str">
        <f aca="false">IF($B25="","",SUMIFS('Diário de Estudo'!$D$7:$D$506,'Diário de Estudo'!$C$7:$C$506,$B25))</f>
        <v/>
      </c>
      <c r="O25" s="103" t="str">
        <f aca="false">IF($B25="","",IF(AND(N($N25)&gt;0,N($H25)&gt;0),$H25/$N25,""))</f>
        <v/>
      </c>
      <c r="P25" s="60" t="str">
        <f aca="true">IF($B25="","",IF(OR(N($K25)=0,$I25=""),"",IF(N($L25)&gt;=$K25,"Concluído",IF(OR(N($L25)&lt;=0,TODAY()&lt;=$I25),"Sem ritmo",TODAY()+ROUNDUP(($K25-$L25)/($L25/(TODAY()-$I25)),0)))))</f>
        <v/>
      </c>
      <c r="Q25" s="101" t="str">
        <f aca="false">IF($B25="","",IF(ISNUMBER($P25),IF(AND(ISNUMBER($J25),$P25&gt;$J25),"▲ Atrasado vs plano","● No prazo"),IF($P25="Concluído","◆ Concluído","—")))</f>
        <v/>
      </c>
      <c r="R25" s="81"/>
      <c r="S25" s="81"/>
      <c r="T25" s="102"/>
      <c r="U25" s="13"/>
      <c r="V25" s="11"/>
    </row>
    <row r="26" customFormat="false" ht="21.75" hidden="false" customHeight="true" outlineLevel="0" collapsed="false">
      <c r="A26" s="58" t="str">
        <f aca="false">IF($B26="","","LV-"&amp;TEXT(ROW()-9,"00"))</f>
        <v/>
      </c>
      <c r="B26" s="13"/>
      <c r="C26" s="13"/>
      <c r="D26" s="13"/>
      <c r="E26" s="13"/>
      <c r="F26" s="81"/>
      <c r="G26" s="52"/>
      <c r="H26" s="37"/>
      <c r="I26" s="52"/>
      <c r="J26" s="52"/>
      <c r="K26" s="102"/>
      <c r="L26" s="102"/>
      <c r="M26" s="43" t="str">
        <f aca="false">IF($B26="","",IF(N($K26)=0,0,MIN(1,N($L26)/$K26)))</f>
        <v/>
      </c>
      <c r="N26" s="63" t="str">
        <f aca="false">IF($B26="","",SUMIFS('Diário de Estudo'!$D$7:$D$506,'Diário de Estudo'!$C$7:$C$506,$B26))</f>
        <v/>
      </c>
      <c r="O26" s="103" t="str">
        <f aca="false">IF($B26="","",IF(AND(N($N26)&gt;0,N($H26)&gt;0),$H26/$N26,""))</f>
        <v/>
      </c>
      <c r="P26" s="60" t="str">
        <f aca="true">IF($B26="","",IF(OR(N($K26)=0,$I26=""),"",IF(N($L26)&gt;=$K26,"Concluído",IF(OR(N($L26)&lt;=0,TODAY()&lt;=$I26),"Sem ritmo",TODAY()+ROUNDUP(($K26-$L26)/($L26/(TODAY()-$I26)),0)))))</f>
        <v/>
      </c>
      <c r="Q26" s="101" t="str">
        <f aca="false">IF($B26="","",IF(ISNUMBER($P26),IF(AND(ISNUMBER($J26),$P26&gt;$J26),"▲ Atrasado vs plano","● No prazo"),IF($P26="Concluído","◆ Concluído","—")))</f>
        <v/>
      </c>
      <c r="R26" s="81"/>
      <c r="S26" s="81"/>
      <c r="T26" s="102"/>
      <c r="U26" s="13"/>
      <c r="V26" s="11"/>
    </row>
    <row r="27" customFormat="false" ht="21.75" hidden="false" customHeight="true" outlineLevel="0" collapsed="false">
      <c r="A27" s="58" t="str">
        <f aca="false">IF($B27="","","LV-"&amp;TEXT(ROW()-9,"00"))</f>
        <v/>
      </c>
      <c r="B27" s="13"/>
      <c r="C27" s="13"/>
      <c r="D27" s="13"/>
      <c r="E27" s="13"/>
      <c r="F27" s="81"/>
      <c r="G27" s="52"/>
      <c r="H27" s="37"/>
      <c r="I27" s="52"/>
      <c r="J27" s="52"/>
      <c r="K27" s="102"/>
      <c r="L27" s="102"/>
      <c r="M27" s="43" t="str">
        <f aca="false">IF($B27="","",IF(N($K27)=0,0,MIN(1,N($L27)/$K27)))</f>
        <v/>
      </c>
      <c r="N27" s="63" t="str">
        <f aca="false">IF($B27="","",SUMIFS('Diário de Estudo'!$D$7:$D$506,'Diário de Estudo'!$C$7:$C$506,$B27))</f>
        <v/>
      </c>
      <c r="O27" s="103" t="str">
        <f aca="false">IF($B27="","",IF(AND(N($N27)&gt;0,N($H27)&gt;0),$H27/$N27,""))</f>
        <v/>
      </c>
      <c r="P27" s="60" t="str">
        <f aca="true">IF($B27="","",IF(OR(N($K27)=0,$I27=""),"",IF(N($L27)&gt;=$K27,"Concluído",IF(OR(N($L27)&lt;=0,TODAY()&lt;=$I27),"Sem ritmo",TODAY()+ROUNDUP(($K27-$L27)/($L27/(TODAY()-$I27)),0)))))</f>
        <v/>
      </c>
      <c r="Q27" s="101" t="str">
        <f aca="false">IF($B27="","",IF(ISNUMBER($P27),IF(AND(ISNUMBER($J27),$P27&gt;$J27),"▲ Atrasado vs plano","● No prazo"),IF($P27="Concluído","◆ Concluído","—")))</f>
        <v/>
      </c>
      <c r="R27" s="81"/>
      <c r="S27" s="81"/>
      <c r="T27" s="102"/>
      <c r="U27" s="13"/>
      <c r="V27" s="11"/>
    </row>
    <row r="28" customFormat="false" ht="21.75" hidden="false" customHeight="true" outlineLevel="0" collapsed="false">
      <c r="A28" s="58" t="str">
        <f aca="false">IF($B28="","","LV-"&amp;TEXT(ROW()-9,"00"))</f>
        <v/>
      </c>
      <c r="B28" s="13"/>
      <c r="C28" s="13"/>
      <c r="D28" s="13"/>
      <c r="E28" s="13"/>
      <c r="F28" s="81"/>
      <c r="G28" s="52"/>
      <c r="H28" s="37"/>
      <c r="I28" s="52"/>
      <c r="J28" s="52"/>
      <c r="K28" s="102"/>
      <c r="L28" s="102"/>
      <c r="M28" s="43" t="str">
        <f aca="false">IF($B28="","",IF(N($K28)=0,0,MIN(1,N($L28)/$K28)))</f>
        <v/>
      </c>
      <c r="N28" s="63" t="str">
        <f aca="false">IF($B28="","",SUMIFS('Diário de Estudo'!$D$7:$D$506,'Diário de Estudo'!$C$7:$C$506,$B28))</f>
        <v/>
      </c>
      <c r="O28" s="103" t="str">
        <f aca="false">IF($B28="","",IF(AND(N($N28)&gt;0,N($H28)&gt;0),$H28/$N28,""))</f>
        <v/>
      </c>
      <c r="P28" s="60" t="str">
        <f aca="true">IF($B28="","",IF(OR(N($K28)=0,$I28=""),"",IF(N($L28)&gt;=$K28,"Concluído",IF(OR(N($L28)&lt;=0,TODAY()&lt;=$I28),"Sem ritmo",TODAY()+ROUNDUP(($K28-$L28)/($L28/(TODAY()-$I28)),0)))))</f>
        <v/>
      </c>
      <c r="Q28" s="101" t="str">
        <f aca="false">IF($B28="","",IF(ISNUMBER($P28),IF(AND(ISNUMBER($J28),$P28&gt;$J28),"▲ Atrasado vs plano","● No prazo"),IF($P28="Concluído","◆ Concluído","—")))</f>
        <v/>
      </c>
      <c r="R28" s="81"/>
      <c r="S28" s="81"/>
      <c r="T28" s="102"/>
      <c r="U28" s="13"/>
      <c r="V28" s="11"/>
    </row>
    <row r="29" customFormat="false" ht="21.75" hidden="false" customHeight="true" outlineLevel="0" collapsed="false">
      <c r="A29" s="58" t="str">
        <f aca="false">IF($B29="","","LV-"&amp;TEXT(ROW()-9,"00"))</f>
        <v/>
      </c>
      <c r="B29" s="13"/>
      <c r="C29" s="13"/>
      <c r="D29" s="13"/>
      <c r="E29" s="13"/>
      <c r="F29" s="81"/>
      <c r="G29" s="52"/>
      <c r="H29" s="37"/>
      <c r="I29" s="52"/>
      <c r="J29" s="52"/>
      <c r="K29" s="102"/>
      <c r="L29" s="102"/>
      <c r="M29" s="43" t="str">
        <f aca="false">IF($B29="","",IF(N($K29)=0,0,MIN(1,N($L29)/$K29)))</f>
        <v/>
      </c>
      <c r="N29" s="63" t="str">
        <f aca="false">IF($B29="","",SUMIFS('Diário de Estudo'!$D$7:$D$506,'Diário de Estudo'!$C$7:$C$506,$B29))</f>
        <v/>
      </c>
      <c r="O29" s="103" t="str">
        <f aca="false">IF($B29="","",IF(AND(N($N29)&gt;0,N($H29)&gt;0),$H29/$N29,""))</f>
        <v/>
      </c>
      <c r="P29" s="60" t="str">
        <f aca="true">IF($B29="","",IF(OR(N($K29)=0,$I29=""),"",IF(N($L29)&gt;=$K29,"Concluído",IF(OR(N($L29)&lt;=0,TODAY()&lt;=$I29),"Sem ritmo",TODAY()+ROUNDUP(($K29-$L29)/($L29/(TODAY()-$I29)),0)))))</f>
        <v/>
      </c>
      <c r="Q29" s="101" t="str">
        <f aca="false">IF($B29="","",IF(ISNUMBER($P29),IF(AND(ISNUMBER($J29),$P29&gt;$J29),"▲ Atrasado vs plano","● No prazo"),IF($P29="Concluído","◆ Concluído","—")))</f>
        <v/>
      </c>
      <c r="R29" s="81"/>
      <c r="S29" s="81"/>
      <c r="T29" s="102"/>
      <c r="U29" s="13"/>
      <c r="V29" s="11"/>
    </row>
    <row r="30" customFormat="false" ht="21.75" hidden="false" customHeight="true" outlineLevel="0" collapsed="false">
      <c r="A30" s="58" t="str">
        <f aca="false">IF($B30="","","LV-"&amp;TEXT(ROW()-9,"00"))</f>
        <v/>
      </c>
      <c r="B30" s="13"/>
      <c r="C30" s="13"/>
      <c r="D30" s="13"/>
      <c r="E30" s="13"/>
      <c r="F30" s="81"/>
      <c r="G30" s="52"/>
      <c r="H30" s="37"/>
      <c r="I30" s="52"/>
      <c r="J30" s="52"/>
      <c r="K30" s="102"/>
      <c r="L30" s="102"/>
      <c r="M30" s="43" t="str">
        <f aca="false">IF($B30="","",IF(N($K30)=0,0,MIN(1,N($L30)/$K30)))</f>
        <v/>
      </c>
      <c r="N30" s="63" t="str">
        <f aca="false">IF($B30="","",SUMIFS('Diário de Estudo'!$D$7:$D$506,'Diário de Estudo'!$C$7:$C$506,$B30))</f>
        <v/>
      </c>
      <c r="O30" s="103" t="str">
        <f aca="false">IF($B30="","",IF(AND(N($N30)&gt;0,N($H30)&gt;0),$H30/$N30,""))</f>
        <v/>
      </c>
      <c r="P30" s="60" t="str">
        <f aca="true">IF($B30="","",IF(OR(N($K30)=0,$I30=""),"",IF(N($L30)&gt;=$K30,"Concluído",IF(OR(N($L30)&lt;=0,TODAY()&lt;=$I30),"Sem ritmo",TODAY()+ROUNDUP(($K30-$L30)/($L30/(TODAY()-$I30)),0)))))</f>
        <v/>
      </c>
      <c r="Q30" s="101" t="str">
        <f aca="false">IF($B30="","",IF(ISNUMBER($P30),IF(AND(ISNUMBER($J30),$P30&gt;$J30),"▲ Atrasado vs plano","● No prazo"),IF($P30="Concluído","◆ Concluído","—")))</f>
        <v/>
      </c>
      <c r="R30" s="81"/>
      <c r="S30" s="81"/>
      <c r="T30" s="102"/>
      <c r="U30" s="13"/>
      <c r="V30" s="11"/>
    </row>
    <row r="31" customFormat="false" ht="21.75" hidden="false" customHeight="true" outlineLevel="0" collapsed="false">
      <c r="A31" s="58" t="str">
        <f aca="false">IF($B31="","","LV-"&amp;TEXT(ROW()-9,"00"))</f>
        <v/>
      </c>
      <c r="B31" s="13"/>
      <c r="C31" s="13"/>
      <c r="D31" s="13"/>
      <c r="E31" s="13"/>
      <c r="F31" s="81"/>
      <c r="G31" s="52"/>
      <c r="H31" s="37"/>
      <c r="I31" s="52"/>
      <c r="J31" s="52"/>
      <c r="K31" s="102"/>
      <c r="L31" s="102"/>
      <c r="M31" s="43" t="str">
        <f aca="false">IF($B31="","",IF(N($K31)=0,0,MIN(1,N($L31)/$K31)))</f>
        <v/>
      </c>
      <c r="N31" s="63" t="str">
        <f aca="false">IF($B31="","",SUMIFS('Diário de Estudo'!$D$7:$D$506,'Diário de Estudo'!$C$7:$C$506,$B31))</f>
        <v/>
      </c>
      <c r="O31" s="103" t="str">
        <f aca="false">IF($B31="","",IF(AND(N($N31)&gt;0,N($H31)&gt;0),$H31/$N31,""))</f>
        <v/>
      </c>
      <c r="P31" s="60" t="str">
        <f aca="true">IF($B31="","",IF(OR(N($K31)=0,$I31=""),"",IF(N($L31)&gt;=$K31,"Concluído",IF(OR(N($L31)&lt;=0,TODAY()&lt;=$I31),"Sem ritmo",TODAY()+ROUNDUP(($K31-$L31)/($L31/(TODAY()-$I31)),0)))))</f>
        <v/>
      </c>
      <c r="Q31" s="101" t="str">
        <f aca="false">IF($B31="","",IF(ISNUMBER($P31),IF(AND(ISNUMBER($J31),$P31&gt;$J31),"▲ Atrasado vs plano","● No prazo"),IF($P31="Concluído","◆ Concluído","—")))</f>
        <v/>
      </c>
      <c r="R31" s="81"/>
      <c r="S31" s="81"/>
      <c r="T31" s="102"/>
      <c r="U31" s="13"/>
      <c r="V31" s="11"/>
    </row>
    <row r="32" customFormat="false" ht="21.75" hidden="false" customHeight="true" outlineLevel="0" collapsed="false">
      <c r="A32" s="58" t="str">
        <f aca="false">IF($B32="","","LV-"&amp;TEXT(ROW()-9,"00"))</f>
        <v/>
      </c>
      <c r="B32" s="13"/>
      <c r="C32" s="13"/>
      <c r="D32" s="13"/>
      <c r="E32" s="13"/>
      <c r="F32" s="81"/>
      <c r="G32" s="52"/>
      <c r="H32" s="37"/>
      <c r="I32" s="52"/>
      <c r="J32" s="52"/>
      <c r="K32" s="102"/>
      <c r="L32" s="102"/>
      <c r="M32" s="43" t="str">
        <f aca="false">IF($B32="","",IF(N($K32)=0,0,MIN(1,N($L32)/$K32)))</f>
        <v/>
      </c>
      <c r="N32" s="63" t="str">
        <f aca="false">IF($B32="","",SUMIFS('Diário de Estudo'!$D$7:$D$506,'Diário de Estudo'!$C$7:$C$506,$B32))</f>
        <v/>
      </c>
      <c r="O32" s="103" t="str">
        <f aca="false">IF($B32="","",IF(AND(N($N32)&gt;0,N($H32)&gt;0),$H32/$N32,""))</f>
        <v/>
      </c>
      <c r="P32" s="60" t="str">
        <f aca="true">IF($B32="","",IF(OR(N($K32)=0,$I32=""),"",IF(N($L32)&gt;=$K32,"Concluído",IF(OR(N($L32)&lt;=0,TODAY()&lt;=$I32),"Sem ritmo",TODAY()+ROUNDUP(($K32-$L32)/($L32/(TODAY()-$I32)),0)))))</f>
        <v/>
      </c>
      <c r="Q32" s="101" t="str">
        <f aca="false">IF($B32="","",IF(ISNUMBER($P32),IF(AND(ISNUMBER($J32),$P32&gt;$J32),"▲ Atrasado vs plano","● No prazo"),IF($P32="Concluído","◆ Concluído","—")))</f>
        <v/>
      </c>
      <c r="R32" s="81"/>
      <c r="S32" s="81"/>
      <c r="T32" s="102"/>
      <c r="U32" s="13"/>
      <c r="V32" s="11"/>
    </row>
    <row r="33" customFormat="false" ht="21.75" hidden="false" customHeight="true" outlineLevel="0" collapsed="false">
      <c r="A33" s="58" t="str">
        <f aca="false">IF($B33="","","LV-"&amp;TEXT(ROW()-9,"00"))</f>
        <v/>
      </c>
      <c r="B33" s="13"/>
      <c r="C33" s="13"/>
      <c r="D33" s="13"/>
      <c r="E33" s="13"/>
      <c r="F33" s="81"/>
      <c r="G33" s="52"/>
      <c r="H33" s="37"/>
      <c r="I33" s="52"/>
      <c r="J33" s="52"/>
      <c r="K33" s="102"/>
      <c r="L33" s="102"/>
      <c r="M33" s="43" t="str">
        <f aca="false">IF($B33="","",IF(N($K33)=0,0,MIN(1,N($L33)/$K33)))</f>
        <v/>
      </c>
      <c r="N33" s="63" t="str">
        <f aca="false">IF($B33="","",SUMIFS('Diário de Estudo'!$D$7:$D$506,'Diário de Estudo'!$C$7:$C$506,$B33))</f>
        <v/>
      </c>
      <c r="O33" s="103" t="str">
        <f aca="false">IF($B33="","",IF(AND(N($N33)&gt;0,N($H33)&gt;0),$H33/$N33,""))</f>
        <v/>
      </c>
      <c r="P33" s="60" t="str">
        <f aca="true">IF($B33="","",IF(OR(N($K33)=0,$I33=""),"",IF(N($L33)&gt;=$K33,"Concluído",IF(OR(N($L33)&lt;=0,TODAY()&lt;=$I33),"Sem ritmo",TODAY()+ROUNDUP(($K33-$L33)/($L33/(TODAY()-$I33)),0)))))</f>
        <v/>
      </c>
      <c r="Q33" s="101" t="str">
        <f aca="false">IF($B33="","",IF(ISNUMBER($P33),IF(AND(ISNUMBER($J33),$P33&gt;$J33),"▲ Atrasado vs plano","● No prazo"),IF($P33="Concluído","◆ Concluído","—")))</f>
        <v/>
      </c>
      <c r="R33" s="81"/>
      <c r="S33" s="81"/>
      <c r="T33" s="102"/>
      <c r="U33" s="13"/>
      <c r="V33" s="11"/>
    </row>
    <row r="34" customFormat="false" ht="21.75" hidden="false" customHeight="true" outlineLevel="0" collapsed="false">
      <c r="A34" s="58" t="str">
        <f aca="false">IF($B34="","","LV-"&amp;TEXT(ROW()-9,"00"))</f>
        <v/>
      </c>
      <c r="B34" s="13"/>
      <c r="C34" s="13"/>
      <c r="D34" s="13"/>
      <c r="E34" s="13"/>
      <c r="F34" s="81"/>
      <c r="G34" s="52"/>
      <c r="H34" s="37"/>
      <c r="I34" s="52"/>
      <c r="J34" s="52"/>
      <c r="K34" s="102"/>
      <c r="L34" s="102"/>
      <c r="M34" s="43" t="str">
        <f aca="false">IF($B34="","",IF(N($K34)=0,0,MIN(1,N($L34)/$K34)))</f>
        <v/>
      </c>
      <c r="N34" s="63" t="str">
        <f aca="false">IF($B34="","",SUMIFS('Diário de Estudo'!$D$7:$D$506,'Diário de Estudo'!$C$7:$C$506,$B34))</f>
        <v/>
      </c>
      <c r="O34" s="103" t="str">
        <f aca="false">IF($B34="","",IF(AND(N($N34)&gt;0,N($H34)&gt;0),$H34/$N34,""))</f>
        <v/>
      </c>
      <c r="P34" s="60" t="str">
        <f aca="true">IF($B34="","",IF(OR(N($K34)=0,$I34=""),"",IF(N($L34)&gt;=$K34,"Concluído",IF(OR(N($L34)&lt;=0,TODAY()&lt;=$I34),"Sem ritmo",TODAY()+ROUNDUP(($K34-$L34)/($L34/(TODAY()-$I34)),0)))))</f>
        <v/>
      </c>
      <c r="Q34" s="101" t="str">
        <f aca="false">IF($B34="","",IF(ISNUMBER($P34),IF(AND(ISNUMBER($J34),$P34&gt;$J34),"▲ Atrasado vs plano","● No prazo"),IF($P34="Concluído","◆ Concluído","—")))</f>
        <v/>
      </c>
      <c r="R34" s="81"/>
      <c r="S34" s="81"/>
      <c r="T34" s="102"/>
      <c r="U34" s="13"/>
      <c r="V34" s="11"/>
    </row>
    <row r="35" customFormat="false" ht="21.75" hidden="false" customHeight="true" outlineLevel="0" collapsed="false">
      <c r="A35" s="58" t="str">
        <f aca="false">IF($B35="","","LV-"&amp;TEXT(ROW()-9,"00"))</f>
        <v/>
      </c>
      <c r="B35" s="13"/>
      <c r="C35" s="13"/>
      <c r="D35" s="13"/>
      <c r="E35" s="13"/>
      <c r="F35" s="81"/>
      <c r="G35" s="52"/>
      <c r="H35" s="37"/>
      <c r="I35" s="52"/>
      <c r="J35" s="52"/>
      <c r="K35" s="102"/>
      <c r="L35" s="102"/>
      <c r="M35" s="43" t="str">
        <f aca="false">IF($B35="","",IF(N($K35)=0,0,MIN(1,N($L35)/$K35)))</f>
        <v/>
      </c>
      <c r="N35" s="63" t="str">
        <f aca="false">IF($B35="","",SUMIFS('Diário de Estudo'!$D$7:$D$506,'Diário de Estudo'!$C$7:$C$506,$B35))</f>
        <v/>
      </c>
      <c r="O35" s="103" t="str">
        <f aca="false">IF($B35="","",IF(AND(N($N35)&gt;0,N($H35)&gt;0),$H35/$N35,""))</f>
        <v/>
      </c>
      <c r="P35" s="60" t="str">
        <f aca="true">IF($B35="","",IF(OR(N($K35)=0,$I35=""),"",IF(N($L35)&gt;=$K35,"Concluído",IF(OR(N($L35)&lt;=0,TODAY()&lt;=$I35),"Sem ritmo",TODAY()+ROUNDUP(($K35-$L35)/($L35/(TODAY()-$I35)),0)))))</f>
        <v/>
      </c>
      <c r="Q35" s="101" t="str">
        <f aca="false">IF($B35="","",IF(ISNUMBER($P35),IF(AND(ISNUMBER($J35),$P35&gt;$J35),"▲ Atrasado vs plano","● No prazo"),IF($P35="Concluído","◆ Concluído","—")))</f>
        <v/>
      </c>
      <c r="R35" s="81"/>
      <c r="S35" s="81"/>
      <c r="T35" s="102"/>
      <c r="U35" s="13"/>
      <c r="V35" s="11"/>
    </row>
    <row r="36" customFormat="false" ht="21.75" hidden="false" customHeight="true" outlineLevel="0" collapsed="false">
      <c r="A36" s="58" t="str">
        <f aca="false">IF($B36="","","LV-"&amp;TEXT(ROW()-9,"00"))</f>
        <v/>
      </c>
      <c r="B36" s="13"/>
      <c r="C36" s="13"/>
      <c r="D36" s="13"/>
      <c r="E36" s="13"/>
      <c r="F36" s="81"/>
      <c r="G36" s="52"/>
      <c r="H36" s="37"/>
      <c r="I36" s="52"/>
      <c r="J36" s="52"/>
      <c r="K36" s="102"/>
      <c r="L36" s="102"/>
      <c r="M36" s="43" t="str">
        <f aca="false">IF($B36="","",IF(N($K36)=0,0,MIN(1,N($L36)/$K36)))</f>
        <v/>
      </c>
      <c r="N36" s="63" t="str">
        <f aca="false">IF($B36="","",SUMIFS('Diário de Estudo'!$D$7:$D$506,'Diário de Estudo'!$C$7:$C$506,$B36))</f>
        <v/>
      </c>
      <c r="O36" s="103" t="str">
        <f aca="false">IF($B36="","",IF(AND(N($N36)&gt;0,N($H36)&gt;0),$H36/$N36,""))</f>
        <v/>
      </c>
      <c r="P36" s="60" t="str">
        <f aca="true">IF($B36="","",IF(OR(N($K36)=0,$I36=""),"",IF(N($L36)&gt;=$K36,"Concluído",IF(OR(N($L36)&lt;=0,TODAY()&lt;=$I36),"Sem ritmo",TODAY()+ROUNDUP(($K36-$L36)/($L36/(TODAY()-$I36)),0)))))</f>
        <v/>
      </c>
      <c r="Q36" s="101" t="str">
        <f aca="false">IF($B36="","",IF(ISNUMBER($P36),IF(AND(ISNUMBER($J36),$P36&gt;$J36),"▲ Atrasado vs plano","● No prazo"),IF($P36="Concluído","◆ Concluído","—")))</f>
        <v/>
      </c>
      <c r="R36" s="81"/>
      <c r="S36" s="81"/>
      <c r="T36" s="102"/>
      <c r="U36" s="13"/>
      <c r="V36" s="11"/>
    </row>
    <row r="37" customFormat="false" ht="21.75" hidden="false" customHeight="true" outlineLevel="0" collapsed="false">
      <c r="A37" s="58" t="str">
        <f aca="false">IF($B37="","","LV-"&amp;TEXT(ROW()-9,"00"))</f>
        <v/>
      </c>
      <c r="B37" s="13"/>
      <c r="C37" s="13"/>
      <c r="D37" s="13"/>
      <c r="E37" s="13"/>
      <c r="F37" s="81"/>
      <c r="G37" s="52"/>
      <c r="H37" s="37"/>
      <c r="I37" s="52"/>
      <c r="J37" s="52"/>
      <c r="K37" s="102"/>
      <c r="L37" s="102"/>
      <c r="M37" s="43" t="str">
        <f aca="false">IF($B37="","",IF(N($K37)=0,0,MIN(1,N($L37)/$K37)))</f>
        <v/>
      </c>
      <c r="N37" s="63" t="str">
        <f aca="false">IF($B37="","",SUMIFS('Diário de Estudo'!$D$7:$D$506,'Diário de Estudo'!$C$7:$C$506,$B37))</f>
        <v/>
      </c>
      <c r="O37" s="103" t="str">
        <f aca="false">IF($B37="","",IF(AND(N($N37)&gt;0,N($H37)&gt;0),$H37/$N37,""))</f>
        <v/>
      </c>
      <c r="P37" s="60" t="str">
        <f aca="true">IF($B37="","",IF(OR(N($K37)=0,$I37=""),"",IF(N($L37)&gt;=$K37,"Concluído",IF(OR(N($L37)&lt;=0,TODAY()&lt;=$I37),"Sem ritmo",TODAY()+ROUNDUP(($K37-$L37)/($L37/(TODAY()-$I37)),0)))))</f>
        <v/>
      </c>
      <c r="Q37" s="101" t="str">
        <f aca="false">IF($B37="","",IF(ISNUMBER($P37),IF(AND(ISNUMBER($J37),$P37&gt;$J37),"▲ Atrasado vs plano","● No prazo"),IF($P37="Concluído","◆ Concluído","—")))</f>
        <v/>
      </c>
      <c r="R37" s="81"/>
      <c r="S37" s="81"/>
      <c r="T37" s="102"/>
      <c r="U37" s="13"/>
      <c r="V37" s="11"/>
    </row>
    <row r="38" customFormat="false" ht="21.75" hidden="false" customHeight="true" outlineLevel="0" collapsed="false">
      <c r="A38" s="58" t="str">
        <f aca="false">IF($B38="","","LV-"&amp;TEXT(ROW()-9,"00"))</f>
        <v/>
      </c>
      <c r="B38" s="13"/>
      <c r="C38" s="13"/>
      <c r="D38" s="13"/>
      <c r="E38" s="13"/>
      <c r="F38" s="81"/>
      <c r="G38" s="52"/>
      <c r="H38" s="37"/>
      <c r="I38" s="52"/>
      <c r="J38" s="52"/>
      <c r="K38" s="102"/>
      <c r="L38" s="102"/>
      <c r="M38" s="43" t="str">
        <f aca="false">IF($B38="","",IF(N($K38)=0,0,MIN(1,N($L38)/$K38)))</f>
        <v/>
      </c>
      <c r="N38" s="63" t="str">
        <f aca="false">IF($B38="","",SUMIFS('Diário de Estudo'!$D$7:$D$506,'Diário de Estudo'!$C$7:$C$506,$B38))</f>
        <v/>
      </c>
      <c r="O38" s="103" t="str">
        <f aca="false">IF($B38="","",IF(AND(N($N38)&gt;0,N($H38)&gt;0),$H38/$N38,""))</f>
        <v/>
      </c>
      <c r="P38" s="60" t="str">
        <f aca="true">IF($B38="","",IF(OR(N($K38)=0,$I38=""),"",IF(N($L38)&gt;=$K38,"Concluído",IF(OR(N($L38)&lt;=0,TODAY()&lt;=$I38),"Sem ritmo",TODAY()+ROUNDUP(($K38-$L38)/($L38/(TODAY()-$I38)),0)))))</f>
        <v/>
      </c>
      <c r="Q38" s="101" t="str">
        <f aca="false">IF($B38="","",IF(ISNUMBER($P38),IF(AND(ISNUMBER($J38),$P38&gt;$J38),"▲ Atrasado vs plano","● No prazo"),IF($P38="Concluído","◆ Concluído","—")))</f>
        <v/>
      </c>
      <c r="R38" s="81"/>
      <c r="S38" s="81"/>
      <c r="T38" s="102"/>
      <c r="U38" s="13"/>
      <c r="V38" s="11"/>
    </row>
    <row r="39" customFormat="false" ht="21.75" hidden="false" customHeight="true" outlineLevel="0" collapsed="false">
      <c r="A39" s="58" t="str">
        <f aca="false">IF($B39="","","LV-"&amp;TEXT(ROW()-9,"00"))</f>
        <v/>
      </c>
      <c r="B39" s="13"/>
      <c r="C39" s="13"/>
      <c r="D39" s="13"/>
      <c r="E39" s="13"/>
      <c r="F39" s="81"/>
      <c r="G39" s="52"/>
      <c r="H39" s="37"/>
      <c r="I39" s="52"/>
      <c r="J39" s="52"/>
      <c r="K39" s="102"/>
      <c r="L39" s="102"/>
      <c r="M39" s="43" t="str">
        <f aca="false">IF($B39="","",IF(N($K39)=0,0,MIN(1,N($L39)/$K39)))</f>
        <v/>
      </c>
      <c r="N39" s="63" t="str">
        <f aca="false">IF($B39="","",SUMIFS('Diário de Estudo'!$D$7:$D$506,'Diário de Estudo'!$C$7:$C$506,$B39))</f>
        <v/>
      </c>
      <c r="O39" s="103" t="str">
        <f aca="false">IF($B39="","",IF(AND(N($N39)&gt;0,N($H39)&gt;0),$H39/$N39,""))</f>
        <v/>
      </c>
      <c r="P39" s="60" t="str">
        <f aca="true">IF($B39="","",IF(OR(N($K39)=0,$I39=""),"",IF(N($L39)&gt;=$K39,"Concluído",IF(OR(N($L39)&lt;=0,TODAY()&lt;=$I39),"Sem ritmo",TODAY()+ROUNDUP(($K39-$L39)/($L39/(TODAY()-$I39)),0)))))</f>
        <v/>
      </c>
      <c r="Q39" s="101" t="str">
        <f aca="false">IF($B39="","",IF(ISNUMBER($P39),IF(AND(ISNUMBER($J39),$P39&gt;$J39),"▲ Atrasado vs plano","● No prazo"),IF($P39="Concluído","◆ Concluído","—")))</f>
        <v/>
      </c>
      <c r="R39" s="81"/>
      <c r="S39" s="81"/>
      <c r="T39" s="102"/>
      <c r="U39" s="13"/>
      <c r="V39" s="11"/>
    </row>
    <row r="40" customFormat="false" ht="21.75" hidden="false" customHeight="true" outlineLevel="0" collapsed="false">
      <c r="A40" s="58" t="str">
        <f aca="false">IF($B40="","","LV-"&amp;TEXT(ROW()-9,"00"))</f>
        <v/>
      </c>
      <c r="B40" s="13"/>
      <c r="C40" s="13"/>
      <c r="D40" s="13"/>
      <c r="E40" s="13"/>
      <c r="F40" s="81"/>
      <c r="G40" s="52"/>
      <c r="H40" s="37"/>
      <c r="I40" s="52"/>
      <c r="J40" s="52"/>
      <c r="K40" s="102"/>
      <c r="L40" s="102"/>
      <c r="M40" s="43" t="str">
        <f aca="false">IF($B40="","",IF(N($K40)=0,0,MIN(1,N($L40)/$K40)))</f>
        <v/>
      </c>
      <c r="N40" s="63" t="str">
        <f aca="false">IF($B40="","",SUMIFS('Diário de Estudo'!$D$7:$D$506,'Diário de Estudo'!$C$7:$C$506,$B40))</f>
        <v/>
      </c>
      <c r="O40" s="103" t="str">
        <f aca="false">IF($B40="","",IF(AND(N($N40)&gt;0,N($H40)&gt;0),$H40/$N40,""))</f>
        <v/>
      </c>
      <c r="P40" s="60" t="str">
        <f aca="true">IF($B40="","",IF(OR(N($K40)=0,$I40=""),"",IF(N($L40)&gt;=$K40,"Concluído",IF(OR(N($L40)&lt;=0,TODAY()&lt;=$I40),"Sem ritmo",TODAY()+ROUNDUP(($K40-$L40)/($L40/(TODAY()-$I40)),0)))))</f>
        <v/>
      </c>
      <c r="Q40" s="101" t="str">
        <f aca="false">IF($B40="","",IF(ISNUMBER($P40),IF(AND(ISNUMBER($J40),$P40&gt;$J40),"▲ Atrasado vs plano","● No prazo"),IF($P40="Concluído","◆ Concluído","—")))</f>
        <v/>
      </c>
      <c r="R40" s="81"/>
      <c r="S40" s="81"/>
      <c r="T40" s="102"/>
      <c r="U40" s="13"/>
      <c r="V40" s="11"/>
    </row>
    <row r="41" customFormat="false" ht="21.75" hidden="false" customHeight="true" outlineLevel="0" collapsed="false">
      <c r="A41" s="58" t="str">
        <f aca="false">IF($B41="","","LV-"&amp;TEXT(ROW()-9,"00"))</f>
        <v/>
      </c>
      <c r="B41" s="13"/>
      <c r="C41" s="13"/>
      <c r="D41" s="13"/>
      <c r="E41" s="13"/>
      <c r="F41" s="81"/>
      <c r="G41" s="52"/>
      <c r="H41" s="37"/>
      <c r="I41" s="52"/>
      <c r="J41" s="52"/>
      <c r="K41" s="102"/>
      <c r="L41" s="102"/>
      <c r="M41" s="43" t="str">
        <f aca="false">IF($B41="","",IF(N($K41)=0,0,MIN(1,N($L41)/$K41)))</f>
        <v/>
      </c>
      <c r="N41" s="63" t="str">
        <f aca="false">IF($B41="","",SUMIFS('Diário de Estudo'!$D$7:$D$506,'Diário de Estudo'!$C$7:$C$506,$B41))</f>
        <v/>
      </c>
      <c r="O41" s="103" t="str">
        <f aca="false">IF($B41="","",IF(AND(N($N41)&gt;0,N($H41)&gt;0),$H41/$N41,""))</f>
        <v/>
      </c>
      <c r="P41" s="60" t="str">
        <f aca="true">IF($B41="","",IF(OR(N($K41)=0,$I41=""),"",IF(N($L41)&gt;=$K41,"Concluído",IF(OR(N($L41)&lt;=0,TODAY()&lt;=$I41),"Sem ritmo",TODAY()+ROUNDUP(($K41-$L41)/($L41/(TODAY()-$I41)),0)))))</f>
        <v/>
      </c>
      <c r="Q41" s="101" t="str">
        <f aca="false">IF($B41="","",IF(ISNUMBER($P41),IF(AND(ISNUMBER($J41),$P41&gt;$J41),"▲ Atrasado vs plano","● No prazo"),IF($P41="Concluído","◆ Concluído","—")))</f>
        <v/>
      </c>
      <c r="R41" s="81"/>
      <c r="S41" s="81"/>
      <c r="T41" s="102"/>
      <c r="U41" s="13"/>
      <c r="V41" s="11"/>
    </row>
    <row r="42" customFormat="false" ht="21.75" hidden="false" customHeight="true" outlineLevel="0" collapsed="false">
      <c r="A42" s="58" t="str">
        <f aca="false">IF($B42="","","LV-"&amp;TEXT(ROW()-9,"00"))</f>
        <v/>
      </c>
      <c r="B42" s="13"/>
      <c r="C42" s="13"/>
      <c r="D42" s="13"/>
      <c r="E42" s="13"/>
      <c r="F42" s="81"/>
      <c r="G42" s="52"/>
      <c r="H42" s="37"/>
      <c r="I42" s="52"/>
      <c r="J42" s="52"/>
      <c r="K42" s="102"/>
      <c r="L42" s="102"/>
      <c r="M42" s="43" t="str">
        <f aca="false">IF($B42="","",IF(N($K42)=0,0,MIN(1,N($L42)/$K42)))</f>
        <v/>
      </c>
      <c r="N42" s="63" t="str">
        <f aca="false">IF($B42="","",SUMIFS('Diário de Estudo'!$D$7:$D$506,'Diário de Estudo'!$C$7:$C$506,$B42))</f>
        <v/>
      </c>
      <c r="O42" s="103" t="str">
        <f aca="false">IF($B42="","",IF(AND(N($N42)&gt;0,N($H42)&gt;0),$H42/$N42,""))</f>
        <v/>
      </c>
      <c r="P42" s="60" t="str">
        <f aca="true">IF($B42="","",IF(OR(N($K42)=0,$I42=""),"",IF(N($L42)&gt;=$K42,"Concluído",IF(OR(N($L42)&lt;=0,TODAY()&lt;=$I42),"Sem ritmo",TODAY()+ROUNDUP(($K42-$L42)/($L42/(TODAY()-$I42)),0)))))</f>
        <v/>
      </c>
      <c r="Q42" s="101" t="str">
        <f aca="false">IF($B42="","",IF(ISNUMBER($P42),IF(AND(ISNUMBER($J42),$P42&gt;$J42),"▲ Atrasado vs plano","● No prazo"),IF($P42="Concluído","◆ Concluído","—")))</f>
        <v/>
      </c>
      <c r="R42" s="81"/>
      <c r="S42" s="81"/>
      <c r="T42" s="102"/>
      <c r="U42" s="13"/>
      <c r="V42" s="11"/>
    </row>
    <row r="43" customFormat="false" ht="21.75" hidden="false" customHeight="true" outlineLevel="0" collapsed="false">
      <c r="A43" s="58" t="str">
        <f aca="false">IF($B43="","","LV-"&amp;TEXT(ROW()-9,"00"))</f>
        <v/>
      </c>
      <c r="B43" s="13"/>
      <c r="C43" s="13"/>
      <c r="D43" s="13"/>
      <c r="E43" s="13"/>
      <c r="F43" s="81"/>
      <c r="G43" s="52"/>
      <c r="H43" s="37"/>
      <c r="I43" s="52"/>
      <c r="J43" s="52"/>
      <c r="K43" s="102"/>
      <c r="L43" s="102"/>
      <c r="M43" s="43" t="str">
        <f aca="false">IF($B43="","",IF(N($K43)=0,0,MIN(1,N($L43)/$K43)))</f>
        <v/>
      </c>
      <c r="N43" s="63" t="str">
        <f aca="false">IF($B43="","",SUMIFS('Diário de Estudo'!$D$7:$D$506,'Diário de Estudo'!$C$7:$C$506,$B43))</f>
        <v/>
      </c>
      <c r="O43" s="103" t="str">
        <f aca="false">IF($B43="","",IF(AND(N($N43)&gt;0,N($H43)&gt;0),$H43/$N43,""))</f>
        <v/>
      </c>
      <c r="P43" s="60" t="str">
        <f aca="true">IF($B43="","",IF(OR(N($K43)=0,$I43=""),"",IF(N($L43)&gt;=$K43,"Concluído",IF(OR(N($L43)&lt;=0,TODAY()&lt;=$I43),"Sem ritmo",TODAY()+ROUNDUP(($K43-$L43)/($L43/(TODAY()-$I43)),0)))))</f>
        <v/>
      </c>
      <c r="Q43" s="101" t="str">
        <f aca="false">IF($B43="","",IF(ISNUMBER($P43),IF(AND(ISNUMBER($J43),$P43&gt;$J43),"▲ Atrasado vs plano","● No prazo"),IF($P43="Concluído","◆ Concluído","—")))</f>
        <v/>
      </c>
      <c r="R43" s="81"/>
      <c r="S43" s="81"/>
      <c r="T43" s="102"/>
      <c r="U43" s="13"/>
      <c r="V43" s="11"/>
    </row>
    <row r="44" customFormat="false" ht="21.75" hidden="false" customHeight="true" outlineLevel="0" collapsed="false">
      <c r="A44" s="58" t="str">
        <f aca="false">IF($B44="","","LV-"&amp;TEXT(ROW()-9,"00"))</f>
        <v/>
      </c>
      <c r="B44" s="13"/>
      <c r="C44" s="13"/>
      <c r="D44" s="13"/>
      <c r="E44" s="13"/>
      <c r="F44" s="81"/>
      <c r="G44" s="52"/>
      <c r="H44" s="37"/>
      <c r="I44" s="52"/>
      <c r="J44" s="52"/>
      <c r="K44" s="102"/>
      <c r="L44" s="102"/>
      <c r="M44" s="43" t="str">
        <f aca="false">IF($B44="","",IF(N($K44)=0,0,MIN(1,N($L44)/$K44)))</f>
        <v/>
      </c>
      <c r="N44" s="63" t="str">
        <f aca="false">IF($B44="","",SUMIFS('Diário de Estudo'!$D$7:$D$506,'Diário de Estudo'!$C$7:$C$506,$B44))</f>
        <v/>
      </c>
      <c r="O44" s="103" t="str">
        <f aca="false">IF($B44="","",IF(AND(N($N44)&gt;0,N($H44)&gt;0),$H44/$N44,""))</f>
        <v/>
      </c>
      <c r="P44" s="60" t="str">
        <f aca="true">IF($B44="","",IF(OR(N($K44)=0,$I44=""),"",IF(N($L44)&gt;=$K44,"Concluído",IF(OR(N($L44)&lt;=0,TODAY()&lt;=$I44),"Sem ritmo",TODAY()+ROUNDUP(($K44-$L44)/($L44/(TODAY()-$I44)),0)))))</f>
        <v/>
      </c>
      <c r="Q44" s="101" t="str">
        <f aca="false">IF($B44="","",IF(ISNUMBER($P44),IF(AND(ISNUMBER($J44),$P44&gt;$J44),"▲ Atrasado vs plano","● No prazo"),IF($P44="Concluído","◆ Concluído","—")))</f>
        <v/>
      </c>
      <c r="R44" s="81"/>
      <c r="S44" s="81"/>
      <c r="T44" s="102"/>
      <c r="U44" s="13"/>
      <c r="V44" s="11"/>
    </row>
    <row r="45" customFormat="false" ht="21.75" hidden="false" customHeight="true" outlineLevel="0" collapsed="false">
      <c r="A45" s="58" t="str">
        <f aca="false">IF($B45="","","LV-"&amp;TEXT(ROW()-9,"00"))</f>
        <v/>
      </c>
      <c r="B45" s="13"/>
      <c r="C45" s="13"/>
      <c r="D45" s="13"/>
      <c r="E45" s="13"/>
      <c r="F45" s="81"/>
      <c r="G45" s="52"/>
      <c r="H45" s="37"/>
      <c r="I45" s="52"/>
      <c r="J45" s="52"/>
      <c r="K45" s="102"/>
      <c r="L45" s="102"/>
      <c r="M45" s="43" t="str">
        <f aca="false">IF($B45="","",IF(N($K45)=0,0,MIN(1,N($L45)/$K45)))</f>
        <v/>
      </c>
      <c r="N45" s="63" t="str">
        <f aca="false">IF($B45="","",SUMIFS('Diário de Estudo'!$D$7:$D$506,'Diário de Estudo'!$C$7:$C$506,$B45))</f>
        <v/>
      </c>
      <c r="O45" s="103" t="str">
        <f aca="false">IF($B45="","",IF(AND(N($N45)&gt;0,N($H45)&gt;0),$H45/$N45,""))</f>
        <v/>
      </c>
      <c r="P45" s="60" t="str">
        <f aca="true">IF($B45="","",IF(OR(N($K45)=0,$I45=""),"",IF(N($L45)&gt;=$K45,"Concluído",IF(OR(N($L45)&lt;=0,TODAY()&lt;=$I45),"Sem ritmo",TODAY()+ROUNDUP(($K45-$L45)/($L45/(TODAY()-$I45)),0)))))</f>
        <v/>
      </c>
      <c r="Q45" s="101" t="str">
        <f aca="false">IF($B45="","",IF(ISNUMBER($P45),IF(AND(ISNUMBER($J45),$P45&gt;$J45),"▲ Atrasado vs plano","● No prazo"),IF($P45="Concluído","◆ Concluído","—")))</f>
        <v/>
      </c>
      <c r="R45" s="81"/>
      <c r="S45" s="81"/>
      <c r="T45" s="102"/>
      <c r="U45" s="13"/>
      <c r="V45" s="11"/>
    </row>
    <row r="46" customFormat="false" ht="21.75" hidden="false" customHeight="true" outlineLevel="0" collapsed="false">
      <c r="A46" s="58" t="str">
        <f aca="false">IF($B46="","","LV-"&amp;TEXT(ROW()-9,"00"))</f>
        <v/>
      </c>
      <c r="B46" s="13"/>
      <c r="C46" s="13"/>
      <c r="D46" s="13"/>
      <c r="E46" s="13"/>
      <c r="F46" s="81"/>
      <c r="G46" s="52"/>
      <c r="H46" s="37"/>
      <c r="I46" s="52"/>
      <c r="J46" s="52"/>
      <c r="K46" s="102"/>
      <c r="L46" s="102"/>
      <c r="M46" s="43" t="str">
        <f aca="false">IF($B46="","",IF(N($K46)=0,0,MIN(1,N($L46)/$K46)))</f>
        <v/>
      </c>
      <c r="N46" s="63" t="str">
        <f aca="false">IF($B46="","",SUMIFS('Diário de Estudo'!$D$7:$D$506,'Diário de Estudo'!$C$7:$C$506,$B46))</f>
        <v/>
      </c>
      <c r="O46" s="103" t="str">
        <f aca="false">IF($B46="","",IF(AND(N($N46)&gt;0,N($H46)&gt;0),$H46/$N46,""))</f>
        <v/>
      </c>
      <c r="P46" s="60" t="str">
        <f aca="true">IF($B46="","",IF(OR(N($K46)=0,$I46=""),"",IF(N($L46)&gt;=$K46,"Concluído",IF(OR(N($L46)&lt;=0,TODAY()&lt;=$I46),"Sem ritmo",TODAY()+ROUNDUP(($K46-$L46)/($L46/(TODAY()-$I46)),0)))))</f>
        <v/>
      </c>
      <c r="Q46" s="101" t="str">
        <f aca="false">IF($B46="","",IF(ISNUMBER($P46),IF(AND(ISNUMBER($J46),$P46&gt;$J46),"▲ Atrasado vs plano","● No prazo"),IF($P46="Concluído","◆ Concluído","—")))</f>
        <v/>
      </c>
      <c r="R46" s="81"/>
      <c r="S46" s="81"/>
      <c r="T46" s="102"/>
      <c r="U46" s="13"/>
      <c r="V46" s="11"/>
    </row>
    <row r="47" customFormat="false" ht="21.75" hidden="false" customHeight="true" outlineLevel="0" collapsed="false">
      <c r="A47" s="58" t="str">
        <f aca="false">IF($B47="","","LV-"&amp;TEXT(ROW()-9,"00"))</f>
        <v/>
      </c>
      <c r="B47" s="13"/>
      <c r="C47" s="13"/>
      <c r="D47" s="13"/>
      <c r="E47" s="13"/>
      <c r="F47" s="81"/>
      <c r="G47" s="52"/>
      <c r="H47" s="37"/>
      <c r="I47" s="52"/>
      <c r="J47" s="52"/>
      <c r="K47" s="102"/>
      <c r="L47" s="102"/>
      <c r="M47" s="43" t="str">
        <f aca="false">IF($B47="","",IF(N($K47)=0,0,MIN(1,N($L47)/$K47)))</f>
        <v/>
      </c>
      <c r="N47" s="63" t="str">
        <f aca="false">IF($B47="","",SUMIFS('Diário de Estudo'!$D$7:$D$506,'Diário de Estudo'!$C$7:$C$506,$B47))</f>
        <v/>
      </c>
      <c r="O47" s="103" t="str">
        <f aca="false">IF($B47="","",IF(AND(N($N47)&gt;0,N($H47)&gt;0),$H47/$N47,""))</f>
        <v/>
      </c>
      <c r="P47" s="60" t="str">
        <f aca="true">IF($B47="","",IF(OR(N($K47)=0,$I47=""),"",IF(N($L47)&gt;=$K47,"Concluído",IF(OR(N($L47)&lt;=0,TODAY()&lt;=$I47),"Sem ritmo",TODAY()+ROUNDUP(($K47-$L47)/($L47/(TODAY()-$I47)),0)))))</f>
        <v/>
      </c>
      <c r="Q47" s="101" t="str">
        <f aca="false">IF($B47="","",IF(ISNUMBER($P47),IF(AND(ISNUMBER($J47),$P47&gt;$J47),"▲ Atrasado vs plano","● No prazo"),IF($P47="Concluído","◆ Concluído","—")))</f>
        <v/>
      </c>
      <c r="R47" s="81"/>
      <c r="S47" s="81"/>
      <c r="T47" s="102"/>
      <c r="U47" s="13"/>
      <c r="V47" s="11"/>
    </row>
    <row r="48" customFormat="false" ht="21.75" hidden="false" customHeight="true" outlineLevel="0" collapsed="false">
      <c r="A48" s="58" t="str">
        <f aca="false">IF($B48="","","LV-"&amp;TEXT(ROW()-9,"00"))</f>
        <v/>
      </c>
      <c r="B48" s="13"/>
      <c r="C48" s="13"/>
      <c r="D48" s="13"/>
      <c r="E48" s="13"/>
      <c r="F48" s="81"/>
      <c r="G48" s="52"/>
      <c r="H48" s="37"/>
      <c r="I48" s="52"/>
      <c r="J48" s="52"/>
      <c r="K48" s="102"/>
      <c r="L48" s="102"/>
      <c r="M48" s="43" t="str">
        <f aca="false">IF($B48="","",IF(N($K48)=0,0,MIN(1,N($L48)/$K48)))</f>
        <v/>
      </c>
      <c r="N48" s="63" t="str">
        <f aca="false">IF($B48="","",SUMIFS('Diário de Estudo'!$D$7:$D$506,'Diário de Estudo'!$C$7:$C$506,$B48))</f>
        <v/>
      </c>
      <c r="O48" s="103" t="str">
        <f aca="false">IF($B48="","",IF(AND(N($N48)&gt;0,N($H48)&gt;0),$H48/$N48,""))</f>
        <v/>
      </c>
      <c r="P48" s="60" t="str">
        <f aca="true">IF($B48="","",IF(OR(N($K48)=0,$I48=""),"",IF(N($L48)&gt;=$K48,"Concluído",IF(OR(N($L48)&lt;=0,TODAY()&lt;=$I48),"Sem ritmo",TODAY()+ROUNDUP(($K48-$L48)/($L48/(TODAY()-$I48)),0)))))</f>
        <v/>
      </c>
      <c r="Q48" s="101" t="str">
        <f aca="false">IF($B48="","",IF(ISNUMBER($P48),IF(AND(ISNUMBER($J48),$P48&gt;$J48),"▲ Atrasado vs plano","● No prazo"),IF($P48="Concluído","◆ Concluído","—")))</f>
        <v/>
      </c>
      <c r="R48" s="81"/>
      <c r="S48" s="81"/>
      <c r="T48" s="102"/>
      <c r="U48" s="13"/>
      <c r="V48" s="11"/>
    </row>
    <row r="49" customFormat="false" ht="21.75" hidden="false" customHeight="true" outlineLevel="0" collapsed="false">
      <c r="A49" s="58" t="str">
        <f aca="false">IF($B49="","","LV-"&amp;TEXT(ROW()-9,"00"))</f>
        <v/>
      </c>
      <c r="B49" s="13"/>
      <c r="C49" s="13"/>
      <c r="D49" s="13"/>
      <c r="E49" s="13"/>
      <c r="F49" s="81"/>
      <c r="G49" s="52"/>
      <c r="H49" s="37"/>
      <c r="I49" s="52"/>
      <c r="J49" s="52"/>
      <c r="K49" s="102"/>
      <c r="L49" s="102"/>
      <c r="M49" s="43" t="str">
        <f aca="false">IF($B49="","",IF(N($K49)=0,0,MIN(1,N($L49)/$K49)))</f>
        <v/>
      </c>
      <c r="N49" s="63" t="str">
        <f aca="false">IF($B49="","",SUMIFS('Diário de Estudo'!$D$7:$D$506,'Diário de Estudo'!$C$7:$C$506,$B49))</f>
        <v/>
      </c>
      <c r="O49" s="103" t="str">
        <f aca="false">IF($B49="","",IF(AND(N($N49)&gt;0,N($H49)&gt;0),$H49/$N49,""))</f>
        <v/>
      </c>
      <c r="P49" s="60" t="str">
        <f aca="true">IF($B49="","",IF(OR(N($K49)=0,$I49=""),"",IF(N($L49)&gt;=$K49,"Concluído",IF(OR(N($L49)&lt;=0,TODAY()&lt;=$I49),"Sem ritmo",TODAY()+ROUNDUP(($K49-$L49)/($L49/(TODAY()-$I49)),0)))))</f>
        <v/>
      </c>
      <c r="Q49" s="101" t="str">
        <f aca="false">IF($B49="","",IF(ISNUMBER($P49),IF(AND(ISNUMBER($J49),$P49&gt;$J49),"▲ Atrasado vs plano","● No prazo"),IF($P49="Concluído","◆ Concluído","—")))</f>
        <v/>
      </c>
      <c r="R49" s="81"/>
      <c r="S49" s="81"/>
      <c r="T49" s="102"/>
      <c r="U49" s="13"/>
      <c r="V49" s="11"/>
    </row>
  </sheetData>
  <autoFilter ref="A9:V49"/>
  <mergeCells count="22">
    <mergeCell ref="A1:V1"/>
    <mergeCell ref="A2:S2"/>
    <mergeCell ref="T2:V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R10:R49">
    <cfRule type="cellIs" priority="2" operator="equal" aboveAverage="0" equalAverage="0" bottom="0" percent="0" rank="0" text="" dxfId="8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19">
      <formula>"Pausado"</formula>
    </cfRule>
  </conditionalFormatting>
  <conditionalFormatting sqref="S10:S49">
    <cfRule type="cellIs" priority="5" operator="equal" aboveAverage="0" equalAverage="0" bottom="0" percent="0" rank="0" text="" dxfId="2">
      <formula>"Alta"</formula>
    </cfRule>
  </conditionalFormatting>
  <conditionalFormatting sqref="M10:M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{967E4852-4BDD-4B9D-937C-583B1BC11717}</x14:id>
        </ext>
      </extLst>
    </cfRule>
  </conditionalFormatting>
  <conditionalFormatting sqref="Q10:Q49">
    <cfRule type="expression" priority="7" aboveAverage="0" equalAverage="0" bottom="0" percent="0" rank="0" text="" dxfId="0">
      <formula>ISNUMBER(SEARCH("Estoura",Q10))</formula>
    </cfRule>
    <cfRule type="expression" priority="8" aboveAverage="0" equalAverage="0" bottom="0" percent="0" rank="0" text="" dxfId="1">
      <formula>ISNUMBER(SEARCH("Atrasado",Q10))</formula>
    </cfRule>
    <cfRule type="expression" priority="9" aboveAverage="0" equalAverage="0" bottom="0" percent="0" rank="0" text="" dxfId="21">
      <formula>ISNUMBER(SEARCH("No prazo",Q10))</formula>
    </cfRule>
    <cfRule type="expression" priority="10" aboveAverage="0" equalAverage="0" bottom="0" percent="0" rank="0" text="" dxfId="22">
      <formula>ISNUMBER(SEARCH("Concluído",Q10))</formula>
    </cfRule>
  </conditionalFormatting>
  <dataValidations count="6">
    <dataValidation allowBlank="true" error="Valor inválido para esta coluna." errorStyle="stop" errorTitle="Atenção" operator="greaterThan" showDropDown="false" showErrorMessage="true" showInputMessage="false" sqref="G10:G49 I10:J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H10:H49 K10:L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F10:F49" type="list">
      <formula1>Listas!$D$6:$D$9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R10:R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S10:S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T10:T49" type="whole">
      <formula1>1</formula1>
      <formula2>5</formula2>
    </dataValidation>
  </dataValidations>
  <hyperlinks>
    <hyperlink ref="T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7E4852-4BDD-4B9D-937C-583B1BC117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M10:M49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6E"/>
    <pageSetUpPr fitToPage="true"/>
  </sheetPr>
  <dimension ref="A1:Y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6"/>
    <col collapsed="false" customWidth="true" hidden="false" outlineLevel="0" max="23" min="23" style="0" width="22"/>
    <col collapsed="false" customWidth="true" hidden="false" outlineLevel="0" max="24" min="24" style="0" width="30"/>
    <col collapsed="false" customWidth="true" hidden="false" outlineLevel="0" max="25" min="25" style="0" width="36"/>
  </cols>
  <sheetData>
    <row r="1" customFormat="false" ht="37.5" hidden="false" customHeight="true" outlineLevel="0" collapsed="false">
      <c r="A1" s="20" t="s">
        <v>228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customFormat="false" ht="19.5" hidden="false" customHeight="true" outlineLevel="0" collapsed="false">
      <c r="A2" s="21" t="s">
        <v>229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 t="s">
        <v>57</v>
      </c>
      <c r="X2" s="22"/>
      <c r="Y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159</v>
      </c>
      <c r="C5" s="23"/>
      <c r="D5" s="23" t="s">
        <v>59</v>
      </c>
      <c r="E5" s="23"/>
      <c r="F5" s="23" t="s">
        <v>60</v>
      </c>
      <c r="G5" s="23"/>
      <c r="H5" s="23" t="s">
        <v>160</v>
      </c>
      <c r="I5" s="23"/>
      <c r="J5" s="23" t="s">
        <v>62</v>
      </c>
      <c r="K5" s="23"/>
      <c r="L5" s="23" t="s">
        <v>161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COUNTIF(S10:S49,"Em andamento")</f>
        <v>1</v>
      </c>
      <c r="E6" s="24"/>
      <c r="F6" s="24" t="n">
        <f aca="false">COUNTIF(S10:S49,"Concluído")</f>
        <v>0</v>
      </c>
      <c r="G6" s="24"/>
      <c r="H6" s="25" t="n">
        <f aca="false">SUM(F10:F49)</f>
        <v>497</v>
      </c>
      <c r="I6" s="25"/>
      <c r="J6" s="26" t="n">
        <f aca="false">IFERROR(AVERAGE(N10:N49),0)</f>
        <v>0.3</v>
      </c>
      <c r="K6" s="26"/>
      <c r="L6" s="24" t="n">
        <f aca="false">COUNTIF(K10:K49,"*A vencer")</f>
        <v>0</v>
      </c>
      <c r="M6" s="24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7" t="s">
        <v>162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customFormat="false" ht="36" hidden="false" customHeight="true" outlineLevel="0" collapsed="false">
      <c r="A9" s="99" t="s">
        <v>163</v>
      </c>
      <c r="B9" s="34" t="s">
        <v>99</v>
      </c>
      <c r="C9" s="34" t="s">
        <v>230</v>
      </c>
      <c r="D9" s="34" t="s">
        <v>231</v>
      </c>
      <c r="E9" s="34" t="s">
        <v>167</v>
      </c>
      <c r="F9" s="34" t="s">
        <v>168</v>
      </c>
      <c r="G9" s="34" t="s">
        <v>169</v>
      </c>
      <c r="H9" s="34" t="s">
        <v>170</v>
      </c>
      <c r="I9" s="34" t="s">
        <v>171</v>
      </c>
      <c r="J9" s="99" t="s">
        <v>172</v>
      </c>
      <c r="K9" s="99" t="s">
        <v>173</v>
      </c>
      <c r="L9" s="34" t="s">
        <v>232</v>
      </c>
      <c r="M9" s="34" t="s">
        <v>233</v>
      </c>
      <c r="N9" s="99" t="s">
        <v>176</v>
      </c>
      <c r="O9" s="99" t="s">
        <v>177</v>
      </c>
      <c r="P9" s="99" t="s">
        <v>178</v>
      </c>
      <c r="Q9" s="99" t="s">
        <v>179</v>
      </c>
      <c r="R9" s="99" t="s">
        <v>180</v>
      </c>
      <c r="S9" s="34" t="s">
        <v>109</v>
      </c>
      <c r="T9" s="34" t="s">
        <v>181</v>
      </c>
      <c r="U9" s="34" t="s">
        <v>182</v>
      </c>
      <c r="V9" s="34" t="s">
        <v>183</v>
      </c>
      <c r="W9" s="34" t="s">
        <v>184</v>
      </c>
      <c r="X9" s="34" t="s">
        <v>185</v>
      </c>
      <c r="Y9" s="34" t="s">
        <v>186</v>
      </c>
    </row>
    <row r="10" customFormat="false" ht="21.75" hidden="false" customHeight="true" outlineLevel="0" collapsed="false">
      <c r="A10" s="58" t="str">
        <f aca="false">IF($B10="","","IA-"&amp;TEXT(ROW()-9,"00"))</f>
        <v>IA-01</v>
      </c>
      <c r="B10" s="13" t="s">
        <v>154</v>
      </c>
      <c r="C10" s="13" t="s">
        <v>205</v>
      </c>
      <c r="D10" s="13" t="s">
        <v>234</v>
      </c>
      <c r="E10" s="52" t="n">
        <v>46277</v>
      </c>
      <c r="F10" s="37" t="n">
        <v>497</v>
      </c>
      <c r="G10" s="52" t="n">
        <v>46285</v>
      </c>
      <c r="H10" s="52" t="n">
        <v>46376</v>
      </c>
      <c r="I10" s="52" t="n">
        <v>46642</v>
      </c>
      <c r="J10" s="100" t="n">
        <f aca="true">IF(OR($B10="",$I10=""),"",$I10-TODAY())</f>
        <v>344</v>
      </c>
      <c r="K10" s="101" t="str">
        <f aca="false">IF($B10="","",IF($I10="","∞ Vitalício",IF($J10&lt;0,"■ Vencido",IF($J10&lt;=Listas!$H$6,"▲ A vencer","● Ativo"))))</f>
        <v>● Ativo</v>
      </c>
      <c r="L10" s="102" t="n">
        <v>60</v>
      </c>
      <c r="M10" s="102" t="n">
        <v>18</v>
      </c>
      <c r="N10" s="43" t="n">
        <f aca="false">IF($B10="","",IF(N($L10)=0,0,MIN(1,N($M10)/$L10)))</f>
        <v>0.3</v>
      </c>
      <c r="O10" s="63" t="n">
        <f aca="false">IF($B10="","",SUMIFS('Diário de Estudo'!$D$7:$D$506,'Diário de Estudo'!$C$7:$C$506,$B10))</f>
        <v>1.5</v>
      </c>
      <c r="P10" s="103" t="n">
        <f aca="false">IF($B10="","",IF(AND(N($O10)&gt;0,N($F10)&gt;0),$F10/$O10,""))</f>
        <v>331.333333333333</v>
      </c>
      <c r="Q10" s="60" t="n">
        <f aca="true">IF($B10="","",IF(OR(N($L10)=0,$G10=""),"",IF(N($M10)&gt;=$L10,"Concluído",IF(OR(N($M10)&lt;=0,TODAY()&lt;=$G10),"Sem ritmo",TODAY()+ROUNDUP(($L10-$M10)/($M10/(TODAY()-$G10)),0)))))</f>
        <v>46329</v>
      </c>
      <c r="R10" s="101" t="str">
        <f aca="false">IF($B10="","",IF(ISNUMBER($Q10),IF(AND(ISNUMBER($I10),$Q10&gt;$I10),"■ Estoura o acesso",IF(AND(ISNUMBER($H10),$Q10&gt;$H10),"▲ Atrasado vs plano","● No prazo")),IF($Q10="Concluído","◆ Concluído","—")))</f>
        <v>● No prazo</v>
      </c>
      <c r="S10" s="81" t="s">
        <v>41</v>
      </c>
      <c r="T10" s="81" t="s">
        <v>189</v>
      </c>
      <c r="U10" s="81" t="s">
        <v>190</v>
      </c>
      <c r="V10" s="13" t="s">
        <v>191</v>
      </c>
      <c r="W10" s="13" t="s">
        <v>192</v>
      </c>
      <c r="X10" s="13" t="s">
        <v>209</v>
      </c>
      <c r="Y10" s="11" t="s">
        <v>194</v>
      </c>
    </row>
    <row r="11" customFormat="false" ht="21.75" hidden="false" customHeight="true" outlineLevel="0" collapsed="false">
      <c r="A11" s="58" t="str">
        <f aca="false">IF($B11="","","IA-"&amp;TEXT(ROW()-9,"00"))</f>
        <v/>
      </c>
      <c r="B11" s="13"/>
      <c r="C11" s="13"/>
      <c r="D11" s="13"/>
      <c r="E11" s="52"/>
      <c r="F11" s="37"/>
      <c r="G11" s="52"/>
      <c r="H11" s="52"/>
      <c r="I11" s="52"/>
      <c r="J11" s="100" t="str">
        <f aca="true">IF(OR($B11="",$I11=""),"",$I11-TODAY())</f>
        <v/>
      </c>
      <c r="K11" s="101" t="str">
        <f aca="false">IF($B11="","",IF($I11="","∞ Vitalício",IF($J11&lt;0,"■ Vencido",IF($J11&lt;=Listas!$H$6,"▲ A vencer","● Ativo"))))</f>
        <v/>
      </c>
      <c r="L11" s="102"/>
      <c r="M11" s="102"/>
      <c r="N11" s="43" t="str">
        <f aca="false">IF($B11="","",IF(N($L11)=0,0,MIN(1,N($M11)/$L11)))</f>
        <v/>
      </c>
      <c r="O11" s="63" t="str">
        <f aca="false">IF($B11="","",SUMIFS('Diário de Estudo'!$D$7:$D$506,'Diário de Estudo'!$C$7:$C$506,$B11))</f>
        <v/>
      </c>
      <c r="P11" s="103" t="str">
        <f aca="false">IF($B11="","",IF(AND(N($O11)&gt;0,N($F11)&gt;0),$F11/$O11,""))</f>
        <v/>
      </c>
      <c r="Q11" s="60" t="str">
        <f aca="true">IF($B11="","",IF(OR(N($L11)=0,$G11=""),"",IF(N($M11)&gt;=$L11,"Concluído",IF(OR(N($M11)&lt;=0,TODAY()&lt;=$G11),"Sem ritmo",TODAY()+ROUNDUP(($L11-$M11)/($M11/(TODAY()-$G11)),0)))))</f>
        <v/>
      </c>
      <c r="R11" s="101" t="str">
        <f aca="false">IF($B11="","",IF(ISNUMBER($Q11),IF(AND(ISNUMBER($I11),$Q11&gt;$I11),"■ Estoura o acesso",IF(AND(ISNUMBER($H11),$Q11&gt;$H11),"▲ Atrasado vs plano","● No prazo")),IF($Q11="Concluído","◆ Concluído","—")))</f>
        <v/>
      </c>
      <c r="S11" s="81"/>
      <c r="T11" s="81"/>
      <c r="U11" s="81"/>
      <c r="V11" s="13"/>
      <c r="W11" s="13"/>
      <c r="X11" s="13"/>
      <c r="Y11" s="11"/>
    </row>
    <row r="12" customFormat="false" ht="21.75" hidden="false" customHeight="true" outlineLevel="0" collapsed="false">
      <c r="A12" s="58" t="str">
        <f aca="false">IF($B12="","","IA-"&amp;TEXT(ROW()-9,"00"))</f>
        <v/>
      </c>
      <c r="B12" s="13"/>
      <c r="C12" s="13"/>
      <c r="D12" s="13"/>
      <c r="E12" s="52"/>
      <c r="F12" s="37"/>
      <c r="G12" s="52"/>
      <c r="H12" s="52"/>
      <c r="I12" s="52"/>
      <c r="J12" s="100" t="str">
        <f aca="true">IF(OR($B12="",$I12=""),"",$I12-TODAY())</f>
        <v/>
      </c>
      <c r="K12" s="101" t="str">
        <f aca="false">IF($B12="","",IF($I12="","∞ Vitalício",IF($J12&lt;0,"■ Vencido",IF($J12&lt;=Listas!$H$6,"▲ A vencer","● Ativo"))))</f>
        <v/>
      </c>
      <c r="L12" s="102"/>
      <c r="M12" s="102"/>
      <c r="N12" s="43" t="str">
        <f aca="false">IF($B12="","",IF(N($L12)=0,0,MIN(1,N($M12)/$L12)))</f>
        <v/>
      </c>
      <c r="O12" s="63" t="str">
        <f aca="false">IF($B12="","",SUMIFS('Diário de Estudo'!$D$7:$D$506,'Diário de Estudo'!$C$7:$C$506,$B12))</f>
        <v/>
      </c>
      <c r="P12" s="103" t="str">
        <f aca="false">IF($B12="","",IF(AND(N($O12)&gt;0,N($F12)&gt;0),$F12/$O12,""))</f>
        <v/>
      </c>
      <c r="Q12" s="60" t="str">
        <f aca="true">IF($B12="","",IF(OR(N($L12)=0,$G12=""),"",IF(N($M12)&gt;=$L12,"Concluído",IF(OR(N($M12)&lt;=0,TODAY()&lt;=$G12),"Sem ritmo",TODAY()+ROUNDUP(($L12-$M12)/($M12/(TODAY()-$G12)),0)))))</f>
        <v/>
      </c>
      <c r="R12" s="101" t="str">
        <f aca="false">IF($B12="","",IF(ISNUMBER($Q12),IF(AND(ISNUMBER($I12),$Q12&gt;$I12),"■ Estoura o acesso",IF(AND(ISNUMBER($H12),$Q12&gt;$H12),"▲ Atrasado vs plano","● No prazo")),IF($Q12="Concluído","◆ Concluído","—")))</f>
        <v/>
      </c>
      <c r="S12" s="81"/>
      <c r="T12" s="81"/>
      <c r="U12" s="81"/>
      <c r="V12" s="13"/>
      <c r="W12" s="13"/>
      <c r="X12" s="13"/>
      <c r="Y12" s="11"/>
    </row>
    <row r="13" customFormat="false" ht="21.75" hidden="false" customHeight="true" outlineLevel="0" collapsed="false">
      <c r="A13" s="58" t="str">
        <f aca="false">IF($B13="","","IA-"&amp;TEXT(ROW()-9,"00"))</f>
        <v/>
      </c>
      <c r="B13" s="13"/>
      <c r="C13" s="13"/>
      <c r="D13" s="13"/>
      <c r="E13" s="52"/>
      <c r="F13" s="37"/>
      <c r="G13" s="52"/>
      <c r="H13" s="52"/>
      <c r="I13" s="52"/>
      <c r="J13" s="100" t="str">
        <f aca="true">IF(OR($B13="",$I13=""),"",$I13-TODAY())</f>
        <v/>
      </c>
      <c r="K13" s="101" t="str">
        <f aca="false">IF($B13="","",IF($I13="","∞ Vitalício",IF($J13&lt;0,"■ Vencido",IF($J13&lt;=Listas!$H$6,"▲ A vencer","● Ativo"))))</f>
        <v/>
      </c>
      <c r="L13" s="102"/>
      <c r="M13" s="102"/>
      <c r="N13" s="43" t="str">
        <f aca="false">IF($B13="","",IF(N($L13)=0,0,MIN(1,N($M13)/$L13)))</f>
        <v/>
      </c>
      <c r="O13" s="63" t="str">
        <f aca="false">IF($B13="","",SUMIFS('Diário de Estudo'!$D$7:$D$506,'Diário de Estudo'!$C$7:$C$506,$B13))</f>
        <v/>
      </c>
      <c r="P13" s="103" t="str">
        <f aca="false">IF($B13="","",IF(AND(N($O13)&gt;0,N($F13)&gt;0),$F13/$O13,""))</f>
        <v/>
      </c>
      <c r="Q13" s="60" t="str">
        <f aca="true">IF($B13="","",IF(OR(N($L13)=0,$G13=""),"",IF(N($M13)&gt;=$L13,"Concluído",IF(OR(N($M13)&lt;=0,TODAY()&lt;=$G13),"Sem ritmo",TODAY()+ROUNDUP(($L13-$M13)/($M13/(TODAY()-$G13)),0)))))</f>
        <v/>
      </c>
      <c r="R13" s="101" t="str">
        <f aca="false">IF($B13="","",IF(ISNUMBER($Q13),IF(AND(ISNUMBER($I13),$Q13&gt;$I13),"■ Estoura o acesso",IF(AND(ISNUMBER($H13),$Q13&gt;$H13),"▲ Atrasado vs plano","● No prazo")),IF($Q13="Concluído","◆ Concluído","—")))</f>
        <v/>
      </c>
      <c r="S13" s="81"/>
      <c r="T13" s="81"/>
      <c r="U13" s="81"/>
      <c r="V13" s="13"/>
      <c r="W13" s="13"/>
      <c r="X13" s="13"/>
      <c r="Y13" s="11"/>
    </row>
    <row r="14" customFormat="false" ht="21.75" hidden="false" customHeight="true" outlineLevel="0" collapsed="false">
      <c r="A14" s="58" t="str">
        <f aca="false">IF($B14="","","IA-"&amp;TEXT(ROW()-9,"00"))</f>
        <v/>
      </c>
      <c r="B14" s="13"/>
      <c r="C14" s="13"/>
      <c r="D14" s="13"/>
      <c r="E14" s="52"/>
      <c r="F14" s="37"/>
      <c r="G14" s="52"/>
      <c r="H14" s="52"/>
      <c r="I14" s="52"/>
      <c r="J14" s="100" t="str">
        <f aca="true">IF(OR($B14="",$I14=""),"",$I14-TODAY())</f>
        <v/>
      </c>
      <c r="K14" s="101" t="str">
        <f aca="false">IF($B14="","",IF($I14="","∞ Vitalício",IF($J14&lt;0,"■ Vencido",IF($J14&lt;=Listas!$H$6,"▲ A vencer","● Ativo"))))</f>
        <v/>
      </c>
      <c r="L14" s="102"/>
      <c r="M14" s="102"/>
      <c r="N14" s="43" t="str">
        <f aca="false">IF($B14="","",IF(N($L14)=0,0,MIN(1,N($M14)/$L14)))</f>
        <v/>
      </c>
      <c r="O14" s="63" t="str">
        <f aca="false">IF($B14="","",SUMIFS('Diário de Estudo'!$D$7:$D$506,'Diário de Estudo'!$C$7:$C$506,$B14))</f>
        <v/>
      </c>
      <c r="P14" s="103" t="str">
        <f aca="false">IF($B14="","",IF(AND(N($O14)&gt;0,N($F14)&gt;0),$F14/$O14,""))</f>
        <v/>
      </c>
      <c r="Q14" s="60" t="str">
        <f aca="true">IF($B14="","",IF(OR(N($L14)=0,$G14=""),"",IF(N($M14)&gt;=$L14,"Concluído",IF(OR(N($M14)&lt;=0,TODAY()&lt;=$G14),"Sem ritmo",TODAY()+ROUNDUP(($L14-$M14)/($M14/(TODAY()-$G14)),0)))))</f>
        <v/>
      </c>
      <c r="R14" s="101" t="str">
        <f aca="false">IF($B14="","",IF(ISNUMBER($Q14),IF(AND(ISNUMBER($I14),$Q14&gt;$I14),"■ Estoura o acesso",IF(AND(ISNUMBER($H14),$Q14&gt;$H14),"▲ Atrasado vs plano","● No prazo")),IF($Q14="Concluído","◆ Concluído","—")))</f>
        <v/>
      </c>
      <c r="S14" s="81"/>
      <c r="T14" s="81"/>
      <c r="U14" s="81"/>
      <c r="V14" s="13"/>
      <c r="W14" s="13"/>
      <c r="X14" s="13"/>
      <c r="Y14" s="11"/>
    </row>
    <row r="15" customFormat="false" ht="21.75" hidden="false" customHeight="true" outlineLevel="0" collapsed="false">
      <c r="A15" s="58" t="str">
        <f aca="false">IF($B15="","","IA-"&amp;TEXT(ROW()-9,"00"))</f>
        <v/>
      </c>
      <c r="B15" s="13"/>
      <c r="C15" s="13"/>
      <c r="D15" s="13"/>
      <c r="E15" s="52"/>
      <c r="F15" s="37"/>
      <c r="G15" s="52"/>
      <c r="H15" s="52"/>
      <c r="I15" s="52"/>
      <c r="J15" s="100" t="str">
        <f aca="true">IF(OR($B15="",$I15=""),"",$I15-TODAY())</f>
        <v/>
      </c>
      <c r="K15" s="101" t="str">
        <f aca="false">IF($B15="","",IF($I15="","∞ Vitalício",IF($J15&lt;0,"■ Vencido",IF($J15&lt;=Listas!$H$6,"▲ A vencer","● Ativo"))))</f>
        <v/>
      </c>
      <c r="L15" s="102"/>
      <c r="M15" s="102"/>
      <c r="N15" s="43" t="str">
        <f aca="false">IF($B15="","",IF(N($L15)=0,0,MIN(1,N($M15)/$L15)))</f>
        <v/>
      </c>
      <c r="O15" s="63" t="str">
        <f aca="false">IF($B15="","",SUMIFS('Diário de Estudo'!$D$7:$D$506,'Diário de Estudo'!$C$7:$C$506,$B15))</f>
        <v/>
      </c>
      <c r="P15" s="103" t="str">
        <f aca="false">IF($B15="","",IF(AND(N($O15)&gt;0,N($F15)&gt;0),$F15/$O15,""))</f>
        <v/>
      </c>
      <c r="Q15" s="60" t="str">
        <f aca="true">IF($B15="","",IF(OR(N($L15)=0,$G15=""),"",IF(N($M15)&gt;=$L15,"Concluído",IF(OR(N($M15)&lt;=0,TODAY()&lt;=$G15),"Sem ritmo",TODAY()+ROUNDUP(($L15-$M15)/($M15/(TODAY()-$G15)),0)))))</f>
        <v/>
      </c>
      <c r="R15" s="101" t="str">
        <f aca="false">IF($B15="","",IF(ISNUMBER($Q15),IF(AND(ISNUMBER($I15),$Q15&gt;$I15),"■ Estoura o acesso",IF(AND(ISNUMBER($H15),$Q15&gt;$H15),"▲ Atrasado vs plano","● No prazo")),IF($Q15="Concluído","◆ Concluído","—")))</f>
        <v/>
      </c>
      <c r="S15" s="81"/>
      <c r="T15" s="81"/>
      <c r="U15" s="81"/>
      <c r="V15" s="13"/>
      <c r="W15" s="13"/>
      <c r="X15" s="13"/>
      <c r="Y15" s="11"/>
    </row>
    <row r="16" customFormat="false" ht="21.75" hidden="false" customHeight="true" outlineLevel="0" collapsed="false">
      <c r="A16" s="58" t="str">
        <f aca="false">IF($B16="","","IA-"&amp;TEXT(ROW()-9,"00"))</f>
        <v/>
      </c>
      <c r="B16" s="13"/>
      <c r="C16" s="13"/>
      <c r="D16" s="13"/>
      <c r="E16" s="52"/>
      <c r="F16" s="37"/>
      <c r="G16" s="52"/>
      <c r="H16" s="52"/>
      <c r="I16" s="52"/>
      <c r="J16" s="100" t="str">
        <f aca="true">IF(OR($B16="",$I16=""),"",$I16-TODAY())</f>
        <v/>
      </c>
      <c r="K16" s="101" t="str">
        <f aca="false">IF($B16="","",IF($I16="","∞ Vitalício",IF($J16&lt;0,"■ Vencido",IF($J16&lt;=Listas!$H$6,"▲ A vencer","● Ativo"))))</f>
        <v/>
      </c>
      <c r="L16" s="102"/>
      <c r="M16" s="102"/>
      <c r="N16" s="43" t="str">
        <f aca="false">IF($B16="","",IF(N($L16)=0,0,MIN(1,N($M16)/$L16)))</f>
        <v/>
      </c>
      <c r="O16" s="63" t="str">
        <f aca="false">IF($B16="","",SUMIFS('Diário de Estudo'!$D$7:$D$506,'Diário de Estudo'!$C$7:$C$506,$B16))</f>
        <v/>
      </c>
      <c r="P16" s="103" t="str">
        <f aca="false">IF($B16="","",IF(AND(N($O16)&gt;0,N($F16)&gt;0),$F16/$O16,""))</f>
        <v/>
      </c>
      <c r="Q16" s="60" t="str">
        <f aca="true">IF($B16="","",IF(OR(N($L16)=0,$G16=""),"",IF(N($M16)&gt;=$L16,"Concluído",IF(OR(N($M16)&lt;=0,TODAY()&lt;=$G16),"Sem ritmo",TODAY()+ROUNDUP(($L16-$M16)/($M16/(TODAY()-$G16)),0)))))</f>
        <v/>
      </c>
      <c r="R16" s="101" t="str">
        <f aca="false">IF($B16="","",IF(ISNUMBER($Q16),IF(AND(ISNUMBER($I16),$Q16&gt;$I16),"■ Estoura o acesso",IF(AND(ISNUMBER($H16),$Q16&gt;$H16),"▲ Atrasado vs plano","● No prazo")),IF($Q16="Concluído","◆ Concluído","—")))</f>
        <v/>
      </c>
      <c r="S16" s="81"/>
      <c r="T16" s="81"/>
      <c r="U16" s="81"/>
      <c r="V16" s="13"/>
      <c r="W16" s="13"/>
      <c r="X16" s="13"/>
      <c r="Y16" s="11"/>
    </row>
    <row r="17" customFormat="false" ht="21.75" hidden="false" customHeight="true" outlineLevel="0" collapsed="false">
      <c r="A17" s="58" t="str">
        <f aca="false">IF($B17="","","IA-"&amp;TEXT(ROW()-9,"00"))</f>
        <v/>
      </c>
      <c r="B17" s="13"/>
      <c r="C17" s="13"/>
      <c r="D17" s="13"/>
      <c r="E17" s="52"/>
      <c r="F17" s="37"/>
      <c r="G17" s="52"/>
      <c r="H17" s="52"/>
      <c r="I17" s="52"/>
      <c r="J17" s="100" t="str">
        <f aca="true">IF(OR($B17="",$I17=""),"",$I17-TODAY())</f>
        <v/>
      </c>
      <c r="K17" s="101" t="str">
        <f aca="false">IF($B17="","",IF($I17="","∞ Vitalício",IF($J17&lt;0,"■ Vencido",IF($J17&lt;=Listas!$H$6,"▲ A vencer","● Ativo"))))</f>
        <v/>
      </c>
      <c r="L17" s="102"/>
      <c r="M17" s="102"/>
      <c r="N17" s="43" t="str">
        <f aca="false">IF($B17="","",IF(N($L17)=0,0,MIN(1,N($M17)/$L17)))</f>
        <v/>
      </c>
      <c r="O17" s="63" t="str">
        <f aca="false">IF($B17="","",SUMIFS('Diário de Estudo'!$D$7:$D$506,'Diário de Estudo'!$C$7:$C$506,$B17))</f>
        <v/>
      </c>
      <c r="P17" s="103" t="str">
        <f aca="false">IF($B17="","",IF(AND(N($O17)&gt;0,N($F17)&gt;0),$F17/$O17,""))</f>
        <v/>
      </c>
      <c r="Q17" s="60" t="str">
        <f aca="true">IF($B17="","",IF(OR(N($L17)=0,$G17=""),"",IF(N($M17)&gt;=$L17,"Concluído",IF(OR(N($M17)&lt;=0,TODAY()&lt;=$G17),"Sem ritmo",TODAY()+ROUNDUP(($L17-$M17)/($M17/(TODAY()-$G17)),0)))))</f>
        <v/>
      </c>
      <c r="R17" s="101" t="str">
        <f aca="false">IF($B17="","",IF(ISNUMBER($Q17),IF(AND(ISNUMBER($I17),$Q17&gt;$I17),"■ Estoura o acesso",IF(AND(ISNUMBER($H17),$Q17&gt;$H17),"▲ Atrasado vs plano","● No prazo")),IF($Q17="Concluído","◆ Concluído","—")))</f>
        <v/>
      </c>
      <c r="S17" s="81"/>
      <c r="T17" s="81"/>
      <c r="U17" s="81"/>
      <c r="V17" s="13"/>
      <c r="W17" s="13"/>
      <c r="X17" s="13"/>
      <c r="Y17" s="11"/>
    </row>
    <row r="18" customFormat="false" ht="21.75" hidden="false" customHeight="true" outlineLevel="0" collapsed="false">
      <c r="A18" s="58" t="str">
        <f aca="false">IF($B18="","","IA-"&amp;TEXT(ROW()-9,"00"))</f>
        <v/>
      </c>
      <c r="B18" s="13"/>
      <c r="C18" s="13"/>
      <c r="D18" s="13"/>
      <c r="E18" s="52"/>
      <c r="F18" s="37"/>
      <c r="G18" s="52"/>
      <c r="H18" s="52"/>
      <c r="I18" s="52"/>
      <c r="J18" s="100" t="str">
        <f aca="true">IF(OR($B18="",$I18=""),"",$I18-TODAY())</f>
        <v/>
      </c>
      <c r="K18" s="101" t="str">
        <f aca="false">IF($B18="","",IF($I18="","∞ Vitalício",IF($J18&lt;0,"■ Vencido",IF($J18&lt;=Listas!$H$6,"▲ A vencer","● Ativo"))))</f>
        <v/>
      </c>
      <c r="L18" s="102"/>
      <c r="M18" s="102"/>
      <c r="N18" s="43" t="str">
        <f aca="false">IF($B18="","",IF(N($L18)=0,0,MIN(1,N($M18)/$L18)))</f>
        <v/>
      </c>
      <c r="O18" s="63" t="str">
        <f aca="false">IF($B18="","",SUMIFS('Diário de Estudo'!$D$7:$D$506,'Diário de Estudo'!$C$7:$C$506,$B18))</f>
        <v/>
      </c>
      <c r="P18" s="103" t="str">
        <f aca="false">IF($B18="","",IF(AND(N($O18)&gt;0,N($F18)&gt;0),$F18/$O18,""))</f>
        <v/>
      </c>
      <c r="Q18" s="60" t="str">
        <f aca="true">IF($B18="","",IF(OR(N($L18)=0,$G18=""),"",IF(N($M18)&gt;=$L18,"Concluído",IF(OR(N($M18)&lt;=0,TODAY()&lt;=$G18),"Sem ritmo",TODAY()+ROUNDUP(($L18-$M18)/($M18/(TODAY()-$G18)),0)))))</f>
        <v/>
      </c>
      <c r="R18" s="101" t="str">
        <f aca="false">IF($B18="","",IF(ISNUMBER($Q18),IF(AND(ISNUMBER($I18),$Q18&gt;$I18),"■ Estoura o acesso",IF(AND(ISNUMBER($H18),$Q18&gt;$H18),"▲ Atrasado vs plano","● No prazo")),IF($Q18="Concluído","◆ Concluído","—")))</f>
        <v/>
      </c>
      <c r="S18" s="81"/>
      <c r="T18" s="81"/>
      <c r="U18" s="81"/>
      <c r="V18" s="13"/>
      <c r="W18" s="13"/>
      <c r="X18" s="13"/>
      <c r="Y18" s="11"/>
    </row>
    <row r="19" customFormat="false" ht="21.75" hidden="false" customHeight="true" outlineLevel="0" collapsed="false">
      <c r="A19" s="58" t="str">
        <f aca="false">IF($B19="","","IA-"&amp;TEXT(ROW()-9,"00"))</f>
        <v/>
      </c>
      <c r="B19" s="13"/>
      <c r="C19" s="13"/>
      <c r="D19" s="13"/>
      <c r="E19" s="52"/>
      <c r="F19" s="37"/>
      <c r="G19" s="52"/>
      <c r="H19" s="52"/>
      <c r="I19" s="52"/>
      <c r="J19" s="100" t="str">
        <f aca="true">IF(OR($B19="",$I19=""),"",$I19-TODAY())</f>
        <v/>
      </c>
      <c r="K19" s="101" t="str">
        <f aca="false">IF($B19="","",IF($I19="","∞ Vitalício",IF($J19&lt;0,"■ Vencido",IF($J19&lt;=Listas!$H$6,"▲ A vencer","● Ativo"))))</f>
        <v/>
      </c>
      <c r="L19" s="102"/>
      <c r="M19" s="102"/>
      <c r="N19" s="43" t="str">
        <f aca="false">IF($B19="","",IF(N($L19)=0,0,MIN(1,N($M19)/$L19)))</f>
        <v/>
      </c>
      <c r="O19" s="63" t="str">
        <f aca="false">IF($B19="","",SUMIFS('Diário de Estudo'!$D$7:$D$506,'Diário de Estudo'!$C$7:$C$506,$B19))</f>
        <v/>
      </c>
      <c r="P19" s="103" t="str">
        <f aca="false">IF($B19="","",IF(AND(N($O19)&gt;0,N($F19)&gt;0),$F19/$O19,""))</f>
        <v/>
      </c>
      <c r="Q19" s="60" t="str">
        <f aca="true">IF($B19="","",IF(OR(N($L19)=0,$G19=""),"",IF(N($M19)&gt;=$L19,"Concluído",IF(OR(N($M19)&lt;=0,TODAY()&lt;=$G19),"Sem ritmo",TODAY()+ROUNDUP(($L19-$M19)/($M19/(TODAY()-$G19)),0)))))</f>
        <v/>
      </c>
      <c r="R19" s="101" t="str">
        <f aca="false">IF($B19="","",IF(ISNUMBER($Q19),IF(AND(ISNUMBER($I19),$Q19&gt;$I19),"■ Estoura o acesso",IF(AND(ISNUMBER($H19),$Q19&gt;$H19),"▲ Atrasado vs plano","● No prazo")),IF($Q19="Concluído","◆ Concluído","—")))</f>
        <v/>
      </c>
      <c r="S19" s="81"/>
      <c r="T19" s="81"/>
      <c r="U19" s="81"/>
      <c r="V19" s="13"/>
      <c r="W19" s="13"/>
      <c r="X19" s="13"/>
      <c r="Y19" s="11"/>
    </row>
    <row r="20" customFormat="false" ht="21.75" hidden="false" customHeight="true" outlineLevel="0" collapsed="false">
      <c r="A20" s="58" t="str">
        <f aca="false">IF($B20="","","IA-"&amp;TEXT(ROW()-9,"00"))</f>
        <v/>
      </c>
      <c r="B20" s="13"/>
      <c r="C20" s="13"/>
      <c r="D20" s="13"/>
      <c r="E20" s="52"/>
      <c r="F20" s="37"/>
      <c r="G20" s="52"/>
      <c r="H20" s="52"/>
      <c r="I20" s="52"/>
      <c r="J20" s="100" t="str">
        <f aca="true">IF(OR($B20="",$I20=""),"",$I20-TODAY())</f>
        <v/>
      </c>
      <c r="K20" s="101" t="str">
        <f aca="false">IF($B20="","",IF($I20="","∞ Vitalício",IF($J20&lt;0,"■ Vencido",IF($J20&lt;=Listas!$H$6,"▲ A vencer","● Ativo"))))</f>
        <v/>
      </c>
      <c r="L20" s="102"/>
      <c r="M20" s="102"/>
      <c r="N20" s="43" t="str">
        <f aca="false">IF($B20="","",IF(N($L20)=0,0,MIN(1,N($M20)/$L20)))</f>
        <v/>
      </c>
      <c r="O20" s="63" t="str">
        <f aca="false">IF($B20="","",SUMIFS('Diário de Estudo'!$D$7:$D$506,'Diário de Estudo'!$C$7:$C$506,$B20))</f>
        <v/>
      </c>
      <c r="P20" s="103" t="str">
        <f aca="false">IF($B20="","",IF(AND(N($O20)&gt;0,N($F20)&gt;0),$F20/$O20,""))</f>
        <v/>
      </c>
      <c r="Q20" s="60" t="str">
        <f aca="true">IF($B20="","",IF(OR(N($L20)=0,$G20=""),"",IF(N($M20)&gt;=$L20,"Concluído",IF(OR(N($M20)&lt;=0,TODAY()&lt;=$G20),"Sem ritmo",TODAY()+ROUNDUP(($L20-$M20)/($M20/(TODAY()-$G20)),0)))))</f>
        <v/>
      </c>
      <c r="R20" s="101" t="str">
        <f aca="false">IF($B20="","",IF(ISNUMBER($Q20),IF(AND(ISNUMBER($I20),$Q20&gt;$I20),"■ Estoura o acesso",IF(AND(ISNUMBER($H20),$Q20&gt;$H20),"▲ Atrasado vs plano","● No prazo")),IF($Q20="Concluído","◆ Concluído","—")))</f>
        <v/>
      </c>
      <c r="S20" s="81"/>
      <c r="T20" s="81"/>
      <c r="U20" s="81"/>
      <c r="V20" s="13"/>
      <c r="W20" s="13"/>
      <c r="X20" s="13"/>
      <c r="Y20" s="11"/>
    </row>
    <row r="21" customFormat="false" ht="21.75" hidden="false" customHeight="true" outlineLevel="0" collapsed="false">
      <c r="A21" s="58" t="str">
        <f aca="false">IF($B21="","","IA-"&amp;TEXT(ROW()-9,"00"))</f>
        <v/>
      </c>
      <c r="B21" s="13"/>
      <c r="C21" s="13"/>
      <c r="D21" s="13"/>
      <c r="E21" s="52"/>
      <c r="F21" s="37"/>
      <c r="G21" s="52"/>
      <c r="H21" s="52"/>
      <c r="I21" s="52"/>
      <c r="J21" s="100" t="str">
        <f aca="true">IF(OR($B21="",$I21=""),"",$I21-TODAY())</f>
        <v/>
      </c>
      <c r="K21" s="101" t="str">
        <f aca="false">IF($B21="","",IF($I21="","∞ Vitalício",IF($J21&lt;0,"■ Vencido",IF($J21&lt;=Listas!$H$6,"▲ A vencer","● Ativo"))))</f>
        <v/>
      </c>
      <c r="L21" s="102"/>
      <c r="M21" s="102"/>
      <c r="N21" s="43" t="str">
        <f aca="false">IF($B21="","",IF(N($L21)=0,0,MIN(1,N($M21)/$L21)))</f>
        <v/>
      </c>
      <c r="O21" s="63" t="str">
        <f aca="false">IF($B21="","",SUMIFS('Diário de Estudo'!$D$7:$D$506,'Diário de Estudo'!$C$7:$C$506,$B21))</f>
        <v/>
      </c>
      <c r="P21" s="103" t="str">
        <f aca="false">IF($B21="","",IF(AND(N($O21)&gt;0,N($F21)&gt;0),$F21/$O21,""))</f>
        <v/>
      </c>
      <c r="Q21" s="60" t="str">
        <f aca="true">IF($B21="","",IF(OR(N($L21)=0,$G21=""),"",IF(N($M21)&gt;=$L21,"Concluído",IF(OR(N($M21)&lt;=0,TODAY()&lt;=$G21),"Sem ritmo",TODAY()+ROUNDUP(($L21-$M21)/($M21/(TODAY()-$G21)),0)))))</f>
        <v/>
      </c>
      <c r="R21" s="101" t="str">
        <f aca="false">IF($B21="","",IF(ISNUMBER($Q21),IF(AND(ISNUMBER($I21),$Q21&gt;$I21),"■ Estoura o acesso",IF(AND(ISNUMBER($H21),$Q21&gt;$H21),"▲ Atrasado vs plano","● No prazo")),IF($Q21="Concluído","◆ Concluído","—")))</f>
        <v/>
      </c>
      <c r="S21" s="81"/>
      <c r="T21" s="81"/>
      <c r="U21" s="81"/>
      <c r="V21" s="13"/>
      <c r="W21" s="13"/>
      <c r="X21" s="13"/>
      <c r="Y21" s="11"/>
    </row>
    <row r="22" customFormat="false" ht="21.75" hidden="false" customHeight="true" outlineLevel="0" collapsed="false">
      <c r="A22" s="58" t="str">
        <f aca="false">IF($B22="","","IA-"&amp;TEXT(ROW()-9,"00"))</f>
        <v/>
      </c>
      <c r="B22" s="13"/>
      <c r="C22" s="13"/>
      <c r="D22" s="13"/>
      <c r="E22" s="52"/>
      <c r="F22" s="37"/>
      <c r="G22" s="52"/>
      <c r="H22" s="52"/>
      <c r="I22" s="52"/>
      <c r="J22" s="100" t="str">
        <f aca="true">IF(OR($B22="",$I22=""),"",$I22-TODAY())</f>
        <v/>
      </c>
      <c r="K22" s="101" t="str">
        <f aca="false">IF($B22="","",IF($I22="","∞ Vitalício",IF($J22&lt;0,"■ Vencido",IF($J22&lt;=Listas!$H$6,"▲ A vencer","● Ativo"))))</f>
        <v/>
      </c>
      <c r="L22" s="102"/>
      <c r="M22" s="102"/>
      <c r="N22" s="43" t="str">
        <f aca="false">IF($B22="","",IF(N($L22)=0,0,MIN(1,N($M22)/$L22)))</f>
        <v/>
      </c>
      <c r="O22" s="63" t="str">
        <f aca="false">IF($B22="","",SUMIFS('Diário de Estudo'!$D$7:$D$506,'Diário de Estudo'!$C$7:$C$506,$B22))</f>
        <v/>
      </c>
      <c r="P22" s="103" t="str">
        <f aca="false">IF($B22="","",IF(AND(N($O22)&gt;0,N($F22)&gt;0),$F22/$O22,""))</f>
        <v/>
      </c>
      <c r="Q22" s="60" t="str">
        <f aca="true">IF($B22="","",IF(OR(N($L22)=0,$G22=""),"",IF(N($M22)&gt;=$L22,"Concluído",IF(OR(N($M22)&lt;=0,TODAY()&lt;=$G22),"Sem ritmo",TODAY()+ROUNDUP(($L22-$M22)/($M22/(TODAY()-$G22)),0)))))</f>
        <v/>
      </c>
      <c r="R22" s="101" t="str">
        <f aca="false">IF($B22="","",IF(ISNUMBER($Q22),IF(AND(ISNUMBER($I22),$Q22&gt;$I22),"■ Estoura o acesso",IF(AND(ISNUMBER($H22),$Q22&gt;$H22),"▲ Atrasado vs plano","● No prazo")),IF($Q22="Concluído","◆ Concluído","—")))</f>
        <v/>
      </c>
      <c r="S22" s="81"/>
      <c r="T22" s="81"/>
      <c r="U22" s="81"/>
      <c r="V22" s="13"/>
      <c r="W22" s="13"/>
      <c r="X22" s="13"/>
      <c r="Y22" s="11"/>
    </row>
    <row r="23" customFormat="false" ht="21.75" hidden="false" customHeight="true" outlineLevel="0" collapsed="false">
      <c r="A23" s="58" t="str">
        <f aca="false">IF($B23="","","IA-"&amp;TEXT(ROW()-9,"00"))</f>
        <v/>
      </c>
      <c r="B23" s="13"/>
      <c r="C23" s="13"/>
      <c r="D23" s="13"/>
      <c r="E23" s="52"/>
      <c r="F23" s="37"/>
      <c r="G23" s="52"/>
      <c r="H23" s="52"/>
      <c r="I23" s="52"/>
      <c r="J23" s="100" t="str">
        <f aca="true">IF(OR($B23="",$I23=""),"",$I23-TODAY())</f>
        <v/>
      </c>
      <c r="K23" s="101" t="str">
        <f aca="false">IF($B23="","",IF($I23="","∞ Vitalício",IF($J23&lt;0,"■ Vencido",IF($J23&lt;=Listas!$H$6,"▲ A vencer","● Ativo"))))</f>
        <v/>
      </c>
      <c r="L23" s="102"/>
      <c r="M23" s="102"/>
      <c r="N23" s="43" t="str">
        <f aca="false">IF($B23="","",IF(N($L23)=0,0,MIN(1,N($M23)/$L23)))</f>
        <v/>
      </c>
      <c r="O23" s="63" t="str">
        <f aca="false">IF($B23="","",SUMIFS('Diário de Estudo'!$D$7:$D$506,'Diário de Estudo'!$C$7:$C$506,$B23))</f>
        <v/>
      </c>
      <c r="P23" s="103" t="str">
        <f aca="false">IF($B23="","",IF(AND(N($O23)&gt;0,N($F23)&gt;0),$F23/$O23,""))</f>
        <v/>
      </c>
      <c r="Q23" s="60" t="str">
        <f aca="true">IF($B23="","",IF(OR(N($L23)=0,$G23=""),"",IF(N($M23)&gt;=$L23,"Concluído",IF(OR(N($M23)&lt;=0,TODAY()&lt;=$G23),"Sem ritmo",TODAY()+ROUNDUP(($L23-$M23)/($M23/(TODAY()-$G23)),0)))))</f>
        <v/>
      </c>
      <c r="R23" s="101" t="str">
        <f aca="false">IF($B23="","",IF(ISNUMBER($Q23),IF(AND(ISNUMBER($I23),$Q23&gt;$I23),"■ Estoura o acesso",IF(AND(ISNUMBER($H23),$Q23&gt;$H23),"▲ Atrasado vs plano","● No prazo")),IF($Q23="Concluído","◆ Concluído","—")))</f>
        <v/>
      </c>
      <c r="S23" s="81"/>
      <c r="T23" s="81"/>
      <c r="U23" s="81"/>
      <c r="V23" s="13"/>
      <c r="W23" s="13"/>
      <c r="X23" s="13"/>
      <c r="Y23" s="11"/>
    </row>
    <row r="24" customFormat="false" ht="21.75" hidden="false" customHeight="true" outlineLevel="0" collapsed="false">
      <c r="A24" s="58" t="str">
        <f aca="false">IF($B24="","","IA-"&amp;TEXT(ROW()-9,"00"))</f>
        <v/>
      </c>
      <c r="B24" s="13"/>
      <c r="C24" s="13"/>
      <c r="D24" s="13"/>
      <c r="E24" s="52"/>
      <c r="F24" s="37"/>
      <c r="G24" s="52"/>
      <c r="H24" s="52"/>
      <c r="I24" s="52"/>
      <c r="J24" s="100" t="str">
        <f aca="true">IF(OR($B24="",$I24=""),"",$I24-TODAY())</f>
        <v/>
      </c>
      <c r="K24" s="101" t="str">
        <f aca="false">IF($B24="","",IF($I24="","∞ Vitalício",IF($J24&lt;0,"■ Vencido",IF($J24&lt;=Listas!$H$6,"▲ A vencer","● Ativo"))))</f>
        <v/>
      </c>
      <c r="L24" s="102"/>
      <c r="M24" s="102"/>
      <c r="N24" s="43" t="str">
        <f aca="false">IF($B24="","",IF(N($L24)=0,0,MIN(1,N($M24)/$L24)))</f>
        <v/>
      </c>
      <c r="O24" s="63" t="str">
        <f aca="false">IF($B24="","",SUMIFS('Diário de Estudo'!$D$7:$D$506,'Diário de Estudo'!$C$7:$C$506,$B24))</f>
        <v/>
      </c>
      <c r="P24" s="103" t="str">
        <f aca="false">IF($B24="","",IF(AND(N($O24)&gt;0,N($F24)&gt;0),$F24/$O24,""))</f>
        <v/>
      </c>
      <c r="Q24" s="60" t="str">
        <f aca="true">IF($B24="","",IF(OR(N($L24)=0,$G24=""),"",IF(N($M24)&gt;=$L24,"Concluído",IF(OR(N($M24)&lt;=0,TODAY()&lt;=$G24),"Sem ritmo",TODAY()+ROUNDUP(($L24-$M24)/($M24/(TODAY()-$G24)),0)))))</f>
        <v/>
      </c>
      <c r="R24" s="101" t="str">
        <f aca="false">IF($B24="","",IF(ISNUMBER($Q24),IF(AND(ISNUMBER($I24),$Q24&gt;$I24),"■ Estoura o acesso",IF(AND(ISNUMBER($H24),$Q24&gt;$H24),"▲ Atrasado vs plano","● No prazo")),IF($Q24="Concluído","◆ Concluído","—")))</f>
        <v/>
      </c>
      <c r="S24" s="81"/>
      <c r="T24" s="81"/>
      <c r="U24" s="81"/>
      <c r="V24" s="13"/>
      <c r="W24" s="13"/>
      <c r="X24" s="13"/>
      <c r="Y24" s="11"/>
    </row>
    <row r="25" customFormat="false" ht="21.75" hidden="false" customHeight="true" outlineLevel="0" collapsed="false">
      <c r="A25" s="58" t="str">
        <f aca="false">IF($B25="","","IA-"&amp;TEXT(ROW()-9,"00"))</f>
        <v/>
      </c>
      <c r="B25" s="13"/>
      <c r="C25" s="13"/>
      <c r="D25" s="13"/>
      <c r="E25" s="52"/>
      <c r="F25" s="37"/>
      <c r="G25" s="52"/>
      <c r="H25" s="52"/>
      <c r="I25" s="52"/>
      <c r="J25" s="100" t="str">
        <f aca="true">IF(OR($B25="",$I25=""),"",$I25-TODAY())</f>
        <v/>
      </c>
      <c r="K25" s="101" t="str">
        <f aca="false">IF($B25="","",IF($I25="","∞ Vitalício",IF($J25&lt;0,"■ Vencido",IF($J25&lt;=Listas!$H$6,"▲ A vencer","● Ativo"))))</f>
        <v/>
      </c>
      <c r="L25" s="102"/>
      <c r="M25" s="102"/>
      <c r="N25" s="43" t="str">
        <f aca="false">IF($B25="","",IF(N($L25)=0,0,MIN(1,N($M25)/$L25)))</f>
        <v/>
      </c>
      <c r="O25" s="63" t="str">
        <f aca="false">IF($B25="","",SUMIFS('Diário de Estudo'!$D$7:$D$506,'Diário de Estudo'!$C$7:$C$506,$B25))</f>
        <v/>
      </c>
      <c r="P25" s="103" t="str">
        <f aca="false">IF($B25="","",IF(AND(N($O25)&gt;0,N($F25)&gt;0),$F25/$O25,""))</f>
        <v/>
      </c>
      <c r="Q25" s="60" t="str">
        <f aca="true">IF($B25="","",IF(OR(N($L25)=0,$G25=""),"",IF(N($M25)&gt;=$L25,"Concluído",IF(OR(N($M25)&lt;=0,TODAY()&lt;=$G25),"Sem ritmo",TODAY()+ROUNDUP(($L25-$M25)/($M25/(TODAY()-$G25)),0)))))</f>
        <v/>
      </c>
      <c r="R25" s="101" t="str">
        <f aca="false">IF($B25="","",IF(ISNUMBER($Q25),IF(AND(ISNUMBER($I25),$Q25&gt;$I25),"■ Estoura o acesso",IF(AND(ISNUMBER($H25),$Q25&gt;$H25),"▲ Atrasado vs plano","● No prazo")),IF($Q25="Concluído","◆ Concluído","—")))</f>
        <v/>
      </c>
      <c r="S25" s="81"/>
      <c r="T25" s="81"/>
      <c r="U25" s="81"/>
      <c r="V25" s="13"/>
      <c r="W25" s="13"/>
      <c r="X25" s="13"/>
      <c r="Y25" s="11"/>
    </row>
    <row r="26" customFormat="false" ht="21.75" hidden="false" customHeight="true" outlineLevel="0" collapsed="false">
      <c r="A26" s="58" t="str">
        <f aca="false">IF($B26="","","IA-"&amp;TEXT(ROW()-9,"00"))</f>
        <v/>
      </c>
      <c r="B26" s="13"/>
      <c r="C26" s="13"/>
      <c r="D26" s="13"/>
      <c r="E26" s="52"/>
      <c r="F26" s="37"/>
      <c r="G26" s="52"/>
      <c r="H26" s="52"/>
      <c r="I26" s="52"/>
      <c r="J26" s="100" t="str">
        <f aca="true">IF(OR($B26="",$I26=""),"",$I26-TODAY())</f>
        <v/>
      </c>
      <c r="K26" s="101" t="str">
        <f aca="false">IF($B26="","",IF($I26="","∞ Vitalício",IF($J26&lt;0,"■ Vencido",IF($J26&lt;=Listas!$H$6,"▲ A vencer","● Ativo"))))</f>
        <v/>
      </c>
      <c r="L26" s="102"/>
      <c r="M26" s="102"/>
      <c r="N26" s="43" t="str">
        <f aca="false">IF($B26="","",IF(N($L26)=0,0,MIN(1,N($M26)/$L26)))</f>
        <v/>
      </c>
      <c r="O26" s="63" t="str">
        <f aca="false">IF($B26="","",SUMIFS('Diário de Estudo'!$D$7:$D$506,'Diário de Estudo'!$C$7:$C$506,$B26))</f>
        <v/>
      </c>
      <c r="P26" s="103" t="str">
        <f aca="false">IF($B26="","",IF(AND(N($O26)&gt;0,N($F26)&gt;0),$F26/$O26,""))</f>
        <v/>
      </c>
      <c r="Q26" s="60" t="str">
        <f aca="true">IF($B26="","",IF(OR(N($L26)=0,$G26=""),"",IF(N($M26)&gt;=$L26,"Concluído",IF(OR(N($M26)&lt;=0,TODAY()&lt;=$G26),"Sem ritmo",TODAY()+ROUNDUP(($L26-$M26)/($M26/(TODAY()-$G26)),0)))))</f>
        <v/>
      </c>
      <c r="R26" s="101" t="str">
        <f aca="false">IF($B26="","",IF(ISNUMBER($Q26),IF(AND(ISNUMBER($I26),$Q26&gt;$I26),"■ Estoura o acesso",IF(AND(ISNUMBER($H26),$Q26&gt;$H26),"▲ Atrasado vs plano","● No prazo")),IF($Q26="Concluído","◆ Concluído","—")))</f>
        <v/>
      </c>
      <c r="S26" s="81"/>
      <c r="T26" s="81"/>
      <c r="U26" s="81"/>
      <c r="V26" s="13"/>
      <c r="W26" s="13"/>
      <c r="X26" s="13"/>
      <c r="Y26" s="11"/>
    </row>
    <row r="27" customFormat="false" ht="21.75" hidden="false" customHeight="true" outlineLevel="0" collapsed="false">
      <c r="A27" s="58" t="str">
        <f aca="false">IF($B27="","","IA-"&amp;TEXT(ROW()-9,"00"))</f>
        <v/>
      </c>
      <c r="B27" s="13"/>
      <c r="C27" s="13"/>
      <c r="D27" s="13"/>
      <c r="E27" s="52"/>
      <c r="F27" s="37"/>
      <c r="G27" s="52"/>
      <c r="H27" s="52"/>
      <c r="I27" s="52"/>
      <c r="J27" s="100" t="str">
        <f aca="true">IF(OR($B27="",$I27=""),"",$I27-TODAY())</f>
        <v/>
      </c>
      <c r="K27" s="101" t="str">
        <f aca="false">IF($B27="","",IF($I27="","∞ Vitalício",IF($J27&lt;0,"■ Vencido",IF($J27&lt;=Listas!$H$6,"▲ A vencer","● Ativo"))))</f>
        <v/>
      </c>
      <c r="L27" s="102"/>
      <c r="M27" s="102"/>
      <c r="N27" s="43" t="str">
        <f aca="false">IF($B27="","",IF(N($L27)=0,0,MIN(1,N($M27)/$L27)))</f>
        <v/>
      </c>
      <c r="O27" s="63" t="str">
        <f aca="false">IF($B27="","",SUMIFS('Diário de Estudo'!$D$7:$D$506,'Diário de Estudo'!$C$7:$C$506,$B27))</f>
        <v/>
      </c>
      <c r="P27" s="103" t="str">
        <f aca="false">IF($B27="","",IF(AND(N($O27)&gt;0,N($F27)&gt;0),$F27/$O27,""))</f>
        <v/>
      </c>
      <c r="Q27" s="60" t="str">
        <f aca="true">IF($B27="","",IF(OR(N($L27)=0,$G27=""),"",IF(N($M27)&gt;=$L27,"Concluído",IF(OR(N($M27)&lt;=0,TODAY()&lt;=$G27),"Sem ritmo",TODAY()+ROUNDUP(($L27-$M27)/($M27/(TODAY()-$G27)),0)))))</f>
        <v/>
      </c>
      <c r="R27" s="101" t="str">
        <f aca="false">IF($B27="","",IF(ISNUMBER($Q27),IF(AND(ISNUMBER($I27),$Q27&gt;$I27),"■ Estoura o acesso",IF(AND(ISNUMBER($H27),$Q27&gt;$H27),"▲ Atrasado vs plano","● No prazo")),IF($Q27="Concluído","◆ Concluído","—")))</f>
        <v/>
      </c>
      <c r="S27" s="81"/>
      <c r="T27" s="81"/>
      <c r="U27" s="81"/>
      <c r="V27" s="13"/>
      <c r="W27" s="13"/>
      <c r="X27" s="13"/>
      <c r="Y27" s="11"/>
    </row>
    <row r="28" customFormat="false" ht="21.75" hidden="false" customHeight="true" outlineLevel="0" collapsed="false">
      <c r="A28" s="58" t="str">
        <f aca="false">IF($B28="","","IA-"&amp;TEXT(ROW()-9,"00"))</f>
        <v/>
      </c>
      <c r="B28" s="13"/>
      <c r="C28" s="13"/>
      <c r="D28" s="13"/>
      <c r="E28" s="52"/>
      <c r="F28" s="37"/>
      <c r="G28" s="52"/>
      <c r="H28" s="52"/>
      <c r="I28" s="52"/>
      <c r="J28" s="100" t="str">
        <f aca="true">IF(OR($B28="",$I28=""),"",$I28-TODAY())</f>
        <v/>
      </c>
      <c r="K28" s="101" t="str">
        <f aca="false">IF($B28="","",IF($I28="","∞ Vitalício",IF($J28&lt;0,"■ Vencido",IF($J28&lt;=Listas!$H$6,"▲ A vencer","● Ativo"))))</f>
        <v/>
      </c>
      <c r="L28" s="102"/>
      <c r="M28" s="102"/>
      <c r="N28" s="43" t="str">
        <f aca="false">IF($B28="","",IF(N($L28)=0,0,MIN(1,N($M28)/$L28)))</f>
        <v/>
      </c>
      <c r="O28" s="63" t="str">
        <f aca="false">IF($B28="","",SUMIFS('Diário de Estudo'!$D$7:$D$506,'Diário de Estudo'!$C$7:$C$506,$B28))</f>
        <v/>
      </c>
      <c r="P28" s="103" t="str">
        <f aca="false">IF($B28="","",IF(AND(N($O28)&gt;0,N($F28)&gt;0),$F28/$O28,""))</f>
        <v/>
      </c>
      <c r="Q28" s="60" t="str">
        <f aca="true">IF($B28="","",IF(OR(N($L28)=0,$G28=""),"",IF(N($M28)&gt;=$L28,"Concluído",IF(OR(N($M28)&lt;=0,TODAY()&lt;=$G28),"Sem ritmo",TODAY()+ROUNDUP(($L28-$M28)/($M28/(TODAY()-$G28)),0)))))</f>
        <v/>
      </c>
      <c r="R28" s="101" t="str">
        <f aca="false">IF($B28="","",IF(ISNUMBER($Q28),IF(AND(ISNUMBER($I28),$Q28&gt;$I28),"■ Estoura o acesso",IF(AND(ISNUMBER($H28),$Q28&gt;$H28),"▲ Atrasado vs plano","● No prazo")),IF($Q28="Concluído","◆ Concluído","—")))</f>
        <v/>
      </c>
      <c r="S28" s="81"/>
      <c r="T28" s="81"/>
      <c r="U28" s="81"/>
      <c r="V28" s="13"/>
      <c r="W28" s="13"/>
      <c r="X28" s="13"/>
      <c r="Y28" s="11"/>
    </row>
    <row r="29" customFormat="false" ht="21.75" hidden="false" customHeight="true" outlineLevel="0" collapsed="false">
      <c r="A29" s="58" t="str">
        <f aca="false">IF($B29="","","IA-"&amp;TEXT(ROW()-9,"00"))</f>
        <v/>
      </c>
      <c r="B29" s="13"/>
      <c r="C29" s="13"/>
      <c r="D29" s="13"/>
      <c r="E29" s="52"/>
      <c r="F29" s="37"/>
      <c r="G29" s="52"/>
      <c r="H29" s="52"/>
      <c r="I29" s="52"/>
      <c r="J29" s="100" t="str">
        <f aca="true">IF(OR($B29="",$I29=""),"",$I29-TODAY())</f>
        <v/>
      </c>
      <c r="K29" s="101" t="str">
        <f aca="false">IF($B29="","",IF($I29="","∞ Vitalício",IF($J29&lt;0,"■ Vencido",IF($J29&lt;=Listas!$H$6,"▲ A vencer","● Ativo"))))</f>
        <v/>
      </c>
      <c r="L29" s="102"/>
      <c r="M29" s="102"/>
      <c r="N29" s="43" t="str">
        <f aca="false">IF($B29="","",IF(N($L29)=0,0,MIN(1,N($M29)/$L29)))</f>
        <v/>
      </c>
      <c r="O29" s="63" t="str">
        <f aca="false">IF($B29="","",SUMIFS('Diário de Estudo'!$D$7:$D$506,'Diário de Estudo'!$C$7:$C$506,$B29))</f>
        <v/>
      </c>
      <c r="P29" s="103" t="str">
        <f aca="false">IF($B29="","",IF(AND(N($O29)&gt;0,N($F29)&gt;0),$F29/$O29,""))</f>
        <v/>
      </c>
      <c r="Q29" s="60" t="str">
        <f aca="true">IF($B29="","",IF(OR(N($L29)=0,$G29=""),"",IF(N($M29)&gt;=$L29,"Concluído",IF(OR(N($M29)&lt;=0,TODAY()&lt;=$G29),"Sem ritmo",TODAY()+ROUNDUP(($L29-$M29)/($M29/(TODAY()-$G29)),0)))))</f>
        <v/>
      </c>
      <c r="R29" s="101" t="str">
        <f aca="false">IF($B29="","",IF(ISNUMBER($Q29),IF(AND(ISNUMBER($I29),$Q29&gt;$I29),"■ Estoura o acesso",IF(AND(ISNUMBER($H29),$Q29&gt;$H29),"▲ Atrasado vs plano","● No prazo")),IF($Q29="Concluído","◆ Concluído","—")))</f>
        <v/>
      </c>
      <c r="S29" s="81"/>
      <c r="T29" s="81"/>
      <c r="U29" s="81"/>
      <c r="V29" s="13"/>
      <c r="W29" s="13"/>
      <c r="X29" s="13"/>
      <c r="Y29" s="11"/>
    </row>
    <row r="30" customFormat="false" ht="21.75" hidden="false" customHeight="true" outlineLevel="0" collapsed="false">
      <c r="A30" s="58" t="str">
        <f aca="false">IF($B30="","","IA-"&amp;TEXT(ROW()-9,"00"))</f>
        <v/>
      </c>
      <c r="B30" s="13"/>
      <c r="C30" s="13"/>
      <c r="D30" s="13"/>
      <c r="E30" s="52"/>
      <c r="F30" s="37"/>
      <c r="G30" s="52"/>
      <c r="H30" s="52"/>
      <c r="I30" s="52"/>
      <c r="J30" s="100" t="str">
        <f aca="true">IF(OR($B30="",$I30=""),"",$I30-TODAY())</f>
        <v/>
      </c>
      <c r="K30" s="101" t="str">
        <f aca="false">IF($B30="","",IF($I30="","∞ Vitalício",IF($J30&lt;0,"■ Vencido",IF($J30&lt;=Listas!$H$6,"▲ A vencer","● Ativo"))))</f>
        <v/>
      </c>
      <c r="L30" s="102"/>
      <c r="M30" s="102"/>
      <c r="N30" s="43" t="str">
        <f aca="false">IF($B30="","",IF(N($L30)=0,0,MIN(1,N($M30)/$L30)))</f>
        <v/>
      </c>
      <c r="O30" s="63" t="str">
        <f aca="false">IF($B30="","",SUMIFS('Diário de Estudo'!$D$7:$D$506,'Diário de Estudo'!$C$7:$C$506,$B30))</f>
        <v/>
      </c>
      <c r="P30" s="103" t="str">
        <f aca="false">IF($B30="","",IF(AND(N($O30)&gt;0,N($F30)&gt;0),$F30/$O30,""))</f>
        <v/>
      </c>
      <c r="Q30" s="60" t="str">
        <f aca="true">IF($B30="","",IF(OR(N($L30)=0,$G30=""),"",IF(N($M30)&gt;=$L30,"Concluído",IF(OR(N($M30)&lt;=0,TODAY()&lt;=$G30),"Sem ritmo",TODAY()+ROUNDUP(($L30-$M30)/($M30/(TODAY()-$G30)),0)))))</f>
        <v/>
      </c>
      <c r="R30" s="101" t="str">
        <f aca="false">IF($B30="","",IF(ISNUMBER($Q30),IF(AND(ISNUMBER($I30),$Q30&gt;$I30),"■ Estoura o acesso",IF(AND(ISNUMBER($H30),$Q30&gt;$H30),"▲ Atrasado vs plano","● No prazo")),IF($Q30="Concluído","◆ Concluído","—")))</f>
        <v/>
      </c>
      <c r="S30" s="81"/>
      <c r="T30" s="81"/>
      <c r="U30" s="81"/>
      <c r="V30" s="13"/>
      <c r="W30" s="13"/>
      <c r="X30" s="13"/>
      <c r="Y30" s="11"/>
    </row>
    <row r="31" customFormat="false" ht="21.75" hidden="false" customHeight="true" outlineLevel="0" collapsed="false">
      <c r="A31" s="58" t="str">
        <f aca="false">IF($B31="","","IA-"&amp;TEXT(ROW()-9,"00"))</f>
        <v/>
      </c>
      <c r="B31" s="13"/>
      <c r="C31" s="13"/>
      <c r="D31" s="13"/>
      <c r="E31" s="52"/>
      <c r="F31" s="37"/>
      <c r="G31" s="52"/>
      <c r="H31" s="52"/>
      <c r="I31" s="52"/>
      <c r="J31" s="100" t="str">
        <f aca="true">IF(OR($B31="",$I31=""),"",$I31-TODAY())</f>
        <v/>
      </c>
      <c r="K31" s="101" t="str">
        <f aca="false">IF($B31="","",IF($I31="","∞ Vitalício",IF($J31&lt;0,"■ Vencido",IF($J31&lt;=Listas!$H$6,"▲ A vencer","● Ativo"))))</f>
        <v/>
      </c>
      <c r="L31" s="102"/>
      <c r="M31" s="102"/>
      <c r="N31" s="43" t="str">
        <f aca="false">IF($B31="","",IF(N($L31)=0,0,MIN(1,N($M31)/$L31)))</f>
        <v/>
      </c>
      <c r="O31" s="63" t="str">
        <f aca="false">IF($B31="","",SUMIFS('Diário de Estudo'!$D$7:$D$506,'Diário de Estudo'!$C$7:$C$506,$B31))</f>
        <v/>
      </c>
      <c r="P31" s="103" t="str">
        <f aca="false">IF($B31="","",IF(AND(N($O31)&gt;0,N($F31)&gt;0),$F31/$O31,""))</f>
        <v/>
      </c>
      <c r="Q31" s="60" t="str">
        <f aca="true">IF($B31="","",IF(OR(N($L31)=0,$G31=""),"",IF(N($M31)&gt;=$L31,"Concluído",IF(OR(N($M31)&lt;=0,TODAY()&lt;=$G31),"Sem ritmo",TODAY()+ROUNDUP(($L31-$M31)/($M31/(TODAY()-$G31)),0)))))</f>
        <v/>
      </c>
      <c r="R31" s="101" t="str">
        <f aca="false">IF($B31="","",IF(ISNUMBER($Q31),IF(AND(ISNUMBER($I31),$Q31&gt;$I31),"■ Estoura o acesso",IF(AND(ISNUMBER($H31),$Q31&gt;$H31),"▲ Atrasado vs plano","● No prazo")),IF($Q31="Concluído","◆ Concluído","—")))</f>
        <v/>
      </c>
      <c r="S31" s="81"/>
      <c r="T31" s="81"/>
      <c r="U31" s="81"/>
      <c r="V31" s="13"/>
      <c r="W31" s="13"/>
      <c r="X31" s="13"/>
      <c r="Y31" s="11"/>
    </row>
    <row r="32" customFormat="false" ht="21.75" hidden="false" customHeight="true" outlineLevel="0" collapsed="false">
      <c r="A32" s="58" t="str">
        <f aca="false">IF($B32="","","IA-"&amp;TEXT(ROW()-9,"00"))</f>
        <v/>
      </c>
      <c r="B32" s="13"/>
      <c r="C32" s="13"/>
      <c r="D32" s="13"/>
      <c r="E32" s="52"/>
      <c r="F32" s="37"/>
      <c r="G32" s="52"/>
      <c r="H32" s="52"/>
      <c r="I32" s="52"/>
      <c r="J32" s="100" t="str">
        <f aca="true">IF(OR($B32="",$I32=""),"",$I32-TODAY())</f>
        <v/>
      </c>
      <c r="K32" s="101" t="str">
        <f aca="false">IF($B32="","",IF($I32="","∞ Vitalício",IF($J32&lt;0,"■ Vencido",IF($J32&lt;=Listas!$H$6,"▲ A vencer","● Ativo"))))</f>
        <v/>
      </c>
      <c r="L32" s="102"/>
      <c r="M32" s="102"/>
      <c r="N32" s="43" t="str">
        <f aca="false">IF($B32="","",IF(N($L32)=0,0,MIN(1,N($M32)/$L32)))</f>
        <v/>
      </c>
      <c r="O32" s="63" t="str">
        <f aca="false">IF($B32="","",SUMIFS('Diário de Estudo'!$D$7:$D$506,'Diário de Estudo'!$C$7:$C$506,$B32))</f>
        <v/>
      </c>
      <c r="P32" s="103" t="str">
        <f aca="false">IF($B32="","",IF(AND(N($O32)&gt;0,N($F32)&gt;0),$F32/$O32,""))</f>
        <v/>
      </c>
      <c r="Q32" s="60" t="str">
        <f aca="true">IF($B32="","",IF(OR(N($L32)=0,$G32=""),"",IF(N($M32)&gt;=$L32,"Concluído",IF(OR(N($M32)&lt;=0,TODAY()&lt;=$G32),"Sem ritmo",TODAY()+ROUNDUP(($L32-$M32)/($M32/(TODAY()-$G32)),0)))))</f>
        <v/>
      </c>
      <c r="R32" s="101" t="str">
        <f aca="false">IF($B32="","",IF(ISNUMBER($Q32),IF(AND(ISNUMBER($I32),$Q32&gt;$I32),"■ Estoura o acesso",IF(AND(ISNUMBER($H32),$Q32&gt;$H32),"▲ Atrasado vs plano","● No prazo")),IF($Q32="Concluído","◆ Concluído","—")))</f>
        <v/>
      </c>
      <c r="S32" s="81"/>
      <c r="T32" s="81"/>
      <c r="U32" s="81"/>
      <c r="V32" s="13"/>
      <c r="W32" s="13"/>
      <c r="X32" s="13"/>
      <c r="Y32" s="11"/>
    </row>
    <row r="33" customFormat="false" ht="21.75" hidden="false" customHeight="true" outlineLevel="0" collapsed="false">
      <c r="A33" s="58" t="str">
        <f aca="false">IF($B33="","","IA-"&amp;TEXT(ROW()-9,"00"))</f>
        <v/>
      </c>
      <c r="B33" s="13"/>
      <c r="C33" s="13"/>
      <c r="D33" s="13"/>
      <c r="E33" s="52"/>
      <c r="F33" s="37"/>
      <c r="G33" s="52"/>
      <c r="H33" s="52"/>
      <c r="I33" s="52"/>
      <c r="J33" s="100" t="str">
        <f aca="true">IF(OR($B33="",$I33=""),"",$I33-TODAY())</f>
        <v/>
      </c>
      <c r="K33" s="101" t="str">
        <f aca="false">IF($B33="","",IF($I33="","∞ Vitalício",IF($J33&lt;0,"■ Vencido",IF($J33&lt;=Listas!$H$6,"▲ A vencer","● Ativo"))))</f>
        <v/>
      </c>
      <c r="L33" s="102"/>
      <c r="M33" s="102"/>
      <c r="N33" s="43" t="str">
        <f aca="false">IF($B33="","",IF(N($L33)=0,0,MIN(1,N($M33)/$L33)))</f>
        <v/>
      </c>
      <c r="O33" s="63" t="str">
        <f aca="false">IF($B33="","",SUMIFS('Diário de Estudo'!$D$7:$D$506,'Diário de Estudo'!$C$7:$C$506,$B33))</f>
        <v/>
      </c>
      <c r="P33" s="103" t="str">
        <f aca="false">IF($B33="","",IF(AND(N($O33)&gt;0,N($F33)&gt;0),$F33/$O33,""))</f>
        <v/>
      </c>
      <c r="Q33" s="60" t="str">
        <f aca="true">IF($B33="","",IF(OR(N($L33)=0,$G33=""),"",IF(N($M33)&gt;=$L33,"Concluído",IF(OR(N($M33)&lt;=0,TODAY()&lt;=$G33),"Sem ritmo",TODAY()+ROUNDUP(($L33-$M33)/($M33/(TODAY()-$G33)),0)))))</f>
        <v/>
      </c>
      <c r="R33" s="101" t="str">
        <f aca="false">IF($B33="","",IF(ISNUMBER($Q33),IF(AND(ISNUMBER($I33),$Q33&gt;$I33),"■ Estoura o acesso",IF(AND(ISNUMBER($H33),$Q33&gt;$H33),"▲ Atrasado vs plano","● No prazo")),IF($Q33="Concluído","◆ Concluído","—")))</f>
        <v/>
      </c>
      <c r="S33" s="81"/>
      <c r="T33" s="81"/>
      <c r="U33" s="81"/>
      <c r="V33" s="13"/>
      <c r="W33" s="13"/>
      <c r="X33" s="13"/>
      <c r="Y33" s="11"/>
    </row>
    <row r="34" customFormat="false" ht="21.75" hidden="false" customHeight="true" outlineLevel="0" collapsed="false">
      <c r="A34" s="58" t="str">
        <f aca="false">IF($B34="","","IA-"&amp;TEXT(ROW()-9,"00"))</f>
        <v/>
      </c>
      <c r="B34" s="13"/>
      <c r="C34" s="13"/>
      <c r="D34" s="13"/>
      <c r="E34" s="52"/>
      <c r="F34" s="37"/>
      <c r="G34" s="52"/>
      <c r="H34" s="52"/>
      <c r="I34" s="52"/>
      <c r="J34" s="100" t="str">
        <f aca="true">IF(OR($B34="",$I34=""),"",$I34-TODAY())</f>
        <v/>
      </c>
      <c r="K34" s="101" t="str">
        <f aca="false">IF($B34="","",IF($I34="","∞ Vitalício",IF($J34&lt;0,"■ Vencido",IF($J34&lt;=Listas!$H$6,"▲ A vencer","● Ativo"))))</f>
        <v/>
      </c>
      <c r="L34" s="102"/>
      <c r="M34" s="102"/>
      <c r="N34" s="43" t="str">
        <f aca="false">IF($B34="","",IF(N($L34)=0,0,MIN(1,N($M34)/$L34)))</f>
        <v/>
      </c>
      <c r="O34" s="63" t="str">
        <f aca="false">IF($B34="","",SUMIFS('Diário de Estudo'!$D$7:$D$506,'Diário de Estudo'!$C$7:$C$506,$B34))</f>
        <v/>
      </c>
      <c r="P34" s="103" t="str">
        <f aca="false">IF($B34="","",IF(AND(N($O34)&gt;0,N($F34)&gt;0),$F34/$O34,""))</f>
        <v/>
      </c>
      <c r="Q34" s="60" t="str">
        <f aca="true">IF($B34="","",IF(OR(N($L34)=0,$G34=""),"",IF(N($M34)&gt;=$L34,"Concluído",IF(OR(N($M34)&lt;=0,TODAY()&lt;=$G34),"Sem ritmo",TODAY()+ROUNDUP(($L34-$M34)/($M34/(TODAY()-$G34)),0)))))</f>
        <v/>
      </c>
      <c r="R34" s="101" t="str">
        <f aca="false">IF($B34="","",IF(ISNUMBER($Q34),IF(AND(ISNUMBER($I34),$Q34&gt;$I34),"■ Estoura o acesso",IF(AND(ISNUMBER($H34),$Q34&gt;$H34),"▲ Atrasado vs plano","● No prazo")),IF($Q34="Concluído","◆ Concluído","—")))</f>
        <v/>
      </c>
      <c r="S34" s="81"/>
      <c r="T34" s="81"/>
      <c r="U34" s="81"/>
      <c r="V34" s="13"/>
      <c r="W34" s="13"/>
      <c r="X34" s="13"/>
      <c r="Y34" s="11"/>
    </row>
    <row r="35" customFormat="false" ht="21.75" hidden="false" customHeight="true" outlineLevel="0" collapsed="false">
      <c r="A35" s="58" t="str">
        <f aca="false">IF($B35="","","IA-"&amp;TEXT(ROW()-9,"00"))</f>
        <v/>
      </c>
      <c r="B35" s="13"/>
      <c r="C35" s="13"/>
      <c r="D35" s="13"/>
      <c r="E35" s="52"/>
      <c r="F35" s="37"/>
      <c r="G35" s="52"/>
      <c r="H35" s="52"/>
      <c r="I35" s="52"/>
      <c r="J35" s="100" t="str">
        <f aca="true">IF(OR($B35="",$I35=""),"",$I35-TODAY())</f>
        <v/>
      </c>
      <c r="K35" s="101" t="str">
        <f aca="false">IF($B35="","",IF($I35="","∞ Vitalício",IF($J35&lt;0,"■ Vencido",IF($J35&lt;=Listas!$H$6,"▲ A vencer","● Ativo"))))</f>
        <v/>
      </c>
      <c r="L35" s="102"/>
      <c r="M35" s="102"/>
      <c r="N35" s="43" t="str">
        <f aca="false">IF($B35="","",IF(N($L35)=0,0,MIN(1,N($M35)/$L35)))</f>
        <v/>
      </c>
      <c r="O35" s="63" t="str">
        <f aca="false">IF($B35="","",SUMIFS('Diário de Estudo'!$D$7:$D$506,'Diário de Estudo'!$C$7:$C$506,$B35))</f>
        <v/>
      </c>
      <c r="P35" s="103" t="str">
        <f aca="false">IF($B35="","",IF(AND(N($O35)&gt;0,N($F35)&gt;0),$F35/$O35,""))</f>
        <v/>
      </c>
      <c r="Q35" s="60" t="str">
        <f aca="true">IF($B35="","",IF(OR(N($L35)=0,$G35=""),"",IF(N($M35)&gt;=$L35,"Concluído",IF(OR(N($M35)&lt;=0,TODAY()&lt;=$G35),"Sem ritmo",TODAY()+ROUNDUP(($L35-$M35)/($M35/(TODAY()-$G35)),0)))))</f>
        <v/>
      </c>
      <c r="R35" s="101" t="str">
        <f aca="false">IF($B35="","",IF(ISNUMBER($Q35),IF(AND(ISNUMBER($I35),$Q35&gt;$I35),"■ Estoura o acesso",IF(AND(ISNUMBER($H35),$Q35&gt;$H35),"▲ Atrasado vs plano","● No prazo")),IF($Q35="Concluído","◆ Concluído","—")))</f>
        <v/>
      </c>
      <c r="S35" s="81"/>
      <c r="T35" s="81"/>
      <c r="U35" s="81"/>
      <c r="V35" s="13"/>
      <c r="W35" s="13"/>
      <c r="X35" s="13"/>
      <c r="Y35" s="11"/>
    </row>
    <row r="36" customFormat="false" ht="21.75" hidden="false" customHeight="true" outlineLevel="0" collapsed="false">
      <c r="A36" s="58" t="str">
        <f aca="false">IF($B36="","","IA-"&amp;TEXT(ROW()-9,"00"))</f>
        <v/>
      </c>
      <c r="B36" s="13"/>
      <c r="C36" s="13"/>
      <c r="D36" s="13"/>
      <c r="E36" s="52"/>
      <c r="F36" s="37"/>
      <c r="G36" s="52"/>
      <c r="H36" s="52"/>
      <c r="I36" s="52"/>
      <c r="J36" s="100" t="str">
        <f aca="true">IF(OR($B36="",$I36=""),"",$I36-TODAY())</f>
        <v/>
      </c>
      <c r="K36" s="101" t="str">
        <f aca="false">IF($B36="","",IF($I36="","∞ Vitalício",IF($J36&lt;0,"■ Vencido",IF($J36&lt;=Listas!$H$6,"▲ A vencer","● Ativo"))))</f>
        <v/>
      </c>
      <c r="L36" s="102"/>
      <c r="M36" s="102"/>
      <c r="N36" s="43" t="str">
        <f aca="false">IF($B36="","",IF(N($L36)=0,0,MIN(1,N($M36)/$L36)))</f>
        <v/>
      </c>
      <c r="O36" s="63" t="str">
        <f aca="false">IF($B36="","",SUMIFS('Diário de Estudo'!$D$7:$D$506,'Diário de Estudo'!$C$7:$C$506,$B36))</f>
        <v/>
      </c>
      <c r="P36" s="103" t="str">
        <f aca="false">IF($B36="","",IF(AND(N($O36)&gt;0,N($F36)&gt;0),$F36/$O36,""))</f>
        <v/>
      </c>
      <c r="Q36" s="60" t="str">
        <f aca="true">IF($B36="","",IF(OR(N($L36)=0,$G36=""),"",IF(N($M36)&gt;=$L36,"Concluído",IF(OR(N($M36)&lt;=0,TODAY()&lt;=$G36),"Sem ritmo",TODAY()+ROUNDUP(($L36-$M36)/($M36/(TODAY()-$G36)),0)))))</f>
        <v/>
      </c>
      <c r="R36" s="101" t="str">
        <f aca="false">IF($B36="","",IF(ISNUMBER($Q36),IF(AND(ISNUMBER($I36),$Q36&gt;$I36),"■ Estoura o acesso",IF(AND(ISNUMBER($H36),$Q36&gt;$H36),"▲ Atrasado vs plano","● No prazo")),IF($Q36="Concluído","◆ Concluído","—")))</f>
        <v/>
      </c>
      <c r="S36" s="81"/>
      <c r="T36" s="81"/>
      <c r="U36" s="81"/>
      <c r="V36" s="13"/>
      <c r="W36" s="13"/>
      <c r="X36" s="13"/>
      <c r="Y36" s="11"/>
    </row>
    <row r="37" customFormat="false" ht="21.75" hidden="false" customHeight="true" outlineLevel="0" collapsed="false">
      <c r="A37" s="58" t="str">
        <f aca="false">IF($B37="","","IA-"&amp;TEXT(ROW()-9,"00"))</f>
        <v/>
      </c>
      <c r="B37" s="13"/>
      <c r="C37" s="13"/>
      <c r="D37" s="13"/>
      <c r="E37" s="52"/>
      <c r="F37" s="37"/>
      <c r="G37" s="52"/>
      <c r="H37" s="52"/>
      <c r="I37" s="52"/>
      <c r="J37" s="100" t="str">
        <f aca="true">IF(OR($B37="",$I37=""),"",$I37-TODAY())</f>
        <v/>
      </c>
      <c r="K37" s="101" t="str">
        <f aca="false">IF($B37="","",IF($I37="","∞ Vitalício",IF($J37&lt;0,"■ Vencido",IF($J37&lt;=Listas!$H$6,"▲ A vencer","● Ativo"))))</f>
        <v/>
      </c>
      <c r="L37" s="102"/>
      <c r="M37" s="102"/>
      <c r="N37" s="43" t="str">
        <f aca="false">IF($B37="","",IF(N($L37)=0,0,MIN(1,N($M37)/$L37)))</f>
        <v/>
      </c>
      <c r="O37" s="63" t="str">
        <f aca="false">IF($B37="","",SUMIFS('Diário de Estudo'!$D$7:$D$506,'Diário de Estudo'!$C$7:$C$506,$B37))</f>
        <v/>
      </c>
      <c r="P37" s="103" t="str">
        <f aca="false">IF($B37="","",IF(AND(N($O37)&gt;0,N($F37)&gt;0),$F37/$O37,""))</f>
        <v/>
      </c>
      <c r="Q37" s="60" t="str">
        <f aca="true">IF($B37="","",IF(OR(N($L37)=0,$G37=""),"",IF(N($M37)&gt;=$L37,"Concluído",IF(OR(N($M37)&lt;=0,TODAY()&lt;=$G37),"Sem ritmo",TODAY()+ROUNDUP(($L37-$M37)/($M37/(TODAY()-$G37)),0)))))</f>
        <v/>
      </c>
      <c r="R37" s="101" t="str">
        <f aca="false">IF($B37="","",IF(ISNUMBER($Q37),IF(AND(ISNUMBER($I37),$Q37&gt;$I37),"■ Estoura o acesso",IF(AND(ISNUMBER($H37),$Q37&gt;$H37),"▲ Atrasado vs plano","● No prazo")),IF($Q37="Concluído","◆ Concluído","—")))</f>
        <v/>
      </c>
      <c r="S37" s="81"/>
      <c r="T37" s="81"/>
      <c r="U37" s="81"/>
      <c r="V37" s="13"/>
      <c r="W37" s="13"/>
      <c r="X37" s="13"/>
      <c r="Y37" s="11"/>
    </row>
    <row r="38" customFormat="false" ht="21.75" hidden="false" customHeight="true" outlineLevel="0" collapsed="false">
      <c r="A38" s="58" t="str">
        <f aca="false">IF($B38="","","IA-"&amp;TEXT(ROW()-9,"00"))</f>
        <v/>
      </c>
      <c r="B38" s="13"/>
      <c r="C38" s="13"/>
      <c r="D38" s="13"/>
      <c r="E38" s="52"/>
      <c r="F38" s="37"/>
      <c r="G38" s="52"/>
      <c r="H38" s="52"/>
      <c r="I38" s="52"/>
      <c r="J38" s="100" t="str">
        <f aca="true">IF(OR($B38="",$I38=""),"",$I38-TODAY())</f>
        <v/>
      </c>
      <c r="K38" s="101" t="str">
        <f aca="false">IF($B38="","",IF($I38="","∞ Vitalício",IF($J38&lt;0,"■ Vencido",IF($J38&lt;=Listas!$H$6,"▲ A vencer","● Ativo"))))</f>
        <v/>
      </c>
      <c r="L38" s="102"/>
      <c r="M38" s="102"/>
      <c r="N38" s="43" t="str">
        <f aca="false">IF($B38="","",IF(N($L38)=0,0,MIN(1,N($M38)/$L38)))</f>
        <v/>
      </c>
      <c r="O38" s="63" t="str">
        <f aca="false">IF($B38="","",SUMIFS('Diário de Estudo'!$D$7:$D$506,'Diário de Estudo'!$C$7:$C$506,$B38))</f>
        <v/>
      </c>
      <c r="P38" s="103" t="str">
        <f aca="false">IF($B38="","",IF(AND(N($O38)&gt;0,N($F38)&gt;0),$F38/$O38,""))</f>
        <v/>
      </c>
      <c r="Q38" s="60" t="str">
        <f aca="true">IF($B38="","",IF(OR(N($L38)=0,$G38=""),"",IF(N($M38)&gt;=$L38,"Concluído",IF(OR(N($M38)&lt;=0,TODAY()&lt;=$G38),"Sem ritmo",TODAY()+ROUNDUP(($L38-$M38)/($M38/(TODAY()-$G38)),0)))))</f>
        <v/>
      </c>
      <c r="R38" s="101" t="str">
        <f aca="false">IF($B38="","",IF(ISNUMBER($Q38),IF(AND(ISNUMBER($I38),$Q38&gt;$I38),"■ Estoura o acesso",IF(AND(ISNUMBER($H38),$Q38&gt;$H38),"▲ Atrasado vs plano","● No prazo")),IF($Q38="Concluído","◆ Concluído","—")))</f>
        <v/>
      </c>
      <c r="S38" s="81"/>
      <c r="T38" s="81"/>
      <c r="U38" s="81"/>
      <c r="V38" s="13"/>
      <c r="W38" s="13"/>
      <c r="X38" s="13"/>
      <c r="Y38" s="11"/>
    </row>
    <row r="39" customFormat="false" ht="21.75" hidden="false" customHeight="true" outlineLevel="0" collapsed="false">
      <c r="A39" s="58" t="str">
        <f aca="false">IF($B39="","","IA-"&amp;TEXT(ROW()-9,"00"))</f>
        <v/>
      </c>
      <c r="B39" s="13"/>
      <c r="C39" s="13"/>
      <c r="D39" s="13"/>
      <c r="E39" s="52"/>
      <c r="F39" s="37"/>
      <c r="G39" s="52"/>
      <c r="H39" s="52"/>
      <c r="I39" s="52"/>
      <c r="J39" s="100" t="str">
        <f aca="true">IF(OR($B39="",$I39=""),"",$I39-TODAY())</f>
        <v/>
      </c>
      <c r="K39" s="101" t="str">
        <f aca="false">IF($B39="","",IF($I39="","∞ Vitalício",IF($J39&lt;0,"■ Vencido",IF($J39&lt;=Listas!$H$6,"▲ A vencer","● Ativo"))))</f>
        <v/>
      </c>
      <c r="L39" s="102"/>
      <c r="M39" s="102"/>
      <c r="N39" s="43" t="str">
        <f aca="false">IF($B39="","",IF(N($L39)=0,0,MIN(1,N($M39)/$L39)))</f>
        <v/>
      </c>
      <c r="O39" s="63" t="str">
        <f aca="false">IF($B39="","",SUMIFS('Diário de Estudo'!$D$7:$D$506,'Diário de Estudo'!$C$7:$C$506,$B39))</f>
        <v/>
      </c>
      <c r="P39" s="103" t="str">
        <f aca="false">IF($B39="","",IF(AND(N($O39)&gt;0,N($F39)&gt;0),$F39/$O39,""))</f>
        <v/>
      </c>
      <c r="Q39" s="60" t="str">
        <f aca="true">IF($B39="","",IF(OR(N($L39)=0,$G39=""),"",IF(N($M39)&gt;=$L39,"Concluído",IF(OR(N($M39)&lt;=0,TODAY()&lt;=$G39),"Sem ritmo",TODAY()+ROUNDUP(($L39-$M39)/($M39/(TODAY()-$G39)),0)))))</f>
        <v/>
      </c>
      <c r="R39" s="101" t="str">
        <f aca="false">IF($B39="","",IF(ISNUMBER($Q39),IF(AND(ISNUMBER($I39),$Q39&gt;$I39),"■ Estoura o acesso",IF(AND(ISNUMBER($H39),$Q39&gt;$H39),"▲ Atrasado vs plano","● No prazo")),IF($Q39="Concluído","◆ Concluído","—")))</f>
        <v/>
      </c>
      <c r="S39" s="81"/>
      <c r="T39" s="81"/>
      <c r="U39" s="81"/>
      <c r="V39" s="13"/>
      <c r="W39" s="13"/>
      <c r="X39" s="13"/>
      <c r="Y39" s="11"/>
    </row>
    <row r="40" customFormat="false" ht="21.75" hidden="false" customHeight="true" outlineLevel="0" collapsed="false">
      <c r="A40" s="58" t="str">
        <f aca="false">IF($B40="","","IA-"&amp;TEXT(ROW()-9,"00"))</f>
        <v/>
      </c>
      <c r="B40" s="13"/>
      <c r="C40" s="13"/>
      <c r="D40" s="13"/>
      <c r="E40" s="52"/>
      <c r="F40" s="37"/>
      <c r="G40" s="52"/>
      <c r="H40" s="52"/>
      <c r="I40" s="52"/>
      <c r="J40" s="100" t="str">
        <f aca="true">IF(OR($B40="",$I40=""),"",$I40-TODAY())</f>
        <v/>
      </c>
      <c r="K40" s="101" t="str">
        <f aca="false">IF($B40="","",IF($I40="","∞ Vitalício",IF($J40&lt;0,"■ Vencido",IF($J40&lt;=Listas!$H$6,"▲ A vencer","● Ativo"))))</f>
        <v/>
      </c>
      <c r="L40" s="102"/>
      <c r="M40" s="102"/>
      <c r="N40" s="43" t="str">
        <f aca="false">IF($B40="","",IF(N($L40)=0,0,MIN(1,N($M40)/$L40)))</f>
        <v/>
      </c>
      <c r="O40" s="63" t="str">
        <f aca="false">IF($B40="","",SUMIFS('Diário de Estudo'!$D$7:$D$506,'Diário de Estudo'!$C$7:$C$506,$B40))</f>
        <v/>
      </c>
      <c r="P40" s="103" t="str">
        <f aca="false">IF($B40="","",IF(AND(N($O40)&gt;0,N($F40)&gt;0),$F40/$O40,""))</f>
        <v/>
      </c>
      <c r="Q40" s="60" t="str">
        <f aca="true">IF($B40="","",IF(OR(N($L40)=0,$G40=""),"",IF(N($M40)&gt;=$L40,"Concluído",IF(OR(N($M40)&lt;=0,TODAY()&lt;=$G40),"Sem ritmo",TODAY()+ROUNDUP(($L40-$M40)/($M40/(TODAY()-$G40)),0)))))</f>
        <v/>
      </c>
      <c r="R40" s="101" t="str">
        <f aca="false">IF($B40="","",IF(ISNUMBER($Q40),IF(AND(ISNUMBER($I40),$Q40&gt;$I40),"■ Estoura o acesso",IF(AND(ISNUMBER($H40),$Q40&gt;$H40),"▲ Atrasado vs plano","● No prazo")),IF($Q40="Concluído","◆ Concluído","—")))</f>
        <v/>
      </c>
      <c r="S40" s="81"/>
      <c r="T40" s="81"/>
      <c r="U40" s="81"/>
      <c r="V40" s="13"/>
      <c r="W40" s="13"/>
      <c r="X40" s="13"/>
      <c r="Y40" s="11"/>
    </row>
    <row r="41" customFormat="false" ht="21.75" hidden="false" customHeight="true" outlineLevel="0" collapsed="false">
      <c r="A41" s="58" t="str">
        <f aca="false">IF($B41="","","IA-"&amp;TEXT(ROW()-9,"00"))</f>
        <v/>
      </c>
      <c r="B41" s="13"/>
      <c r="C41" s="13"/>
      <c r="D41" s="13"/>
      <c r="E41" s="52"/>
      <c r="F41" s="37"/>
      <c r="G41" s="52"/>
      <c r="H41" s="52"/>
      <c r="I41" s="52"/>
      <c r="J41" s="100" t="str">
        <f aca="true">IF(OR($B41="",$I41=""),"",$I41-TODAY())</f>
        <v/>
      </c>
      <c r="K41" s="101" t="str">
        <f aca="false">IF($B41="","",IF($I41="","∞ Vitalício",IF($J41&lt;0,"■ Vencido",IF($J41&lt;=Listas!$H$6,"▲ A vencer","● Ativo"))))</f>
        <v/>
      </c>
      <c r="L41" s="102"/>
      <c r="M41" s="102"/>
      <c r="N41" s="43" t="str">
        <f aca="false">IF($B41="","",IF(N($L41)=0,0,MIN(1,N($M41)/$L41)))</f>
        <v/>
      </c>
      <c r="O41" s="63" t="str">
        <f aca="false">IF($B41="","",SUMIFS('Diário de Estudo'!$D$7:$D$506,'Diário de Estudo'!$C$7:$C$506,$B41))</f>
        <v/>
      </c>
      <c r="P41" s="103" t="str">
        <f aca="false">IF($B41="","",IF(AND(N($O41)&gt;0,N($F41)&gt;0),$F41/$O41,""))</f>
        <v/>
      </c>
      <c r="Q41" s="60" t="str">
        <f aca="true">IF($B41="","",IF(OR(N($L41)=0,$G41=""),"",IF(N($M41)&gt;=$L41,"Concluído",IF(OR(N($M41)&lt;=0,TODAY()&lt;=$G41),"Sem ritmo",TODAY()+ROUNDUP(($L41-$M41)/($M41/(TODAY()-$G41)),0)))))</f>
        <v/>
      </c>
      <c r="R41" s="101" t="str">
        <f aca="false">IF($B41="","",IF(ISNUMBER($Q41),IF(AND(ISNUMBER($I41),$Q41&gt;$I41),"■ Estoura o acesso",IF(AND(ISNUMBER($H41),$Q41&gt;$H41),"▲ Atrasado vs plano","● No prazo")),IF($Q41="Concluído","◆ Concluído","—")))</f>
        <v/>
      </c>
      <c r="S41" s="81"/>
      <c r="T41" s="81"/>
      <c r="U41" s="81"/>
      <c r="V41" s="13"/>
      <c r="W41" s="13"/>
      <c r="X41" s="13"/>
      <c r="Y41" s="11"/>
    </row>
    <row r="42" customFormat="false" ht="21.75" hidden="false" customHeight="true" outlineLevel="0" collapsed="false">
      <c r="A42" s="58" t="str">
        <f aca="false">IF($B42="","","IA-"&amp;TEXT(ROW()-9,"00"))</f>
        <v/>
      </c>
      <c r="B42" s="13"/>
      <c r="C42" s="13"/>
      <c r="D42" s="13"/>
      <c r="E42" s="52"/>
      <c r="F42" s="37"/>
      <c r="G42" s="52"/>
      <c r="H42" s="52"/>
      <c r="I42" s="52"/>
      <c r="J42" s="100" t="str">
        <f aca="true">IF(OR($B42="",$I42=""),"",$I42-TODAY())</f>
        <v/>
      </c>
      <c r="K42" s="101" t="str">
        <f aca="false">IF($B42="","",IF($I42="","∞ Vitalício",IF($J42&lt;0,"■ Vencido",IF($J42&lt;=Listas!$H$6,"▲ A vencer","● Ativo"))))</f>
        <v/>
      </c>
      <c r="L42" s="102"/>
      <c r="M42" s="102"/>
      <c r="N42" s="43" t="str">
        <f aca="false">IF($B42="","",IF(N($L42)=0,0,MIN(1,N($M42)/$L42)))</f>
        <v/>
      </c>
      <c r="O42" s="63" t="str">
        <f aca="false">IF($B42="","",SUMIFS('Diário de Estudo'!$D$7:$D$506,'Diário de Estudo'!$C$7:$C$506,$B42))</f>
        <v/>
      </c>
      <c r="P42" s="103" t="str">
        <f aca="false">IF($B42="","",IF(AND(N($O42)&gt;0,N($F42)&gt;0),$F42/$O42,""))</f>
        <v/>
      </c>
      <c r="Q42" s="60" t="str">
        <f aca="true">IF($B42="","",IF(OR(N($L42)=0,$G42=""),"",IF(N($M42)&gt;=$L42,"Concluído",IF(OR(N($M42)&lt;=0,TODAY()&lt;=$G42),"Sem ritmo",TODAY()+ROUNDUP(($L42-$M42)/($M42/(TODAY()-$G42)),0)))))</f>
        <v/>
      </c>
      <c r="R42" s="101" t="str">
        <f aca="false">IF($B42="","",IF(ISNUMBER($Q42),IF(AND(ISNUMBER($I42),$Q42&gt;$I42),"■ Estoura o acesso",IF(AND(ISNUMBER($H42),$Q42&gt;$H42),"▲ Atrasado vs plano","● No prazo")),IF($Q42="Concluído","◆ Concluído","—")))</f>
        <v/>
      </c>
      <c r="S42" s="81"/>
      <c r="T42" s="81"/>
      <c r="U42" s="81"/>
      <c r="V42" s="13"/>
      <c r="W42" s="13"/>
      <c r="X42" s="13"/>
      <c r="Y42" s="11"/>
    </row>
    <row r="43" customFormat="false" ht="21.75" hidden="false" customHeight="true" outlineLevel="0" collapsed="false">
      <c r="A43" s="58" t="str">
        <f aca="false">IF($B43="","","IA-"&amp;TEXT(ROW()-9,"00"))</f>
        <v/>
      </c>
      <c r="B43" s="13"/>
      <c r="C43" s="13"/>
      <c r="D43" s="13"/>
      <c r="E43" s="52"/>
      <c r="F43" s="37"/>
      <c r="G43" s="52"/>
      <c r="H43" s="52"/>
      <c r="I43" s="52"/>
      <c r="J43" s="100" t="str">
        <f aca="true">IF(OR($B43="",$I43=""),"",$I43-TODAY())</f>
        <v/>
      </c>
      <c r="K43" s="101" t="str">
        <f aca="false">IF($B43="","",IF($I43="","∞ Vitalício",IF($J43&lt;0,"■ Vencido",IF($J43&lt;=Listas!$H$6,"▲ A vencer","● Ativo"))))</f>
        <v/>
      </c>
      <c r="L43" s="102"/>
      <c r="M43" s="102"/>
      <c r="N43" s="43" t="str">
        <f aca="false">IF($B43="","",IF(N($L43)=0,0,MIN(1,N($M43)/$L43)))</f>
        <v/>
      </c>
      <c r="O43" s="63" t="str">
        <f aca="false">IF($B43="","",SUMIFS('Diário de Estudo'!$D$7:$D$506,'Diário de Estudo'!$C$7:$C$506,$B43))</f>
        <v/>
      </c>
      <c r="P43" s="103" t="str">
        <f aca="false">IF($B43="","",IF(AND(N($O43)&gt;0,N($F43)&gt;0),$F43/$O43,""))</f>
        <v/>
      </c>
      <c r="Q43" s="60" t="str">
        <f aca="true">IF($B43="","",IF(OR(N($L43)=0,$G43=""),"",IF(N($M43)&gt;=$L43,"Concluído",IF(OR(N($M43)&lt;=0,TODAY()&lt;=$G43),"Sem ritmo",TODAY()+ROUNDUP(($L43-$M43)/($M43/(TODAY()-$G43)),0)))))</f>
        <v/>
      </c>
      <c r="R43" s="101" t="str">
        <f aca="false">IF($B43="","",IF(ISNUMBER($Q43),IF(AND(ISNUMBER($I43),$Q43&gt;$I43),"■ Estoura o acesso",IF(AND(ISNUMBER($H43),$Q43&gt;$H43),"▲ Atrasado vs plano","● No prazo")),IF($Q43="Concluído","◆ Concluído","—")))</f>
        <v/>
      </c>
      <c r="S43" s="81"/>
      <c r="T43" s="81"/>
      <c r="U43" s="81"/>
      <c r="V43" s="13"/>
      <c r="W43" s="13"/>
      <c r="X43" s="13"/>
      <c r="Y43" s="11"/>
    </row>
    <row r="44" customFormat="false" ht="21.75" hidden="false" customHeight="true" outlineLevel="0" collapsed="false">
      <c r="A44" s="58" t="str">
        <f aca="false">IF($B44="","","IA-"&amp;TEXT(ROW()-9,"00"))</f>
        <v/>
      </c>
      <c r="B44" s="13"/>
      <c r="C44" s="13"/>
      <c r="D44" s="13"/>
      <c r="E44" s="52"/>
      <c r="F44" s="37"/>
      <c r="G44" s="52"/>
      <c r="H44" s="52"/>
      <c r="I44" s="52"/>
      <c r="J44" s="100" t="str">
        <f aca="true">IF(OR($B44="",$I44=""),"",$I44-TODAY())</f>
        <v/>
      </c>
      <c r="K44" s="101" t="str">
        <f aca="false">IF($B44="","",IF($I44="","∞ Vitalício",IF($J44&lt;0,"■ Vencido",IF($J44&lt;=Listas!$H$6,"▲ A vencer","● Ativo"))))</f>
        <v/>
      </c>
      <c r="L44" s="102"/>
      <c r="M44" s="102"/>
      <c r="N44" s="43" t="str">
        <f aca="false">IF($B44="","",IF(N($L44)=0,0,MIN(1,N($M44)/$L44)))</f>
        <v/>
      </c>
      <c r="O44" s="63" t="str">
        <f aca="false">IF($B44="","",SUMIFS('Diário de Estudo'!$D$7:$D$506,'Diário de Estudo'!$C$7:$C$506,$B44))</f>
        <v/>
      </c>
      <c r="P44" s="103" t="str">
        <f aca="false">IF($B44="","",IF(AND(N($O44)&gt;0,N($F44)&gt;0),$F44/$O44,""))</f>
        <v/>
      </c>
      <c r="Q44" s="60" t="str">
        <f aca="true">IF($B44="","",IF(OR(N($L44)=0,$G44=""),"",IF(N($M44)&gt;=$L44,"Concluído",IF(OR(N($M44)&lt;=0,TODAY()&lt;=$G44),"Sem ritmo",TODAY()+ROUNDUP(($L44-$M44)/($M44/(TODAY()-$G44)),0)))))</f>
        <v/>
      </c>
      <c r="R44" s="101" t="str">
        <f aca="false">IF($B44="","",IF(ISNUMBER($Q44),IF(AND(ISNUMBER($I44),$Q44&gt;$I44),"■ Estoura o acesso",IF(AND(ISNUMBER($H44),$Q44&gt;$H44),"▲ Atrasado vs plano","● No prazo")),IF($Q44="Concluído","◆ Concluído","—")))</f>
        <v/>
      </c>
      <c r="S44" s="81"/>
      <c r="T44" s="81"/>
      <c r="U44" s="81"/>
      <c r="V44" s="13"/>
      <c r="W44" s="13"/>
      <c r="X44" s="13"/>
      <c r="Y44" s="11"/>
    </row>
    <row r="45" customFormat="false" ht="21.75" hidden="false" customHeight="true" outlineLevel="0" collapsed="false">
      <c r="A45" s="58" t="str">
        <f aca="false">IF($B45="","","IA-"&amp;TEXT(ROW()-9,"00"))</f>
        <v/>
      </c>
      <c r="B45" s="13"/>
      <c r="C45" s="13"/>
      <c r="D45" s="13"/>
      <c r="E45" s="52"/>
      <c r="F45" s="37"/>
      <c r="G45" s="52"/>
      <c r="H45" s="52"/>
      <c r="I45" s="52"/>
      <c r="J45" s="100" t="str">
        <f aca="true">IF(OR($B45="",$I45=""),"",$I45-TODAY())</f>
        <v/>
      </c>
      <c r="K45" s="101" t="str">
        <f aca="false">IF($B45="","",IF($I45="","∞ Vitalício",IF($J45&lt;0,"■ Vencido",IF($J45&lt;=Listas!$H$6,"▲ A vencer","● Ativo"))))</f>
        <v/>
      </c>
      <c r="L45" s="102"/>
      <c r="M45" s="102"/>
      <c r="N45" s="43" t="str">
        <f aca="false">IF($B45="","",IF(N($L45)=0,0,MIN(1,N($M45)/$L45)))</f>
        <v/>
      </c>
      <c r="O45" s="63" t="str">
        <f aca="false">IF($B45="","",SUMIFS('Diário de Estudo'!$D$7:$D$506,'Diário de Estudo'!$C$7:$C$506,$B45))</f>
        <v/>
      </c>
      <c r="P45" s="103" t="str">
        <f aca="false">IF($B45="","",IF(AND(N($O45)&gt;0,N($F45)&gt;0),$F45/$O45,""))</f>
        <v/>
      </c>
      <c r="Q45" s="60" t="str">
        <f aca="true">IF($B45="","",IF(OR(N($L45)=0,$G45=""),"",IF(N($M45)&gt;=$L45,"Concluído",IF(OR(N($M45)&lt;=0,TODAY()&lt;=$G45),"Sem ritmo",TODAY()+ROUNDUP(($L45-$M45)/($M45/(TODAY()-$G45)),0)))))</f>
        <v/>
      </c>
      <c r="R45" s="101" t="str">
        <f aca="false">IF($B45="","",IF(ISNUMBER($Q45),IF(AND(ISNUMBER($I45),$Q45&gt;$I45),"■ Estoura o acesso",IF(AND(ISNUMBER($H45),$Q45&gt;$H45),"▲ Atrasado vs plano","● No prazo")),IF($Q45="Concluído","◆ Concluído","—")))</f>
        <v/>
      </c>
      <c r="S45" s="81"/>
      <c r="T45" s="81"/>
      <c r="U45" s="81"/>
      <c r="V45" s="13"/>
      <c r="W45" s="13"/>
      <c r="X45" s="13"/>
      <c r="Y45" s="11"/>
    </row>
    <row r="46" customFormat="false" ht="21.75" hidden="false" customHeight="true" outlineLevel="0" collapsed="false">
      <c r="A46" s="58" t="str">
        <f aca="false">IF($B46="","","IA-"&amp;TEXT(ROW()-9,"00"))</f>
        <v/>
      </c>
      <c r="B46" s="13"/>
      <c r="C46" s="13"/>
      <c r="D46" s="13"/>
      <c r="E46" s="52"/>
      <c r="F46" s="37"/>
      <c r="G46" s="52"/>
      <c r="H46" s="52"/>
      <c r="I46" s="52"/>
      <c r="J46" s="100" t="str">
        <f aca="true">IF(OR($B46="",$I46=""),"",$I46-TODAY())</f>
        <v/>
      </c>
      <c r="K46" s="101" t="str">
        <f aca="false">IF($B46="","",IF($I46="","∞ Vitalício",IF($J46&lt;0,"■ Vencido",IF($J46&lt;=Listas!$H$6,"▲ A vencer","● Ativo"))))</f>
        <v/>
      </c>
      <c r="L46" s="102"/>
      <c r="M46" s="102"/>
      <c r="N46" s="43" t="str">
        <f aca="false">IF($B46="","",IF(N($L46)=0,0,MIN(1,N($M46)/$L46)))</f>
        <v/>
      </c>
      <c r="O46" s="63" t="str">
        <f aca="false">IF($B46="","",SUMIFS('Diário de Estudo'!$D$7:$D$506,'Diário de Estudo'!$C$7:$C$506,$B46))</f>
        <v/>
      </c>
      <c r="P46" s="103" t="str">
        <f aca="false">IF($B46="","",IF(AND(N($O46)&gt;0,N($F46)&gt;0),$F46/$O46,""))</f>
        <v/>
      </c>
      <c r="Q46" s="60" t="str">
        <f aca="true">IF($B46="","",IF(OR(N($L46)=0,$G46=""),"",IF(N($M46)&gt;=$L46,"Concluído",IF(OR(N($M46)&lt;=0,TODAY()&lt;=$G46),"Sem ritmo",TODAY()+ROUNDUP(($L46-$M46)/($M46/(TODAY()-$G46)),0)))))</f>
        <v/>
      </c>
      <c r="R46" s="101" t="str">
        <f aca="false">IF($B46="","",IF(ISNUMBER($Q46),IF(AND(ISNUMBER($I46),$Q46&gt;$I46),"■ Estoura o acesso",IF(AND(ISNUMBER($H46),$Q46&gt;$H46),"▲ Atrasado vs plano","● No prazo")),IF($Q46="Concluído","◆ Concluído","—")))</f>
        <v/>
      </c>
      <c r="S46" s="81"/>
      <c r="T46" s="81"/>
      <c r="U46" s="81"/>
      <c r="V46" s="13"/>
      <c r="W46" s="13"/>
      <c r="X46" s="13"/>
      <c r="Y46" s="11"/>
    </row>
    <row r="47" customFormat="false" ht="21.75" hidden="false" customHeight="true" outlineLevel="0" collapsed="false">
      <c r="A47" s="58" t="str">
        <f aca="false">IF($B47="","","IA-"&amp;TEXT(ROW()-9,"00"))</f>
        <v/>
      </c>
      <c r="B47" s="13"/>
      <c r="C47" s="13"/>
      <c r="D47" s="13"/>
      <c r="E47" s="52"/>
      <c r="F47" s="37"/>
      <c r="G47" s="52"/>
      <c r="H47" s="52"/>
      <c r="I47" s="52"/>
      <c r="J47" s="100" t="str">
        <f aca="true">IF(OR($B47="",$I47=""),"",$I47-TODAY())</f>
        <v/>
      </c>
      <c r="K47" s="101" t="str">
        <f aca="false">IF($B47="","",IF($I47="","∞ Vitalício",IF($J47&lt;0,"■ Vencido",IF($J47&lt;=Listas!$H$6,"▲ A vencer","● Ativo"))))</f>
        <v/>
      </c>
      <c r="L47" s="102"/>
      <c r="M47" s="102"/>
      <c r="N47" s="43" t="str">
        <f aca="false">IF($B47="","",IF(N($L47)=0,0,MIN(1,N($M47)/$L47)))</f>
        <v/>
      </c>
      <c r="O47" s="63" t="str">
        <f aca="false">IF($B47="","",SUMIFS('Diário de Estudo'!$D$7:$D$506,'Diário de Estudo'!$C$7:$C$506,$B47))</f>
        <v/>
      </c>
      <c r="P47" s="103" t="str">
        <f aca="false">IF($B47="","",IF(AND(N($O47)&gt;0,N($F47)&gt;0),$F47/$O47,""))</f>
        <v/>
      </c>
      <c r="Q47" s="60" t="str">
        <f aca="true">IF($B47="","",IF(OR(N($L47)=0,$G47=""),"",IF(N($M47)&gt;=$L47,"Concluído",IF(OR(N($M47)&lt;=0,TODAY()&lt;=$G47),"Sem ritmo",TODAY()+ROUNDUP(($L47-$M47)/($M47/(TODAY()-$G47)),0)))))</f>
        <v/>
      </c>
      <c r="R47" s="101" t="str">
        <f aca="false">IF($B47="","",IF(ISNUMBER($Q47),IF(AND(ISNUMBER($I47),$Q47&gt;$I47),"■ Estoura o acesso",IF(AND(ISNUMBER($H47),$Q47&gt;$H47),"▲ Atrasado vs plano","● No prazo")),IF($Q47="Concluído","◆ Concluído","—")))</f>
        <v/>
      </c>
      <c r="S47" s="81"/>
      <c r="T47" s="81"/>
      <c r="U47" s="81"/>
      <c r="V47" s="13"/>
      <c r="W47" s="13"/>
      <c r="X47" s="13"/>
      <c r="Y47" s="11"/>
    </row>
    <row r="48" customFormat="false" ht="21.75" hidden="false" customHeight="true" outlineLevel="0" collapsed="false">
      <c r="A48" s="58" t="str">
        <f aca="false">IF($B48="","","IA-"&amp;TEXT(ROW()-9,"00"))</f>
        <v/>
      </c>
      <c r="B48" s="13"/>
      <c r="C48" s="13"/>
      <c r="D48" s="13"/>
      <c r="E48" s="52"/>
      <c r="F48" s="37"/>
      <c r="G48" s="52"/>
      <c r="H48" s="52"/>
      <c r="I48" s="52"/>
      <c r="J48" s="100" t="str">
        <f aca="true">IF(OR($B48="",$I48=""),"",$I48-TODAY())</f>
        <v/>
      </c>
      <c r="K48" s="101" t="str">
        <f aca="false">IF($B48="","",IF($I48="","∞ Vitalício",IF($J48&lt;0,"■ Vencido",IF($J48&lt;=Listas!$H$6,"▲ A vencer","● Ativo"))))</f>
        <v/>
      </c>
      <c r="L48" s="102"/>
      <c r="M48" s="102"/>
      <c r="N48" s="43" t="str">
        <f aca="false">IF($B48="","",IF(N($L48)=0,0,MIN(1,N($M48)/$L48)))</f>
        <v/>
      </c>
      <c r="O48" s="63" t="str">
        <f aca="false">IF($B48="","",SUMIFS('Diário de Estudo'!$D$7:$D$506,'Diário de Estudo'!$C$7:$C$506,$B48))</f>
        <v/>
      </c>
      <c r="P48" s="103" t="str">
        <f aca="false">IF($B48="","",IF(AND(N($O48)&gt;0,N($F48)&gt;0),$F48/$O48,""))</f>
        <v/>
      </c>
      <c r="Q48" s="60" t="str">
        <f aca="true">IF($B48="","",IF(OR(N($L48)=0,$G48=""),"",IF(N($M48)&gt;=$L48,"Concluído",IF(OR(N($M48)&lt;=0,TODAY()&lt;=$G48),"Sem ritmo",TODAY()+ROUNDUP(($L48-$M48)/($M48/(TODAY()-$G48)),0)))))</f>
        <v/>
      </c>
      <c r="R48" s="101" t="str">
        <f aca="false">IF($B48="","",IF(ISNUMBER($Q48),IF(AND(ISNUMBER($I48),$Q48&gt;$I48),"■ Estoura o acesso",IF(AND(ISNUMBER($H48),$Q48&gt;$H48),"▲ Atrasado vs plano","● No prazo")),IF($Q48="Concluído","◆ Concluído","—")))</f>
        <v/>
      </c>
      <c r="S48" s="81"/>
      <c r="T48" s="81"/>
      <c r="U48" s="81"/>
      <c r="V48" s="13"/>
      <c r="W48" s="13"/>
      <c r="X48" s="13"/>
      <c r="Y48" s="11"/>
    </row>
    <row r="49" customFormat="false" ht="21.75" hidden="false" customHeight="true" outlineLevel="0" collapsed="false">
      <c r="A49" s="58" t="str">
        <f aca="false">IF($B49="","","IA-"&amp;TEXT(ROW()-9,"00"))</f>
        <v/>
      </c>
      <c r="B49" s="13"/>
      <c r="C49" s="13"/>
      <c r="D49" s="13"/>
      <c r="E49" s="52"/>
      <c r="F49" s="37"/>
      <c r="G49" s="52"/>
      <c r="H49" s="52"/>
      <c r="I49" s="52"/>
      <c r="J49" s="100" t="str">
        <f aca="true">IF(OR($B49="",$I49=""),"",$I49-TODAY())</f>
        <v/>
      </c>
      <c r="K49" s="101" t="str">
        <f aca="false">IF($B49="","",IF($I49="","∞ Vitalício",IF($J49&lt;0,"■ Vencido",IF($J49&lt;=Listas!$H$6,"▲ A vencer","● Ativo"))))</f>
        <v/>
      </c>
      <c r="L49" s="102"/>
      <c r="M49" s="102"/>
      <c r="N49" s="43" t="str">
        <f aca="false">IF($B49="","",IF(N($L49)=0,0,MIN(1,N($M49)/$L49)))</f>
        <v/>
      </c>
      <c r="O49" s="63" t="str">
        <f aca="false">IF($B49="","",SUMIFS('Diário de Estudo'!$D$7:$D$506,'Diário de Estudo'!$C$7:$C$506,$B49))</f>
        <v/>
      </c>
      <c r="P49" s="103" t="str">
        <f aca="false">IF($B49="","",IF(AND(N($O49)&gt;0,N($F49)&gt;0),$F49/$O49,""))</f>
        <v/>
      </c>
      <c r="Q49" s="60" t="str">
        <f aca="true">IF($B49="","",IF(OR(N($L49)=0,$G49=""),"",IF(N($M49)&gt;=$L49,"Concluído",IF(OR(N($M49)&lt;=0,TODAY()&lt;=$G49),"Sem ritmo",TODAY()+ROUNDUP(($L49-$M49)/($M49/(TODAY()-$G49)),0)))))</f>
        <v/>
      </c>
      <c r="R49" s="101" t="str">
        <f aca="false">IF($B49="","",IF(ISNUMBER($Q49),IF(AND(ISNUMBER($I49),$Q49&gt;$I49),"■ Estoura o acesso",IF(AND(ISNUMBER($H49),$Q49&gt;$H49),"▲ Atrasado vs plano","● No prazo")),IF($Q49="Concluído","◆ Concluído","—")))</f>
        <v/>
      </c>
      <c r="S49" s="81"/>
      <c r="T49" s="81"/>
      <c r="U49" s="81"/>
      <c r="V49" s="13"/>
      <c r="W49" s="13"/>
      <c r="X49" s="13"/>
      <c r="Y49" s="11"/>
    </row>
  </sheetData>
  <autoFilter ref="A9:Y49"/>
  <mergeCells count="22">
    <mergeCell ref="A1:Y1"/>
    <mergeCell ref="A2:V2"/>
    <mergeCell ref="W2:Y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S10:S49">
    <cfRule type="cellIs" priority="2" operator="equal" aboveAverage="0" equalAverage="0" bottom="0" percent="0" rank="0" text="" dxfId="8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19">
      <formula>"Pausado"</formula>
    </cfRule>
  </conditionalFormatting>
  <conditionalFormatting sqref="T10:T49">
    <cfRule type="cellIs" priority="5" operator="equal" aboveAverage="0" equalAverage="0" bottom="0" percent="0" rank="0" text="" dxfId="2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{DEFA381B-C4B2-4EDD-ABC0-571E7D4E243F}</x14:id>
        </ext>
      </extLst>
    </cfRule>
  </conditionalFormatting>
  <conditionalFormatting sqref="U10:U49">
    <cfRule type="cellIs" priority="7" operator="equal" aboveAverage="0" equalAverage="0" bottom="0" percent="0" rank="0" text="" dxfId="8">
      <formula>"Emitido"</formula>
    </cfRule>
    <cfRule type="cellIs" priority="8" operator="equal" aboveAverage="0" equalAverage="0" bottom="0" percent="0" rank="0" text="" dxfId="20">
      <formula>"Em emissão"</formula>
    </cfRule>
  </conditionalFormatting>
  <conditionalFormatting sqref="R10:R49">
    <cfRule type="expression" priority="9" aboveAverage="0" equalAverage="0" bottom="0" percent="0" rank="0" text="" dxfId="0">
      <formula>ISNUMBER(SEARCH("Estoura",R10))</formula>
    </cfRule>
    <cfRule type="expression" priority="10" aboveAverage="0" equalAverage="0" bottom="0" percent="0" rank="0" text="" dxfId="1">
      <formula>ISNUMBER(SEARCH("Atrasado",R10))</formula>
    </cfRule>
    <cfRule type="expression" priority="11" aboveAverage="0" equalAverage="0" bottom="0" percent="0" rank="0" text="" dxfId="21">
      <formula>ISNUMBER(SEARCH("No prazo",R10))</formula>
    </cfRule>
    <cfRule type="expression" priority="12" aboveAverage="0" equalAverage="0" bottom="0" percent="0" rank="0" text="" dxfId="22">
      <formula>ISNUMBER(SEARCH("Concluído",R10))</formula>
    </cfRule>
  </conditionalFormatting>
  <conditionalFormatting sqref="J10:K49">
    <cfRule type="expression" priority="13" aboveAverage="0" equalAverage="0" bottom="0" percent="0" rank="0" text="" dxfId="0">
      <formula>ISNUMBER(SEARCH("Vencido",$K10))</formula>
    </cfRule>
    <cfRule type="expression" priority="14" aboveAverage="0" equalAverage="0" bottom="0" percent="0" rank="0" text="" dxfId="1">
      <formula>ISNUMBER(SEARCH("A vencer",$K10))</formula>
    </cfRule>
    <cfRule type="expression" priority="15" aboveAverage="0" equalAverage="0" bottom="0" percent="0" rank="0" text="" dxfId="21">
      <formula>ISNUMBER(SEARCH("Ativo",$K10))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S10:S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T10:T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U10:U49" type="list">
      <formula1>Listas!$F$6:$F$9</formula1>
      <formula2>0</formula2>
    </dataValidation>
  </dataValidations>
  <hyperlinks>
    <hyperlink ref="W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FA381B-C4B2-4EDD-ABC0-571E7D4E243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B18A"/>
    <pageSetUpPr fitToPage="true"/>
  </sheetPr>
  <dimension ref="A1:A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4" min="22" style="0" width="16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7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30"/>
    <col collapsed="false" customWidth="true" hidden="false" outlineLevel="0" max="31" min="31" style="0" width="36"/>
  </cols>
  <sheetData>
    <row r="1" customFormat="false" ht="37.5" hidden="false" customHeight="true" outlineLevel="0" collapsed="false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customFormat="false" ht="19.5" hidden="false" customHeight="true" outlineLevel="0" collapsed="false">
      <c r="A2" s="21" t="s">
        <v>236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2" t="s">
        <v>57</v>
      </c>
      <c r="AD2" s="22"/>
      <c r="AE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7.5" hidden="false" customHeight="true" outlineLevel="0" collapsed="false"/>
    <row r="5" customFormat="false" ht="15" hidden="false" customHeight="true" outlineLevel="0" collapsed="false">
      <c r="B5" s="23" t="s">
        <v>159</v>
      </c>
      <c r="C5" s="23"/>
      <c r="D5" s="23" t="s">
        <v>59</v>
      </c>
      <c r="E5" s="23"/>
      <c r="F5" s="23" t="s">
        <v>60</v>
      </c>
      <c r="G5" s="23"/>
      <c r="H5" s="23" t="s">
        <v>160</v>
      </c>
      <c r="I5" s="23"/>
      <c r="J5" s="23" t="s">
        <v>62</v>
      </c>
      <c r="K5" s="23"/>
      <c r="L5" s="23" t="s">
        <v>237</v>
      </c>
      <c r="M5" s="23"/>
    </row>
    <row r="6" customFormat="false" ht="27.75" hidden="false" customHeight="true" outlineLevel="0" collapsed="false">
      <c r="B6" s="24" t="n">
        <f aca="false">COUNTA(B10:B49)</f>
        <v>1</v>
      </c>
      <c r="C6" s="24"/>
      <c r="D6" s="24" t="n">
        <f aca="false">COUNTIF(S10:S49,"Em andamento")</f>
        <v>1</v>
      </c>
      <c r="E6" s="24"/>
      <c r="F6" s="24" t="n">
        <f aca="false">COUNTIF(S10:S49,"Concluído")</f>
        <v>0</v>
      </c>
      <c r="G6" s="24"/>
      <c r="H6" s="25" t="n">
        <f aca="false">SUM(F10:F49)</f>
        <v>297</v>
      </c>
      <c r="I6" s="25"/>
      <c r="J6" s="26" t="n">
        <f aca="false">IFERROR(AVERAGE(N10:N49),0)</f>
        <v>0.222222222222222</v>
      </c>
      <c r="K6" s="26"/>
      <c r="L6" s="25" t="n">
        <f aca="false">SUM(W10:W49)</f>
        <v>120</v>
      </c>
      <c r="M6" s="25"/>
    </row>
    <row r="7" customFormat="false" ht="3.75" hidden="false" customHeight="true" outlineLevel="0" collapsed="false">
      <c r="B7" s="27"/>
      <c r="C7" s="27"/>
      <c r="D7" s="28"/>
      <c r="E7" s="28"/>
      <c r="F7" s="29"/>
      <c r="G7" s="29"/>
      <c r="H7" s="27"/>
      <c r="I7" s="27"/>
      <c r="J7" s="28"/>
      <c r="K7" s="28"/>
      <c r="L7" s="29"/>
      <c r="M7" s="29"/>
    </row>
    <row r="8" customFormat="false" ht="15.75" hidden="false" customHeight="true" outlineLevel="0" collapsed="false">
      <c r="A8" s="97" t="s">
        <v>162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customFormat="false" ht="36" hidden="false" customHeight="true" outlineLevel="0" collapsed="false">
      <c r="A9" s="99" t="s">
        <v>163</v>
      </c>
      <c r="B9" s="34" t="s">
        <v>99</v>
      </c>
      <c r="C9" s="34" t="s">
        <v>230</v>
      </c>
      <c r="D9" s="34" t="s">
        <v>238</v>
      </c>
      <c r="E9" s="34" t="s">
        <v>167</v>
      </c>
      <c r="F9" s="34" t="s">
        <v>168</v>
      </c>
      <c r="G9" s="34" t="s">
        <v>169</v>
      </c>
      <c r="H9" s="34" t="s">
        <v>170</v>
      </c>
      <c r="I9" s="34" t="s">
        <v>171</v>
      </c>
      <c r="J9" s="99" t="s">
        <v>172</v>
      </c>
      <c r="K9" s="99" t="s">
        <v>173</v>
      </c>
      <c r="L9" s="34" t="s">
        <v>232</v>
      </c>
      <c r="M9" s="34" t="s">
        <v>233</v>
      </c>
      <c r="N9" s="99" t="s">
        <v>176</v>
      </c>
      <c r="O9" s="99" t="s">
        <v>177</v>
      </c>
      <c r="P9" s="99" t="s">
        <v>178</v>
      </c>
      <c r="Q9" s="99" t="s">
        <v>179</v>
      </c>
      <c r="R9" s="99" t="s">
        <v>180</v>
      </c>
      <c r="S9" s="34" t="s">
        <v>109</v>
      </c>
      <c r="T9" s="34" t="s">
        <v>181</v>
      </c>
      <c r="U9" s="34" t="s">
        <v>182</v>
      </c>
      <c r="V9" s="34" t="s">
        <v>239</v>
      </c>
      <c r="W9" s="34" t="s">
        <v>240</v>
      </c>
      <c r="X9" s="34" t="s">
        <v>241</v>
      </c>
      <c r="Y9" s="99" t="s">
        <v>102</v>
      </c>
      <c r="Z9" s="99" t="s">
        <v>242</v>
      </c>
      <c r="AA9" s="99" t="s">
        <v>243</v>
      </c>
      <c r="AB9" s="34" t="s">
        <v>183</v>
      </c>
      <c r="AC9" s="34" t="s">
        <v>184</v>
      </c>
      <c r="AD9" s="34" t="s">
        <v>185</v>
      </c>
      <c r="AE9" s="34" t="s">
        <v>186</v>
      </c>
    </row>
    <row r="10" customFormat="false" ht="21.75" hidden="false" customHeight="true" outlineLevel="0" collapsed="false">
      <c r="A10" s="58" t="str">
        <f aca="false">IF($B10="","","RE-"&amp;TEXT(ROW()-9,"00"))</f>
        <v>RE-01</v>
      </c>
      <c r="B10" s="13" t="s">
        <v>244</v>
      </c>
      <c r="C10" s="13" t="s">
        <v>205</v>
      </c>
      <c r="D10" s="13" t="s">
        <v>245</v>
      </c>
      <c r="E10" s="52" t="n">
        <v>46266</v>
      </c>
      <c r="F10" s="37" t="n">
        <v>297</v>
      </c>
      <c r="G10" s="52" t="n">
        <v>46268</v>
      </c>
      <c r="H10" s="52" t="n">
        <v>46356</v>
      </c>
      <c r="I10" s="52" t="n">
        <v>46631</v>
      </c>
      <c r="J10" s="100" t="n">
        <f aca="true">IF(OR($B10="",$I10=""),"",$I10-TODAY())</f>
        <v>333</v>
      </c>
      <c r="K10" s="101" t="str">
        <f aca="false">IF($B10="","",IF($I10="","∞ Vitalício",IF($J10&lt;0,"■ Vencido",IF($J10&lt;=Listas!$H$6,"▲ A vencer","● Ativo"))))</f>
        <v>● Ativo</v>
      </c>
      <c r="L10" s="102" t="n">
        <v>45</v>
      </c>
      <c r="M10" s="102" t="n">
        <v>10</v>
      </c>
      <c r="N10" s="43" t="n">
        <f aca="false">IF($B10="","",IF(N($L10)=0,0,MIN(1,N($M10)/$L10)))</f>
        <v>0.222222222222222</v>
      </c>
      <c r="O10" s="63" t="n">
        <f aca="false">IF($B10="","",SUMIFS('Diário de Estudo'!$D$7:$D$506,'Diário de Estudo'!$C$7:$C$506,$B10))</f>
        <v>0</v>
      </c>
      <c r="P10" s="103" t="str">
        <f aca="false">IF($B10="","",IF(AND(N($O10)&gt;0,N($F10)&gt;0),$F10/$O10,""))</f>
        <v/>
      </c>
      <c r="Q10" s="60" t="n">
        <f aca="true">IF($B10="","",IF(OR(N($L10)=0,$G10=""),"",IF(N($M10)&gt;=$L10,"Concluído",IF(OR(N($M10)&lt;=0,TODAY()&lt;=$G10),"Sem ritmo",TODAY()+ROUNDUP(($L10-$M10)/($M10/(TODAY()-$G10)),0)))))</f>
        <v>46403</v>
      </c>
      <c r="R10" s="101" t="str">
        <f aca="false">IF($B10="","",IF(ISNUMBER($Q10),IF(AND(ISNUMBER($I10),$Q10&gt;$I10),"■ Estoura o acesso",IF(AND(ISNUMBER($H10),$Q10&gt;$H10),"▲ Atrasado vs plano","● No prazo")),IF($Q10="Concluído","◆ Concluído","—")))</f>
        <v>▲ Atrasado vs plano</v>
      </c>
      <c r="S10" s="81" t="s">
        <v>41</v>
      </c>
      <c r="T10" s="81" t="s">
        <v>226</v>
      </c>
      <c r="U10" s="81" t="s">
        <v>190</v>
      </c>
      <c r="V10" s="37" t="n">
        <v>1500</v>
      </c>
      <c r="W10" s="37" t="n">
        <v>120</v>
      </c>
      <c r="X10" s="37" t="n">
        <v>180</v>
      </c>
      <c r="Y10" s="43" t="n">
        <f aca="false">IF($B10="","",IF(N($F10)=0,"",(N($X10)-$F10)/$F10))</f>
        <v>-0.393939393939394</v>
      </c>
      <c r="Z10" s="63" t="n">
        <f aca="false">IF($B10="","",IF(N($F10)=0,"",IF(N($X10)&gt;=$F10,0,IF(N($W10)&gt;0,($F10-N($X10))/$W10,"—"))))</f>
        <v>0.975</v>
      </c>
      <c r="AA10" s="101" t="str">
        <f aca="false">IF($B10="","",IF(N($F10)=0,"—",IF(N($X10)&gt;=$F10,"● Pago",IF(N($X10)&gt;0,"▲ Em retorno","■ Sem retorno"))))</f>
        <v>▲ Em retorno</v>
      </c>
      <c r="AB10" s="13" t="s">
        <v>191</v>
      </c>
      <c r="AC10" s="13" t="s">
        <v>192</v>
      </c>
      <c r="AD10" s="13" t="s">
        <v>209</v>
      </c>
      <c r="AE10" s="11" t="s">
        <v>194</v>
      </c>
    </row>
    <row r="11" customFormat="false" ht="21.75" hidden="false" customHeight="true" outlineLevel="0" collapsed="false">
      <c r="A11" s="58" t="str">
        <f aca="false">IF($B11="","","RE-"&amp;TEXT(ROW()-9,"00"))</f>
        <v/>
      </c>
      <c r="B11" s="13"/>
      <c r="C11" s="13"/>
      <c r="D11" s="13"/>
      <c r="E11" s="52"/>
      <c r="F11" s="37"/>
      <c r="G11" s="52"/>
      <c r="H11" s="52"/>
      <c r="I11" s="52"/>
      <c r="J11" s="100" t="str">
        <f aca="true">IF(OR($B11="",$I11=""),"",$I11-TODAY())</f>
        <v/>
      </c>
      <c r="K11" s="101" t="str">
        <f aca="false">IF($B11="","",IF($I11="","∞ Vitalício",IF($J11&lt;0,"■ Vencido",IF($J11&lt;=Listas!$H$6,"▲ A vencer","● Ativo"))))</f>
        <v/>
      </c>
      <c r="L11" s="102"/>
      <c r="M11" s="102"/>
      <c r="N11" s="43" t="str">
        <f aca="false">IF($B11="","",IF(N($L11)=0,0,MIN(1,N($M11)/$L11)))</f>
        <v/>
      </c>
      <c r="O11" s="63" t="str">
        <f aca="false">IF($B11="","",SUMIFS('Diário de Estudo'!$D$7:$D$506,'Diário de Estudo'!$C$7:$C$506,$B11))</f>
        <v/>
      </c>
      <c r="P11" s="103" t="str">
        <f aca="false">IF($B11="","",IF(AND(N($O11)&gt;0,N($F11)&gt;0),$F11/$O11,""))</f>
        <v/>
      </c>
      <c r="Q11" s="60" t="str">
        <f aca="true">IF($B11="","",IF(OR(N($L11)=0,$G11=""),"",IF(N($M11)&gt;=$L11,"Concluído",IF(OR(N($M11)&lt;=0,TODAY()&lt;=$G11),"Sem ritmo",TODAY()+ROUNDUP(($L11-$M11)/($M11/(TODAY()-$G11)),0)))))</f>
        <v/>
      </c>
      <c r="R11" s="101" t="str">
        <f aca="false">IF($B11="","",IF(ISNUMBER($Q11),IF(AND(ISNUMBER($I11),$Q11&gt;$I11),"■ Estoura o acesso",IF(AND(ISNUMBER($H11),$Q11&gt;$H11),"▲ Atrasado vs plano","● No prazo")),IF($Q11="Concluído","◆ Concluído","—")))</f>
        <v/>
      </c>
      <c r="S11" s="81"/>
      <c r="T11" s="81"/>
      <c r="U11" s="81"/>
      <c r="V11" s="37"/>
      <c r="W11" s="37"/>
      <c r="X11" s="37"/>
      <c r="Y11" s="43" t="str">
        <f aca="false">IF($B11="","",IF(N($F11)=0,"",(N($X11)-$F11)/$F11))</f>
        <v/>
      </c>
      <c r="Z11" s="63" t="str">
        <f aca="false">IF($B11="","",IF(N($F11)=0,"",IF(N($X11)&gt;=$F11,0,IF(N($W11)&gt;0,($F11-N($X11))/$W11,"—"))))</f>
        <v/>
      </c>
      <c r="AA11" s="101" t="str">
        <f aca="false">IF($B11="","",IF(N($F11)=0,"—",IF(N($X11)&gt;=$F11,"● Pago",IF(N($X11)&gt;0,"▲ Em retorno","■ Sem retorno"))))</f>
        <v/>
      </c>
      <c r="AB11" s="13"/>
      <c r="AC11" s="13"/>
      <c r="AD11" s="13"/>
      <c r="AE11" s="11"/>
    </row>
    <row r="12" customFormat="false" ht="21.75" hidden="false" customHeight="true" outlineLevel="0" collapsed="false">
      <c r="A12" s="58" t="str">
        <f aca="false">IF($B12="","","RE-"&amp;TEXT(ROW()-9,"00"))</f>
        <v/>
      </c>
      <c r="B12" s="13"/>
      <c r="C12" s="13"/>
      <c r="D12" s="13"/>
      <c r="E12" s="52"/>
      <c r="F12" s="37"/>
      <c r="G12" s="52"/>
      <c r="H12" s="52"/>
      <c r="I12" s="52"/>
      <c r="J12" s="100" t="str">
        <f aca="true">IF(OR($B12="",$I12=""),"",$I12-TODAY())</f>
        <v/>
      </c>
      <c r="K12" s="101" t="str">
        <f aca="false">IF($B12="","",IF($I12="","∞ Vitalício",IF($J12&lt;0,"■ Vencido",IF($J12&lt;=Listas!$H$6,"▲ A vencer","● Ativo"))))</f>
        <v/>
      </c>
      <c r="L12" s="102"/>
      <c r="M12" s="102"/>
      <c r="N12" s="43" t="str">
        <f aca="false">IF($B12="","",IF(N($L12)=0,0,MIN(1,N($M12)/$L12)))</f>
        <v/>
      </c>
      <c r="O12" s="63" t="str">
        <f aca="false">IF($B12="","",SUMIFS('Diário de Estudo'!$D$7:$D$506,'Diário de Estudo'!$C$7:$C$506,$B12))</f>
        <v/>
      </c>
      <c r="P12" s="103" t="str">
        <f aca="false">IF($B12="","",IF(AND(N($O12)&gt;0,N($F12)&gt;0),$F12/$O12,""))</f>
        <v/>
      </c>
      <c r="Q12" s="60" t="str">
        <f aca="true">IF($B12="","",IF(OR(N($L12)=0,$G12=""),"",IF(N($M12)&gt;=$L12,"Concluído",IF(OR(N($M12)&lt;=0,TODAY()&lt;=$G12),"Sem ritmo",TODAY()+ROUNDUP(($L12-$M12)/($M12/(TODAY()-$G12)),0)))))</f>
        <v/>
      </c>
      <c r="R12" s="101" t="str">
        <f aca="false">IF($B12="","",IF(ISNUMBER($Q12),IF(AND(ISNUMBER($I12),$Q12&gt;$I12),"■ Estoura o acesso",IF(AND(ISNUMBER($H12),$Q12&gt;$H12),"▲ Atrasado vs plano","● No prazo")),IF($Q12="Concluído","◆ Concluído","—")))</f>
        <v/>
      </c>
      <c r="S12" s="81"/>
      <c r="T12" s="81"/>
      <c r="U12" s="81"/>
      <c r="V12" s="37"/>
      <c r="W12" s="37"/>
      <c r="X12" s="37"/>
      <c r="Y12" s="43" t="str">
        <f aca="false">IF($B12="","",IF(N($F12)=0,"",(N($X12)-$F12)/$F12))</f>
        <v/>
      </c>
      <c r="Z12" s="63" t="str">
        <f aca="false">IF($B12="","",IF(N($F12)=0,"",IF(N($X12)&gt;=$F12,0,IF(N($W12)&gt;0,($F12-N($X12))/$W12,"—"))))</f>
        <v/>
      </c>
      <c r="AA12" s="101" t="str">
        <f aca="false">IF($B12="","",IF(N($F12)=0,"—",IF(N($X12)&gt;=$F12,"● Pago",IF(N($X12)&gt;0,"▲ Em retorno","■ Sem retorno"))))</f>
        <v/>
      </c>
      <c r="AB12" s="13"/>
      <c r="AC12" s="13"/>
      <c r="AD12" s="13"/>
      <c r="AE12" s="11"/>
    </row>
    <row r="13" customFormat="false" ht="21.75" hidden="false" customHeight="true" outlineLevel="0" collapsed="false">
      <c r="A13" s="58" t="str">
        <f aca="false">IF($B13="","","RE-"&amp;TEXT(ROW()-9,"00"))</f>
        <v/>
      </c>
      <c r="B13" s="13"/>
      <c r="C13" s="13"/>
      <c r="D13" s="13"/>
      <c r="E13" s="52"/>
      <c r="F13" s="37"/>
      <c r="G13" s="52"/>
      <c r="H13" s="52"/>
      <c r="I13" s="52"/>
      <c r="J13" s="100" t="str">
        <f aca="true">IF(OR($B13="",$I13=""),"",$I13-TODAY())</f>
        <v/>
      </c>
      <c r="K13" s="101" t="str">
        <f aca="false">IF($B13="","",IF($I13="","∞ Vitalício",IF($J13&lt;0,"■ Vencido",IF($J13&lt;=Listas!$H$6,"▲ A vencer","● Ativo"))))</f>
        <v/>
      </c>
      <c r="L13" s="102"/>
      <c r="M13" s="102"/>
      <c r="N13" s="43" t="str">
        <f aca="false">IF($B13="","",IF(N($L13)=0,0,MIN(1,N($M13)/$L13)))</f>
        <v/>
      </c>
      <c r="O13" s="63" t="str">
        <f aca="false">IF($B13="","",SUMIFS('Diário de Estudo'!$D$7:$D$506,'Diário de Estudo'!$C$7:$C$506,$B13))</f>
        <v/>
      </c>
      <c r="P13" s="103" t="str">
        <f aca="false">IF($B13="","",IF(AND(N($O13)&gt;0,N($F13)&gt;0),$F13/$O13,""))</f>
        <v/>
      </c>
      <c r="Q13" s="60" t="str">
        <f aca="true">IF($B13="","",IF(OR(N($L13)=0,$G13=""),"",IF(N($M13)&gt;=$L13,"Concluído",IF(OR(N($M13)&lt;=0,TODAY()&lt;=$G13),"Sem ritmo",TODAY()+ROUNDUP(($L13-$M13)/($M13/(TODAY()-$G13)),0)))))</f>
        <v/>
      </c>
      <c r="R13" s="101" t="str">
        <f aca="false">IF($B13="","",IF(ISNUMBER($Q13),IF(AND(ISNUMBER($I13),$Q13&gt;$I13),"■ Estoura o acesso",IF(AND(ISNUMBER($H13),$Q13&gt;$H13),"▲ Atrasado vs plano","● No prazo")),IF($Q13="Concluído","◆ Concluído","—")))</f>
        <v/>
      </c>
      <c r="S13" s="81"/>
      <c r="T13" s="81"/>
      <c r="U13" s="81"/>
      <c r="V13" s="37"/>
      <c r="W13" s="37"/>
      <c r="X13" s="37"/>
      <c r="Y13" s="43" t="str">
        <f aca="false">IF($B13="","",IF(N($F13)=0,"",(N($X13)-$F13)/$F13))</f>
        <v/>
      </c>
      <c r="Z13" s="63" t="str">
        <f aca="false">IF($B13="","",IF(N($F13)=0,"",IF(N($X13)&gt;=$F13,0,IF(N($W13)&gt;0,($F13-N($X13))/$W13,"—"))))</f>
        <v/>
      </c>
      <c r="AA13" s="101" t="str">
        <f aca="false">IF($B13="","",IF(N($F13)=0,"—",IF(N($X13)&gt;=$F13,"● Pago",IF(N($X13)&gt;0,"▲ Em retorno","■ Sem retorno"))))</f>
        <v/>
      </c>
      <c r="AB13" s="13"/>
      <c r="AC13" s="13"/>
      <c r="AD13" s="13"/>
      <c r="AE13" s="11"/>
    </row>
    <row r="14" customFormat="false" ht="21.75" hidden="false" customHeight="true" outlineLevel="0" collapsed="false">
      <c r="A14" s="58" t="str">
        <f aca="false">IF($B14="","","RE-"&amp;TEXT(ROW()-9,"00"))</f>
        <v/>
      </c>
      <c r="B14" s="13"/>
      <c r="C14" s="13"/>
      <c r="D14" s="13"/>
      <c r="E14" s="52"/>
      <c r="F14" s="37"/>
      <c r="G14" s="52"/>
      <c r="H14" s="52"/>
      <c r="I14" s="52"/>
      <c r="J14" s="100" t="str">
        <f aca="true">IF(OR($B14="",$I14=""),"",$I14-TODAY())</f>
        <v/>
      </c>
      <c r="K14" s="101" t="str">
        <f aca="false">IF($B14="","",IF($I14="","∞ Vitalício",IF($J14&lt;0,"■ Vencido",IF($J14&lt;=Listas!$H$6,"▲ A vencer","● Ativo"))))</f>
        <v/>
      </c>
      <c r="L14" s="102"/>
      <c r="M14" s="102"/>
      <c r="N14" s="43" t="str">
        <f aca="false">IF($B14="","",IF(N($L14)=0,0,MIN(1,N($M14)/$L14)))</f>
        <v/>
      </c>
      <c r="O14" s="63" t="str">
        <f aca="false">IF($B14="","",SUMIFS('Diário de Estudo'!$D$7:$D$506,'Diário de Estudo'!$C$7:$C$506,$B14))</f>
        <v/>
      </c>
      <c r="P14" s="103" t="str">
        <f aca="false">IF($B14="","",IF(AND(N($O14)&gt;0,N($F14)&gt;0),$F14/$O14,""))</f>
        <v/>
      </c>
      <c r="Q14" s="60" t="str">
        <f aca="true">IF($B14="","",IF(OR(N($L14)=0,$G14=""),"",IF(N($M14)&gt;=$L14,"Concluído",IF(OR(N($M14)&lt;=0,TODAY()&lt;=$G14),"Sem ritmo",TODAY()+ROUNDUP(($L14-$M14)/($M14/(TODAY()-$G14)),0)))))</f>
        <v/>
      </c>
      <c r="R14" s="101" t="str">
        <f aca="false">IF($B14="","",IF(ISNUMBER($Q14),IF(AND(ISNUMBER($I14),$Q14&gt;$I14),"■ Estoura o acesso",IF(AND(ISNUMBER($H14),$Q14&gt;$H14),"▲ Atrasado vs plano","● No prazo")),IF($Q14="Concluído","◆ Concluído","—")))</f>
        <v/>
      </c>
      <c r="S14" s="81"/>
      <c r="T14" s="81"/>
      <c r="U14" s="81"/>
      <c r="V14" s="37"/>
      <c r="W14" s="37"/>
      <c r="X14" s="37"/>
      <c r="Y14" s="43" t="str">
        <f aca="false">IF($B14="","",IF(N($F14)=0,"",(N($X14)-$F14)/$F14))</f>
        <v/>
      </c>
      <c r="Z14" s="63" t="str">
        <f aca="false">IF($B14="","",IF(N($F14)=0,"",IF(N($X14)&gt;=$F14,0,IF(N($W14)&gt;0,($F14-N($X14))/$W14,"—"))))</f>
        <v/>
      </c>
      <c r="AA14" s="101" t="str">
        <f aca="false">IF($B14="","",IF(N($F14)=0,"—",IF(N($X14)&gt;=$F14,"● Pago",IF(N($X14)&gt;0,"▲ Em retorno","■ Sem retorno"))))</f>
        <v/>
      </c>
      <c r="AB14" s="13"/>
      <c r="AC14" s="13"/>
      <c r="AD14" s="13"/>
      <c r="AE14" s="11"/>
    </row>
    <row r="15" customFormat="false" ht="21.75" hidden="false" customHeight="true" outlineLevel="0" collapsed="false">
      <c r="A15" s="58" t="str">
        <f aca="false">IF($B15="","","RE-"&amp;TEXT(ROW()-9,"00"))</f>
        <v/>
      </c>
      <c r="B15" s="13"/>
      <c r="C15" s="13"/>
      <c r="D15" s="13"/>
      <c r="E15" s="52"/>
      <c r="F15" s="37"/>
      <c r="G15" s="52"/>
      <c r="H15" s="52"/>
      <c r="I15" s="52"/>
      <c r="J15" s="100" t="str">
        <f aca="true">IF(OR($B15="",$I15=""),"",$I15-TODAY())</f>
        <v/>
      </c>
      <c r="K15" s="101" t="str">
        <f aca="false">IF($B15="","",IF($I15="","∞ Vitalício",IF($J15&lt;0,"■ Vencido",IF($J15&lt;=Listas!$H$6,"▲ A vencer","● Ativo"))))</f>
        <v/>
      </c>
      <c r="L15" s="102"/>
      <c r="M15" s="102"/>
      <c r="N15" s="43" t="str">
        <f aca="false">IF($B15="","",IF(N($L15)=0,0,MIN(1,N($M15)/$L15)))</f>
        <v/>
      </c>
      <c r="O15" s="63" t="str">
        <f aca="false">IF($B15="","",SUMIFS('Diário de Estudo'!$D$7:$D$506,'Diário de Estudo'!$C$7:$C$506,$B15))</f>
        <v/>
      </c>
      <c r="P15" s="103" t="str">
        <f aca="false">IF($B15="","",IF(AND(N($O15)&gt;0,N($F15)&gt;0),$F15/$O15,""))</f>
        <v/>
      </c>
      <c r="Q15" s="60" t="str">
        <f aca="true">IF($B15="","",IF(OR(N($L15)=0,$G15=""),"",IF(N($M15)&gt;=$L15,"Concluído",IF(OR(N($M15)&lt;=0,TODAY()&lt;=$G15),"Sem ritmo",TODAY()+ROUNDUP(($L15-$M15)/($M15/(TODAY()-$G15)),0)))))</f>
        <v/>
      </c>
      <c r="R15" s="101" t="str">
        <f aca="false">IF($B15="","",IF(ISNUMBER($Q15),IF(AND(ISNUMBER($I15),$Q15&gt;$I15),"■ Estoura o acesso",IF(AND(ISNUMBER($H15),$Q15&gt;$H15),"▲ Atrasado vs plano","● No prazo")),IF($Q15="Concluído","◆ Concluído","—")))</f>
        <v/>
      </c>
      <c r="S15" s="81"/>
      <c r="T15" s="81"/>
      <c r="U15" s="81"/>
      <c r="V15" s="37"/>
      <c r="W15" s="37"/>
      <c r="X15" s="37"/>
      <c r="Y15" s="43" t="str">
        <f aca="false">IF($B15="","",IF(N($F15)=0,"",(N($X15)-$F15)/$F15))</f>
        <v/>
      </c>
      <c r="Z15" s="63" t="str">
        <f aca="false">IF($B15="","",IF(N($F15)=0,"",IF(N($X15)&gt;=$F15,0,IF(N($W15)&gt;0,($F15-N($X15))/$W15,"—"))))</f>
        <v/>
      </c>
      <c r="AA15" s="101" t="str">
        <f aca="false">IF($B15="","",IF(N($F15)=0,"—",IF(N($X15)&gt;=$F15,"● Pago",IF(N($X15)&gt;0,"▲ Em retorno","■ Sem retorno"))))</f>
        <v/>
      </c>
      <c r="AB15" s="13"/>
      <c r="AC15" s="13"/>
      <c r="AD15" s="13"/>
      <c r="AE15" s="11"/>
    </row>
    <row r="16" customFormat="false" ht="21.75" hidden="false" customHeight="true" outlineLevel="0" collapsed="false">
      <c r="A16" s="58" t="str">
        <f aca="false">IF($B16="","","RE-"&amp;TEXT(ROW()-9,"00"))</f>
        <v/>
      </c>
      <c r="B16" s="13"/>
      <c r="C16" s="13"/>
      <c r="D16" s="13"/>
      <c r="E16" s="52"/>
      <c r="F16" s="37"/>
      <c r="G16" s="52"/>
      <c r="H16" s="52"/>
      <c r="I16" s="52"/>
      <c r="J16" s="100" t="str">
        <f aca="true">IF(OR($B16="",$I16=""),"",$I16-TODAY())</f>
        <v/>
      </c>
      <c r="K16" s="101" t="str">
        <f aca="false">IF($B16="","",IF($I16="","∞ Vitalício",IF($J16&lt;0,"■ Vencido",IF($J16&lt;=Listas!$H$6,"▲ A vencer","● Ativo"))))</f>
        <v/>
      </c>
      <c r="L16" s="102"/>
      <c r="M16" s="102"/>
      <c r="N16" s="43" t="str">
        <f aca="false">IF($B16="","",IF(N($L16)=0,0,MIN(1,N($M16)/$L16)))</f>
        <v/>
      </c>
      <c r="O16" s="63" t="str">
        <f aca="false">IF($B16="","",SUMIFS('Diário de Estudo'!$D$7:$D$506,'Diário de Estudo'!$C$7:$C$506,$B16))</f>
        <v/>
      </c>
      <c r="P16" s="103" t="str">
        <f aca="false">IF($B16="","",IF(AND(N($O16)&gt;0,N($F16)&gt;0),$F16/$O16,""))</f>
        <v/>
      </c>
      <c r="Q16" s="60" t="str">
        <f aca="true">IF($B16="","",IF(OR(N($L16)=0,$G16=""),"",IF(N($M16)&gt;=$L16,"Concluído",IF(OR(N($M16)&lt;=0,TODAY()&lt;=$G16),"Sem ritmo",TODAY()+ROUNDUP(($L16-$M16)/($M16/(TODAY()-$G16)),0)))))</f>
        <v/>
      </c>
      <c r="R16" s="101" t="str">
        <f aca="false">IF($B16="","",IF(ISNUMBER($Q16),IF(AND(ISNUMBER($I16),$Q16&gt;$I16),"■ Estoura o acesso",IF(AND(ISNUMBER($H16),$Q16&gt;$H16),"▲ Atrasado vs plano","● No prazo")),IF($Q16="Concluído","◆ Concluído","—")))</f>
        <v/>
      </c>
      <c r="S16" s="81"/>
      <c r="T16" s="81"/>
      <c r="U16" s="81"/>
      <c r="V16" s="37"/>
      <c r="W16" s="37"/>
      <c r="X16" s="37"/>
      <c r="Y16" s="43" t="str">
        <f aca="false">IF($B16="","",IF(N($F16)=0,"",(N($X16)-$F16)/$F16))</f>
        <v/>
      </c>
      <c r="Z16" s="63" t="str">
        <f aca="false">IF($B16="","",IF(N($F16)=0,"",IF(N($X16)&gt;=$F16,0,IF(N($W16)&gt;0,($F16-N($X16))/$W16,"—"))))</f>
        <v/>
      </c>
      <c r="AA16" s="101" t="str">
        <f aca="false">IF($B16="","",IF(N($F16)=0,"—",IF(N($X16)&gt;=$F16,"● Pago",IF(N($X16)&gt;0,"▲ Em retorno","■ Sem retorno"))))</f>
        <v/>
      </c>
      <c r="AB16" s="13"/>
      <c r="AC16" s="13"/>
      <c r="AD16" s="13"/>
      <c r="AE16" s="11"/>
    </row>
    <row r="17" customFormat="false" ht="21.75" hidden="false" customHeight="true" outlineLevel="0" collapsed="false">
      <c r="A17" s="58" t="str">
        <f aca="false">IF($B17="","","RE-"&amp;TEXT(ROW()-9,"00"))</f>
        <v/>
      </c>
      <c r="B17" s="13"/>
      <c r="C17" s="13"/>
      <c r="D17" s="13"/>
      <c r="E17" s="52"/>
      <c r="F17" s="37"/>
      <c r="G17" s="52"/>
      <c r="H17" s="52"/>
      <c r="I17" s="52"/>
      <c r="J17" s="100" t="str">
        <f aca="true">IF(OR($B17="",$I17=""),"",$I17-TODAY())</f>
        <v/>
      </c>
      <c r="K17" s="101" t="str">
        <f aca="false">IF($B17="","",IF($I17="","∞ Vitalício",IF($J17&lt;0,"■ Vencido",IF($J17&lt;=Listas!$H$6,"▲ A vencer","● Ativo"))))</f>
        <v/>
      </c>
      <c r="L17" s="102"/>
      <c r="M17" s="102"/>
      <c r="N17" s="43" t="str">
        <f aca="false">IF($B17="","",IF(N($L17)=0,0,MIN(1,N($M17)/$L17)))</f>
        <v/>
      </c>
      <c r="O17" s="63" t="str">
        <f aca="false">IF($B17="","",SUMIFS('Diário de Estudo'!$D$7:$D$506,'Diário de Estudo'!$C$7:$C$506,$B17))</f>
        <v/>
      </c>
      <c r="P17" s="103" t="str">
        <f aca="false">IF($B17="","",IF(AND(N($O17)&gt;0,N($F17)&gt;0),$F17/$O17,""))</f>
        <v/>
      </c>
      <c r="Q17" s="60" t="str">
        <f aca="true">IF($B17="","",IF(OR(N($L17)=0,$G17=""),"",IF(N($M17)&gt;=$L17,"Concluído",IF(OR(N($M17)&lt;=0,TODAY()&lt;=$G17),"Sem ritmo",TODAY()+ROUNDUP(($L17-$M17)/($M17/(TODAY()-$G17)),0)))))</f>
        <v/>
      </c>
      <c r="R17" s="101" t="str">
        <f aca="false">IF($B17="","",IF(ISNUMBER($Q17),IF(AND(ISNUMBER($I17),$Q17&gt;$I17),"■ Estoura o acesso",IF(AND(ISNUMBER($H17),$Q17&gt;$H17),"▲ Atrasado vs plano","● No prazo")),IF($Q17="Concluído","◆ Concluído","—")))</f>
        <v/>
      </c>
      <c r="S17" s="81"/>
      <c r="T17" s="81"/>
      <c r="U17" s="81"/>
      <c r="V17" s="37"/>
      <c r="W17" s="37"/>
      <c r="X17" s="37"/>
      <c r="Y17" s="43" t="str">
        <f aca="false">IF($B17="","",IF(N($F17)=0,"",(N($X17)-$F17)/$F17))</f>
        <v/>
      </c>
      <c r="Z17" s="63" t="str">
        <f aca="false">IF($B17="","",IF(N($F17)=0,"",IF(N($X17)&gt;=$F17,0,IF(N($W17)&gt;0,($F17-N($X17))/$W17,"—"))))</f>
        <v/>
      </c>
      <c r="AA17" s="101" t="str">
        <f aca="false">IF($B17="","",IF(N($F17)=0,"—",IF(N($X17)&gt;=$F17,"● Pago",IF(N($X17)&gt;0,"▲ Em retorno","■ Sem retorno"))))</f>
        <v/>
      </c>
      <c r="AB17" s="13"/>
      <c r="AC17" s="13"/>
      <c r="AD17" s="13"/>
      <c r="AE17" s="11"/>
    </row>
    <row r="18" customFormat="false" ht="21.75" hidden="false" customHeight="true" outlineLevel="0" collapsed="false">
      <c r="A18" s="58" t="str">
        <f aca="false">IF($B18="","","RE-"&amp;TEXT(ROW()-9,"00"))</f>
        <v/>
      </c>
      <c r="B18" s="13"/>
      <c r="C18" s="13"/>
      <c r="D18" s="13"/>
      <c r="E18" s="52"/>
      <c r="F18" s="37"/>
      <c r="G18" s="52"/>
      <c r="H18" s="52"/>
      <c r="I18" s="52"/>
      <c r="J18" s="100" t="str">
        <f aca="true">IF(OR($B18="",$I18=""),"",$I18-TODAY())</f>
        <v/>
      </c>
      <c r="K18" s="101" t="str">
        <f aca="false">IF($B18="","",IF($I18="","∞ Vitalício",IF($J18&lt;0,"■ Vencido",IF($J18&lt;=Listas!$H$6,"▲ A vencer","● Ativo"))))</f>
        <v/>
      </c>
      <c r="L18" s="102"/>
      <c r="M18" s="102"/>
      <c r="N18" s="43" t="str">
        <f aca="false">IF($B18="","",IF(N($L18)=0,0,MIN(1,N($M18)/$L18)))</f>
        <v/>
      </c>
      <c r="O18" s="63" t="str">
        <f aca="false">IF($B18="","",SUMIFS('Diário de Estudo'!$D$7:$D$506,'Diário de Estudo'!$C$7:$C$506,$B18))</f>
        <v/>
      </c>
      <c r="P18" s="103" t="str">
        <f aca="false">IF($B18="","",IF(AND(N($O18)&gt;0,N($F18)&gt;0),$F18/$O18,""))</f>
        <v/>
      </c>
      <c r="Q18" s="60" t="str">
        <f aca="true">IF($B18="","",IF(OR(N($L18)=0,$G18=""),"",IF(N($M18)&gt;=$L18,"Concluído",IF(OR(N($M18)&lt;=0,TODAY()&lt;=$G18),"Sem ritmo",TODAY()+ROUNDUP(($L18-$M18)/($M18/(TODAY()-$G18)),0)))))</f>
        <v/>
      </c>
      <c r="R18" s="101" t="str">
        <f aca="false">IF($B18="","",IF(ISNUMBER($Q18),IF(AND(ISNUMBER($I18),$Q18&gt;$I18),"■ Estoura o acesso",IF(AND(ISNUMBER($H18),$Q18&gt;$H18),"▲ Atrasado vs plano","● No prazo")),IF($Q18="Concluído","◆ Concluído","—")))</f>
        <v/>
      </c>
      <c r="S18" s="81"/>
      <c r="T18" s="81"/>
      <c r="U18" s="81"/>
      <c r="V18" s="37"/>
      <c r="W18" s="37"/>
      <c r="X18" s="37"/>
      <c r="Y18" s="43" t="str">
        <f aca="false">IF($B18="","",IF(N($F18)=0,"",(N($X18)-$F18)/$F18))</f>
        <v/>
      </c>
      <c r="Z18" s="63" t="str">
        <f aca="false">IF($B18="","",IF(N($F18)=0,"",IF(N($X18)&gt;=$F18,0,IF(N($W18)&gt;0,($F18-N($X18))/$W18,"—"))))</f>
        <v/>
      </c>
      <c r="AA18" s="101" t="str">
        <f aca="false">IF($B18="","",IF(N($F18)=0,"—",IF(N($X18)&gt;=$F18,"● Pago",IF(N($X18)&gt;0,"▲ Em retorno","■ Sem retorno"))))</f>
        <v/>
      </c>
      <c r="AB18" s="13"/>
      <c r="AC18" s="13"/>
      <c r="AD18" s="13"/>
      <c r="AE18" s="11"/>
    </row>
    <row r="19" customFormat="false" ht="21.75" hidden="false" customHeight="true" outlineLevel="0" collapsed="false">
      <c r="A19" s="58" t="str">
        <f aca="false">IF($B19="","","RE-"&amp;TEXT(ROW()-9,"00"))</f>
        <v/>
      </c>
      <c r="B19" s="13"/>
      <c r="C19" s="13"/>
      <c r="D19" s="13"/>
      <c r="E19" s="52"/>
      <c r="F19" s="37"/>
      <c r="G19" s="52"/>
      <c r="H19" s="52"/>
      <c r="I19" s="52"/>
      <c r="J19" s="100" t="str">
        <f aca="true">IF(OR($B19="",$I19=""),"",$I19-TODAY())</f>
        <v/>
      </c>
      <c r="K19" s="101" t="str">
        <f aca="false">IF($B19="","",IF($I19="","∞ Vitalício",IF($J19&lt;0,"■ Vencido",IF($J19&lt;=Listas!$H$6,"▲ A vencer","● Ativo"))))</f>
        <v/>
      </c>
      <c r="L19" s="102"/>
      <c r="M19" s="102"/>
      <c r="N19" s="43" t="str">
        <f aca="false">IF($B19="","",IF(N($L19)=0,0,MIN(1,N($M19)/$L19)))</f>
        <v/>
      </c>
      <c r="O19" s="63" t="str">
        <f aca="false">IF($B19="","",SUMIFS('Diário de Estudo'!$D$7:$D$506,'Diário de Estudo'!$C$7:$C$506,$B19))</f>
        <v/>
      </c>
      <c r="P19" s="103" t="str">
        <f aca="false">IF($B19="","",IF(AND(N($O19)&gt;0,N($F19)&gt;0),$F19/$O19,""))</f>
        <v/>
      </c>
      <c r="Q19" s="60" t="str">
        <f aca="true">IF($B19="","",IF(OR(N($L19)=0,$G19=""),"",IF(N($M19)&gt;=$L19,"Concluído",IF(OR(N($M19)&lt;=0,TODAY()&lt;=$G19),"Sem ritmo",TODAY()+ROUNDUP(($L19-$M19)/($M19/(TODAY()-$G19)),0)))))</f>
        <v/>
      </c>
      <c r="R19" s="101" t="str">
        <f aca="false">IF($B19="","",IF(ISNUMBER($Q19),IF(AND(ISNUMBER($I19),$Q19&gt;$I19),"■ Estoura o acesso",IF(AND(ISNUMBER($H19),$Q19&gt;$H19),"▲ Atrasado vs plano","● No prazo")),IF($Q19="Concluído","◆ Concluído","—")))</f>
        <v/>
      </c>
      <c r="S19" s="81"/>
      <c r="T19" s="81"/>
      <c r="U19" s="81"/>
      <c r="V19" s="37"/>
      <c r="W19" s="37"/>
      <c r="X19" s="37"/>
      <c r="Y19" s="43" t="str">
        <f aca="false">IF($B19="","",IF(N($F19)=0,"",(N($X19)-$F19)/$F19))</f>
        <v/>
      </c>
      <c r="Z19" s="63" t="str">
        <f aca="false">IF($B19="","",IF(N($F19)=0,"",IF(N($X19)&gt;=$F19,0,IF(N($W19)&gt;0,($F19-N($X19))/$W19,"—"))))</f>
        <v/>
      </c>
      <c r="AA19" s="101" t="str">
        <f aca="false">IF($B19="","",IF(N($F19)=0,"—",IF(N($X19)&gt;=$F19,"● Pago",IF(N($X19)&gt;0,"▲ Em retorno","■ Sem retorno"))))</f>
        <v/>
      </c>
      <c r="AB19" s="13"/>
      <c r="AC19" s="13"/>
      <c r="AD19" s="13"/>
      <c r="AE19" s="11"/>
    </row>
    <row r="20" customFormat="false" ht="21.75" hidden="false" customHeight="true" outlineLevel="0" collapsed="false">
      <c r="A20" s="58" t="str">
        <f aca="false">IF($B20="","","RE-"&amp;TEXT(ROW()-9,"00"))</f>
        <v/>
      </c>
      <c r="B20" s="13"/>
      <c r="C20" s="13"/>
      <c r="D20" s="13"/>
      <c r="E20" s="52"/>
      <c r="F20" s="37"/>
      <c r="G20" s="52"/>
      <c r="H20" s="52"/>
      <c r="I20" s="52"/>
      <c r="J20" s="100" t="str">
        <f aca="true">IF(OR($B20="",$I20=""),"",$I20-TODAY())</f>
        <v/>
      </c>
      <c r="K20" s="101" t="str">
        <f aca="false">IF($B20="","",IF($I20="","∞ Vitalício",IF($J20&lt;0,"■ Vencido",IF($J20&lt;=Listas!$H$6,"▲ A vencer","● Ativo"))))</f>
        <v/>
      </c>
      <c r="L20" s="102"/>
      <c r="M20" s="102"/>
      <c r="N20" s="43" t="str">
        <f aca="false">IF($B20="","",IF(N($L20)=0,0,MIN(1,N($M20)/$L20)))</f>
        <v/>
      </c>
      <c r="O20" s="63" t="str">
        <f aca="false">IF($B20="","",SUMIFS('Diário de Estudo'!$D$7:$D$506,'Diário de Estudo'!$C$7:$C$506,$B20))</f>
        <v/>
      </c>
      <c r="P20" s="103" t="str">
        <f aca="false">IF($B20="","",IF(AND(N($O20)&gt;0,N($F20)&gt;0),$F20/$O20,""))</f>
        <v/>
      </c>
      <c r="Q20" s="60" t="str">
        <f aca="true">IF($B20="","",IF(OR(N($L20)=0,$G20=""),"",IF(N($M20)&gt;=$L20,"Concluído",IF(OR(N($M20)&lt;=0,TODAY()&lt;=$G20),"Sem ritmo",TODAY()+ROUNDUP(($L20-$M20)/($M20/(TODAY()-$G20)),0)))))</f>
        <v/>
      </c>
      <c r="R20" s="101" t="str">
        <f aca="false">IF($B20="","",IF(ISNUMBER($Q20),IF(AND(ISNUMBER($I20),$Q20&gt;$I20),"■ Estoura o acesso",IF(AND(ISNUMBER($H20),$Q20&gt;$H20),"▲ Atrasado vs plano","● No prazo")),IF($Q20="Concluído","◆ Concluído","—")))</f>
        <v/>
      </c>
      <c r="S20" s="81"/>
      <c r="T20" s="81"/>
      <c r="U20" s="81"/>
      <c r="V20" s="37"/>
      <c r="W20" s="37"/>
      <c r="X20" s="37"/>
      <c r="Y20" s="43" t="str">
        <f aca="false">IF($B20="","",IF(N($F20)=0,"",(N($X20)-$F20)/$F20))</f>
        <v/>
      </c>
      <c r="Z20" s="63" t="str">
        <f aca="false">IF($B20="","",IF(N($F20)=0,"",IF(N($X20)&gt;=$F20,0,IF(N($W20)&gt;0,($F20-N($X20))/$W20,"—"))))</f>
        <v/>
      </c>
      <c r="AA20" s="101" t="str">
        <f aca="false">IF($B20="","",IF(N($F20)=0,"—",IF(N($X20)&gt;=$F20,"● Pago",IF(N($X20)&gt;0,"▲ Em retorno","■ Sem retorno"))))</f>
        <v/>
      </c>
      <c r="AB20" s="13"/>
      <c r="AC20" s="13"/>
      <c r="AD20" s="13"/>
      <c r="AE20" s="11"/>
    </row>
    <row r="21" customFormat="false" ht="21.75" hidden="false" customHeight="true" outlineLevel="0" collapsed="false">
      <c r="A21" s="58" t="str">
        <f aca="false">IF($B21="","","RE-"&amp;TEXT(ROW()-9,"00"))</f>
        <v/>
      </c>
      <c r="B21" s="13"/>
      <c r="C21" s="13"/>
      <c r="D21" s="13"/>
      <c r="E21" s="52"/>
      <c r="F21" s="37"/>
      <c r="G21" s="52"/>
      <c r="H21" s="52"/>
      <c r="I21" s="52"/>
      <c r="J21" s="100" t="str">
        <f aca="true">IF(OR($B21="",$I21=""),"",$I21-TODAY())</f>
        <v/>
      </c>
      <c r="K21" s="101" t="str">
        <f aca="false">IF($B21="","",IF($I21="","∞ Vitalício",IF($J21&lt;0,"■ Vencido",IF($J21&lt;=Listas!$H$6,"▲ A vencer","● Ativo"))))</f>
        <v/>
      </c>
      <c r="L21" s="102"/>
      <c r="M21" s="102"/>
      <c r="N21" s="43" t="str">
        <f aca="false">IF($B21="","",IF(N($L21)=0,0,MIN(1,N($M21)/$L21)))</f>
        <v/>
      </c>
      <c r="O21" s="63" t="str">
        <f aca="false">IF($B21="","",SUMIFS('Diário de Estudo'!$D$7:$D$506,'Diário de Estudo'!$C$7:$C$506,$B21))</f>
        <v/>
      </c>
      <c r="P21" s="103" t="str">
        <f aca="false">IF($B21="","",IF(AND(N($O21)&gt;0,N($F21)&gt;0),$F21/$O21,""))</f>
        <v/>
      </c>
      <c r="Q21" s="60" t="str">
        <f aca="true">IF($B21="","",IF(OR(N($L21)=0,$G21=""),"",IF(N($M21)&gt;=$L21,"Concluído",IF(OR(N($M21)&lt;=0,TODAY()&lt;=$G21),"Sem ritmo",TODAY()+ROUNDUP(($L21-$M21)/($M21/(TODAY()-$G21)),0)))))</f>
        <v/>
      </c>
      <c r="R21" s="101" t="str">
        <f aca="false">IF($B21="","",IF(ISNUMBER($Q21),IF(AND(ISNUMBER($I21),$Q21&gt;$I21),"■ Estoura o acesso",IF(AND(ISNUMBER($H21),$Q21&gt;$H21),"▲ Atrasado vs plano","● No prazo")),IF($Q21="Concluído","◆ Concluído","—")))</f>
        <v/>
      </c>
      <c r="S21" s="81"/>
      <c r="T21" s="81"/>
      <c r="U21" s="81"/>
      <c r="V21" s="37"/>
      <c r="W21" s="37"/>
      <c r="X21" s="37"/>
      <c r="Y21" s="43" t="str">
        <f aca="false">IF($B21="","",IF(N($F21)=0,"",(N($X21)-$F21)/$F21))</f>
        <v/>
      </c>
      <c r="Z21" s="63" t="str">
        <f aca="false">IF($B21="","",IF(N($F21)=0,"",IF(N($X21)&gt;=$F21,0,IF(N($W21)&gt;0,($F21-N($X21))/$W21,"—"))))</f>
        <v/>
      </c>
      <c r="AA21" s="101" t="str">
        <f aca="false">IF($B21="","",IF(N($F21)=0,"—",IF(N($X21)&gt;=$F21,"● Pago",IF(N($X21)&gt;0,"▲ Em retorno","■ Sem retorno"))))</f>
        <v/>
      </c>
      <c r="AB21" s="13"/>
      <c r="AC21" s="13"/>
      <c r="AD21" s="13"/>
      <c r="AE21" s="11"/>
    </row>
    <row r="22" customFormat="false" ht="21.75" hidden="false" customHeight="true" outlineLevel="0" collapsed="false">
      <c r="A22" s="58" t="str">
        <f aca="false">IF($B22="","","RE-"&amp;TEXT(ROW()-9,"00"))</f>
        <v/>
      </c>
      <c r="B22" s="13"/>
      <c r="C22" s="13"/>
      <c r="D22" s="13"/>
      <c r="E22" s="52"/>
      <c r="F22" s="37"/>
      <c r="G22" s="52"/>
      <c r="H22" s="52"/>
      <c r="I22" s="52"/>
      <c r="J22" s="100" t="str">
        <f aca="true">IF(OR($B22="",$I22=""),"",$I22-TODAY())</f>
        <v/>
      </c>
      <c r="K22" s="101" t="str">
        <f aca="false">IF($B22="","",IF($I22="","∞ Vitalício",IF($J22&lt;0,"■ Vencido",IF($J22&lt;=Listas!$H$6,"▲ A vencer","● Ativo"))))</f>
        <v/>
      </c>
      <c r="L22" s="102"/>
      <c r="M22" s="102"/>
      <c r="N22" s="43" t="str">
        <f aca="false">IF($B22="","",IF(N($L22)=0,0,MIN(1,N($M22)/$L22)))</f>
        <v/>
      </c>
      <c r="O22" s="63" t="str">
        <f aca="false">IF($B22="","",SUMIFS('Diário de Estudo'!$D$7:$D$506,'Diário de Estudo'!$C$7:$C$506,$B22))</f>
        <v/>
      </c>
      <c r="P22" s="103" t="str">
        <f aca="false">IF($B22="","",IF(AND(N($O22)&gt;0,N($F22)&gt;0),$F22/$O22,""))</f>
        <v/>
      </c>
      <c r="Q22" s="60" t="str">
        <f aca="true">IF($B22="","",IF(OR(N($L22)=0,$G22=""),"",IF(N($M22)&gt;=$L22,"Concluído",IF(OR(N($M22)&lt;=0,TODAY()&lt;=$G22),"Sem ritmo",TODAY()+ROUNDUP(($L22-$M22)/($M22/(TODAY()-$G22)),0)))))</f>
        <v/>
      </c>
      <c r="R22" s="101" t="str">
        <f aca="false">IF($B22="","",IF(ISNUMBER($Q22),IF(AND(ISNUMBER($I22),$Q22&gt;$I22),"■ Estoura o acesso",IF(AND(ISNUMBER($H22),$Q22&gt;$H22),"▲ Atrasado vs plano","● No prazo")),IF($Q22="Concluído","◆ Concluído","—")))</f>
        <v/>
      </c>
      <c r="S22" s="81"/>
      <c r="T22" s="81"/>
      <c r="U22" s="81"/>
      <c r="V22" s="37"/>
      <c r="W22" s="37"/>
      <c r="X22" s="37"/>
      <c r="Y22" s="43" t="str">
        <f aca="false">IF($B22="","",IF(N($F22)=0,"",(N($X22)-$F22)/$F22))</f>
        <v/>
      </c>
      <c r="Z22" s="63" t="str">
        <f aca="false">IF($B22="","",IF(N($F22)=0,"",IF(N($X22)&gt;=$F22,0,IF(N($W22)&gt;0,($F22-N($X22))/$W22,"—"))))</f>
        <v/>
      </c>
      <c r="AA22" s="101" t="str">
        <f aca="false">IF($B22="","",IF(N($F22)=0,"—",IF(N($X22)&gt;=$F22,"● Pago",IF(N($X22)&gt;0,"▲ Em retorno","■ Sem retorno"))))</f>
        <v/>
      </c>
      <c r="AB22" s="13"/>
      <c r="AC22" s="13"/>
      <c r="AD22" s="13"/>
      <c r="AE22" s="11"/>
    </row>
    <row r="23" customFormat="false" ht="21.75" hidden="false" customHeight="true" outlineLevel="0" collapsed="false">
      <c r="A23" s="58" t="str">
        <f aca="false">IF($B23="","","RE-"&amp;TEXT(ROW()-9,"00"))</f>
        <v/>
      </c>
      <c r="B23" s="13"/>
      <c r="C23" s="13"/>
      <c r="D23" s="13"/>
      <c r="E23" s="52"/>
      <c r="F23" s="37"/>
      <c r="G23" s="52"/>
      <c r="H23" s="52"/>
      <c r="I23" s="52"/>
      <c r="J23" s="100" t="str">
        <f aca="true">IF(OR($B23="",$I23=""),"",$I23-TODAY())</f>
        <v/>
      </c>
      <c r="K23" s="101" t="str">
        <f aca="false">IF($B23="","",IF($I23="","∞ Vitalício",IF($J23&lt;0,"■ Vencido",IF($J23&lt;=Listas!$H$6,"▲ A vencer","● Ativo"))))</f>
        <v/>
      </c>
      <c r="L23" s="102"/>
      <c r="M23" s="102"/>
      <c r="N23" s="43" t="str">
        <f aca="false">IF($B23="","",IF(N($L23)=0,0,MIN(1,N($M23)/$L23)))</f>
        <v/>
      </c>
      <c r="O23" s="63" t="str">
        <f aca="false">IF($B23="","",SUMIFS('Diário de Estudo'!$D$7:$D$506,'Diário de Estudo'!$C$7:$C$506,$B23))</f>
        <v/>
      </c>
      <c r="P23" s="103" t="str">
        <f aca="false">IF($B23="","",IF(AND(N($O23)&gt;0,N($F23)&gt;0),$F23/$O23,""))</f>
        <v/>
      </c>
      <c r="Q23" s="60" t="str">
        <f aca="true">IF($B23="","",IF(OR(N($L23)=0,$G23=""),"",IF(N($M23)&gt;=$L23,"Concluído",IF(OR(N($M23)&lt;=0,TODAY()&lt;=$G23),"Sem ritmo",TODAY()+ROUNDUP(($L23-$M23)/($M23/(TODAY()-$G23)),0)))))</f>
        <v/>
      </c>
      <c r="R23" s="101" t="str">
        <f aca="false">IF($B23="","",IF(ISNUMBER($Q23),IF(AND(ISNUMBER($I23),$Q23&gt;$I23),"■ Estoura o acesso",IF(AND(ISNUMBER($H23),$Q23&gt;$H23),"▲ Atrasado vs plano","● No prazo")),IF($Q23="Concluído","◆ Concluído","—")))</f>
        <v/>
      </c>
      <c r="S23" s="81"/>
      <c r="T23" s="81"/>
      <c r="U23" s="81"/>
      <c r="V23" s="37"/>
      <c r="W23" s="37"/>
      <c r="X23" s="37"/>
      <c r="Y23" s="43" t="str">
        <f aca="false">IF($B23="","",IF(N($F23)=0,"",(N($X23)-$F23)/$F23))</f>
        <v/>
      </c>
      <c r="Z23" s="63" t="str">
        <f aca="false">IF($B23="","",IF(N($F23)=0,"",IF(N($X23)&gt;=$F23,0,IF(N($W23)&gt;0,($F23-N($X23))/$W23,"—"))))</f>
        <v/>
      </c>
      <c r="AA23" s="101" t="str">
        <f aca="false">IF($B23="","",IF(N($F23)=0,"—",IF(N($X23)&gt;=$F23,"● Pago",IF(N($X23)&gt;0,"▲ Em retorno","■ Sem retorno"))))</f>
        <v/>
      </c>
      <c r="AB23" s="13"/>
      <c r="AC23" s="13"/>
      <c r="AD23" s="13"/>
      <c r="AE23" s="11"/>
    </row>
    <row r="24" customFormat="false" ht="21.75" hidden="false" customHeight="true" outlineLevel="0" collapsed="false">
      <c r="A24" s="58" t="str">
        <f aca="false">IF($B24="","","RE-"&amp;TEXT(ROW()-9,"00"))</f>
        <v/>
      </c>
      <c r="B24" s="13"/>
      <c r="C24" s="13"/>
      <c r="D24" s="13"/>
      <c r="E24" s="52"/>
      <c r="F24" s="37"/>
      <c r="G24" s="52"/>
      <c r="H24" s="52"/>
      <c r="I24" s="52"/>
      <c r="J24" s="100" t="str">
        <f aca="true">IF(OR($B24="",$I24=""),"",$I24-TODAY())</f>
        <v/>
      </c>
      <c r="K24" s="101" t="str">
        <f aca="false">IF($B24="","",IF($I24="","∞ Vitalício",IF($J24&lt;0,"■ Vencido",IF($J24&lt;=Listas!$H$6,"▲ A vencer","● Ativo"))))</f>
        <v/>
      </c>
      <c r="L24" s="102"/>
      <c r="M24" s="102"/>
      <c r="N24" s="43" t="str">
        <f aca="false">IF($B24="","",IF(N($L24)=0,0,MIN(1,N($M24)/$L24)))</f>
        <v/>
      </c>
      <c r="O24" s="63" t="str">
        <f aca="false">IF($B24="","",SUMIFS('Diário de Estudo'!$D$7:$D$506,'Diário de Estudo'!$C$7:$C$506,$B24))</f>
        <v/>
      </c>
      <c r="P24" s="103" t="str">
        <f aca="false">IF($B24="","",IF(AND(N($O24)&gt;0,N($F24)&gt;0),$F24/$O24,""))</f>
        <v/>
      </c>
      <c r="Q24" s="60" t="str">
        <f aca="true">IF($B24="","",IF(OR(N($L24)=0,$G24=""),"",IF(N($M24)&gt;=$L24,"Concluído",IF(OR(N($M24)&lt;=0,TODAY()&lt;=$G24),"Sem ritmo",TODAY()+ROUNDUP(($L24-$M24)/($M24/(TODAY()-$G24)),0)))))</f>
        <v/>
      </c>
      <c r="R24" s="101" t="str">
        <f aca="false">IF($B24="","",IF(ISNUMBER($Q24),IF(AND(ISNUMBER($I24),$Q24&gt;$I24),"■ Estoura o acesso",IF(AND(ISNUMBER($H24),$Q24&gt;$H24),"▲ Atrasado vs plano","● No prazo")),IF($Q24="Concluído","◆ Concluído","—")))</f>
        <v/>
      </c>
      <c r="S24" s="81"/>
      <c r="T24" s="81"/>
      <c r="U24" s="81"/>
      <c r="V24" s="37"/>
      <c r="W24" s="37"/>
      <c r="X24" s="37"/>
      <c r="Y24" s="43" t="str">
        <f aca="false">IF($B24="","",IF(N($F24)=0,"",(N($X24)-$F24)/$F24))</f>
        <v/>
      </c>
      <c r="Z24" s="63" t="str">
        <f aca="false">IF($B24="","",IF(N($F24)=0,"",IF(N($X24)&gt;=$F24,0,IF(N($W24)&gt;0,($F24-N($X24))/$W24,"—"))))</f>
        <v/>
      </c>
      <c r="AA24" s="101" t="str">
        <f aca="false">IF($B24="","",IF(N($F24)=0,"—",IF(N($X24)&gt;=$F24,"● Pago",IF(N($X24)&gt;0,"▲ Em retorno","■ Sem retorno"))))</f>
        <v/>
      </c>
      <c r="AB24" s="13"/>
      <c r="AC24" s="13"/>
      <c r="AD24" s="13"/>
      <c r="AE24" s="11"/>
    </row>
    <row r="25" customFormat="false" ht="21.75" hidden="false" customHeight="true" outlineLevel="0" collapsed="false">
      <c r="A25" s="58" t="str">
        <f aca="false">IF($B25="","","RE-"&amp;TEXT(ROW()-9,"00"))</f>
        <v/>
      </c>
      <c r="B25" s="13"/>
      <c r="C25" s="13"/>
      <c r="D25" s="13"/>
      <c r="E25" s="52"/>
      <c r="F25" s="37"/>
      <c r="G25" s="52"/>
      <c r="H25" s="52"/>
      <c r="I25" s="52"/>
      <c r="J25" s="100" t="str">
        <f aca="true">IF(OR($B25="",$I25=""),"",$I25-TODAY())</f>
        <v/>
      </c>
      <c r="K25" s="101" t="str">
        <f aca="false">IF($B25="","",IF($I25="","∞ Vitalício",IF($J25&lt;0,"■ Vencido",IF($J25&lt;=Listas!$H$6,"▲ A vencer","● Ativo"))))</f>
        <v/>
      </c>
      <c r="L25" s="102"/>
      <c r="M25" s="102"/>
      <c r="N25" s="43" t="str">
        <f aca="false">IF($B25="","",IF(N($L25)=0,0,MIN(1,N($M25)/$L25)))</f>
        <v/>
      </c>
      <c r="O25" s="63" t="str">
        <f aca="false">IF($B25="","",SUMIFS('Diário de Estudo'!$D$7:$D$506,'Diário de Estudo'!$C$7:$C$506,$B25))</f>
        <v/>
      </c>
      <c r="P25" s="103" t="str">
        <f aca="false">IF($B25="","",IF(AND(N($O25)&gt;0,N($F25)&gt;0),$F25/$O25,""))</f>
        <v/>
      </c>
      <c r="Q25" s="60" t="str">
        <f aca="true">IF($B25="","",IF(OR(N($L25)=0,$G25=""),"",IF(N($M25)&gt;=$L25,"Concluído",IF(OR(N($M25)&lt;=0,TODAY()&lt;=$G25),"Sem ritmo",TODAY()+ROUNDUP(($L25-$M25)/($M25/(TODAY()-$G25)),0)))))</f>
        <v/>
      </c>
      <c r="R25" s="101" t="str">
        <f aca="false">IF($B25="","",IF(ISNUMBER($Q25),IF(AND(ISNUMBER($I25),$Q25&gt;$I25),"■ Estoura o acesso",IF(AND(ISNUMBER($H25),$Q25&gt;$H25),"▲ Atrasado vs plano","● No prazo")),IF($Q25="Concluído","◆ Concluído","—")))</f>
        <v/>
      </c>
      <c r="S25" s="81"/>
      <c r="T25" s="81"/>
      <c r="U25" s="81"/>
      <c r="V25" s="37"/>
      <c r="W25" s="37"/>
      <c r="X25" s="37"/>
      <c r="Y25" s="43" t="str">
        <f aca="false">IF($B25="","",IF(N($F25)=0,"",(N($X25)-$F25)/$F25))</f>
        <v/>
      </c>
      <c r="Z25" s="63" t="str">
        <f aca="false">IF($B25="","",IF(N($F25)=0,"",IF(N($X25)&gt;=$F25,0,IF(N($W25)&gt;0,($F25-N($X25))/$W25,"—"))))</f>
        <v/>
      </c>
      <c r="AA25" s="101" t="str">
        <f aca="false">IF($B25="","",IF(N($F25)=0,"—",IF(N($X25)&gt;=$F25,"● Pago",IF(N($X25)&gt;0,"▲ Em retorno","■ Sem retorno"))))</f>
        <v/>
      </c>
      <c r="AB25" s="13"/>
      <c r="AC25" s="13"/>
      <c r="AD25" s="13"/>
      <c r="AE25" s="11"/>
    </row>
    <row r="26" customFormat="false" ht="21.75" hidden="false" customHeight="true" outlineLevel="0" collapsed="false">
      <c r="A26" s="58" t="str">
        <f aca="false">IF($B26="","","RE-"&amp;TEXT(ROW()-9,"00"))</f>
        <v/>
      </c>
      <c r="B26" s="13"/>
      <c r="C26" s="13"/>
      <c r="D26" s="13"/>
      <c r="E26" s="52"/>
      <c r="F26" s="37"/>
      <c r="G26" s="52"/>
      <c r="H26" s="52"/>
      <c r="I26" s="52"/>
      <c r="J26" s="100" t="str">
        <f aca="true">IF(OR($B26="",$I26=""),"",$I26-TODAY())</f>
        <v/>
      </c>
      <c r="K26" s="101" t="str">
        <f aca="false">IF($B26="","",IF($I26="","∞ Vitalício",IF($J26&lt;0,"■ Vencido",IF($J26&lt;=Listas!$H$6,"▲ A vencer","● Ativo"))))</f>
        <v/>
      </c>
      <c r="L26" s="102"/>
      <c r="M26" s="102"/>
      <c r="N26" s="43" t="str">
        <f aca="false">IF($B26="","",IF(N($L26)=0,0,MIN(1,N($M26)/$L26)))</f>
        <v/>
      </c>
      <c r="O26" s="63" t="str">
        <f aca="false">IF($B26="","",SUMIFS('Diário de Estudo'!$D$7:$D$506,'Diário de Estudo'!$C$7:$C$506,$B26))</f>
        <v/>
      </c>
      <c r="P26" s="103" t="str">
        <f aca="false">IF($B26="","",IF(AND(N($O26)&gt;0,N($F26)&gt;0),$F26/$O26,""))</f>
        <v/>
      </c>
      <c r="Q26" s="60" t="str">
        <f aca="true">IF($B26="","",IF(OR(N($L26)=0,$G26=""),"",IF(N($M26)&gt;=$L26,"Concluído",IF(OR(N($M26)&lt;=0,TODAY()&lt;=$G26),"Sem ritmo",TODAY()+ROUNDUP(($L26-$M26)/($M26/(TODAY()-$G26)),0)))))</f>
        <v/>
      </c>
      <c r="R26" s="101" t="str">
        <f aca="false">IF($B26="","",IF(ISNUMBER($Q26),IF(AND(ISNUMBER($I26),$Q26&gt;$I26),"■ Estoura o acesso",IF(AND(ISNUMBER($H26),$Q26&gt;$H26),"▲ Atrasado vs plano","● No prazo")),IF($Q26="Concluído","◆ Concluído","—")))</f>
        <v/>
      </c>
      <c r="S26" s="81"/>
      <c r="T26" s="81"/>
      <c r="U26" s="81"/>
      <c r="V26" s="37"/>
      <c r="W26" s="37"/>
      <c r="X26" s="37"/>
      <c r="Y26" s="43" t="str">
        <f aca="false">IF($B26="","",IF(N($F26)=0,"",(N($X26)-$F26)/$F26))</f>
        <v/>
      </c>
      <c r="Z26" s="63" t="str">
        <f aca="false">IF($B26="","",IF(N($F26)=0,"",IF(N($X26)&gt;=$F26,0,IF(N($W26)&gt;0,($F26-N($X26))/$W26,"—"))))</f>
        <v/>
      </c>
      <c r="AA26" s="101" t="str">
        <f aca="false">IF($B26="","",IF(N($F26)=0,"—",IF(N($X26)&gt;=$F26,"● Pago",IF(N($X26)&gt;0,"▲ Em retorno","■ Sem retorno"))))</f>
        <v/>
      </c>
      <c r="AB26" s="13"/>
      <c r="AC26" s="13"/>
      <c r="AD26" s="13"/>
      <c r="AE26" s="11"/>
    </row>
    <row r="27" customFormat="false" ht="21.75" hidden="false" customHeight="true" outlineLevel="0" collapsed="false">
      <c r="A27" s="58" t="str">
        <f aca="false">IF($B27="","","RE-"&amp;TEXT(ROW()-9,"00"))</f>
        <v/>
      </c>
      <c r="B27" s="13"/>
      <c r="C27" s="13"/>
      <c r="D27" s="13"/>
      <c r="E27" s="52"/>
      <c r="F27" s="37"/>
      <c r="G27" s="52"/>
      <c r="H27" s="52"/>
      <c r="I27" s="52"/>
      <c r="J27" s="100" t="str">
        <f aca="true">IF(OR($B27="",$I27=""),"",$I27-TODAY())</f>
        <v/>
      </c>
      <c r="K27" s="101" t="str">
        <f aca="false">IF($B27="","",IF($I27="","∞ Vitalício",IF($J27&lt;0,"■ Vencido",IF($J27&lt;=Listas!$H$6,"▲ A vencer","● Ativo"))))</f>
        <v/>
      </c>
      <c r="L27" s="102"/>
      <c r="M27" s="102"/>
      <c r="N27" s="43" t="str">
        <f aca="false">IF($B27="","",IF(N($L27)=0,0,MIN(1,N($M27)/$L27)))</f>
        <v/>
      </c>
      <c r="O27" s="63" t="str">
        <f aca="false">IF($B27="","",SUMIFS('Diário de Estudo'!$D$7:$D$506,'Diário de Estudo'!$C$7:$C$506,$B27))</f>
        <v/>
      </c>
      <c r="P27" s="103" t="str">
        <f aca="false">IF($B27="","",IF(AND(N($O27)&gt;0,N($F27)&gt;0),$F27/$O27,""))</f>
        <v/>
      </c>
      <c r="Q27" s="60" t="str">
        <f aca="true">IF($B27="","",IF(OR(N($L27)=0,$G27=""),"",IF(N($M27)&gt;=$L27,"Concluído",IF(OR(N($M27)&lt;=0,TODAY()&lt;=$G27),"Sem ritmo",TODAY()+ROUNDUP(($L27-$M27)/($M27/(TODAY()-$G27)),0)))))</f>
        <v/>
      </c>
      <c r="R27" s="101" t="str">
        <f aca="false">IF($B27="","",IF(ISNUMBER($Q27),IF(AND(ISNUMBER($I27),$Q27&gt;$I27),"■ Estoura o acesso",IF(AND(ISNUMBER($H27),$Q27&gt;$H27),"▲ Atrasado vs plano","● No prazo")),IF($Q27="Concluído","◆ Concluído","—")))</f>
        <v/>
      </c>
      <c r="S27" s="81"/>
      <c r="T27" s="81"/>
      <c r="U27" s="81"/>
      <c r="V27" s="37"/>
      <c r="W27" s="37"/>
      <c r="X27" s="37"/>
      <c r="Y27" s="43" t="str">
        <f aca="false">IF($B27="","",IF(N($F27)=0,"",(N($X27)-$F27)/$F27))</f>
        <v/>
      </c>
      <c r="Z27" s="63" t="str">
        <f aca="false">IF($B27="","",IF(N($F27)=0,"",IF(N($X27)&gt;=$F27,0,IF(N($W27)&gt;0,($F27-N($X27))/$W27,"—"))))</f>
        <v/>
      </c>
      <c r="AA27" s="101" t="str">
        <f aca="false">IF($B27="","",IF(N($F27)=0,"—",IF(N($X27)&gt;=$F27,"● Pago",IF(N($X27)&gt;0,"▲ Em retorno","■ Sem retorno"))))</f>
        <v/>
      </c>
      <c r="AB27" s="13"/>
      <c r="AC27" s="13"/>
      <c r="AD27" s="13"/>
      <c r="AE27" s="11"/>
    </row>
    <row r="28" customFormat="false" ht="21.75" hidden="false" customHeight="true" outlineLevel="0" collapsed="false">
      <c r="A28" s="58" t="str">
        <f aca="false">IF($B28="","","RE-"&amp;TEXT(ROW()-9,"00"))</f>
        <v/>
      </c>
      <c r="B28" s="13"/>
      <c r="C28" s="13"/>
      <c r="D28" s="13"/>
      <c r="E28" s="52"/>
      <c r="F28" s="37"/>
      <c r="G28" s="52"/>
      <c r="H28" s="52"/>
      <c r="I28" s="52"/>
      <c r="J28" s="100" t="str">
        <f aca="true">IF(OR($B28="",$I28=""),"",$I28-TODAY())</f>
        <v/>
      </c>
      <c r="K28" s="101" t="str">
        <f aca="false">IF($B28="","",IF($I28="","∞ Vitalício",IF($J28&lt;0,"■ Vencido",IF($J28&lt;=Listas!$H$6,"▲ A vencer","● Ativo"))))</f>
        <v/>
      </c>
      <c r="L28" s="102"/>
      <c r="M28" s="102"/>
      <c r="N28" s="43" t="str">
        <f aca="false">IF($B28="","",IF(N($L28)=0,0,MIN(1,N($M28)/$L28)))</f>
        <v/>
      </c>
      <c r="O28" s="63" t="str">
        <f aca="false">IF($B28="","",SUMIFS('Diário de Estudo'!$D$7:$D$506,'Diário de Estudo'!$C$7:$C$506,$B28))</f>
        <v/>
      </c>
      <c r="P28" s="103" t="str">
        <f aca="false">IF($B28="","",IF(AND(N($O28)&gt;0,N($F28)&gt;0),$F28/$O28,""))</f>
        <v/>
      </c>
      <c r="Q28" s="60" t="str">
        <f aca="true">IF($B28="","",IF(OR(N($L28)=0,$G28=""),"",IF(N($M28)&gt;=$L28,"Concluído",IF(OR(N($M28)&lt;=0,TODAY()&lt;=$G28),"Sem ritmo",TODAY()+ROUNDUP(($L28-$M28)/($M28/(TODAY()-$G28)),0)))))</f>
        <v/>
      </c>
      <c r="R28" s="101" t="str">
        <f aca="false">IF($B28="","",IF(ISNUMBER($Q28),IF(AND(ISNUMBER($I28),$Q28&gt;$I28),"■ Estoura o acesso",IF(AND(ISNUMBER($H28),$Q28&gt;$H28),"▲ Atrasado vs plano","● No prazo")),IF($Q28="Concluído","◆ Concluído","—")))</f>
        <v/>
      </c>
      <c r="S28" s="81"/>
      <c r="T28" s="81"/>
      <c r="U28" s="81"/>
      <c r="V28" s="37"/>
      <c r="W28" s="37"/>
      <c r="X28" s="37"/>
      <c r="Y28" s="43" t="str">
        <f aca="false">IF($B28="","",IF(N($F28)=0,"",(N($X28)-$F28)/$F28))</f>
        <v/>
      </c>
      <c r="Z28" s="63" t="str">
        <f aca="false">IF($B28="","",IF(N($F28)=0,"",IF(N($X28)&gt;=$F28,0,IF(N($W28)&gt;0,($F28-N($X28))/$W28,"—"))))</f>
        <v/>
      </c>
      <c r="AA28" s="101" t="str">
        <f aca="false">IF($B28="","",IF(N($F28)=0,"—",IF(N($X28)&gt;=$F28,"● Pago",IF(N($X28)&gt;0,"▲ Em retorno","■ Sem retorno"))))</f>
        <v/>
      </c>
      <c r="AB28" s="13"/>
      <c r="AC28" s="13"/>
      <c r="AD28" s="13"/>
      <c r="AE28" s="11"/>
    </row>
    <row r="29" customFormat="false" ht="21.75" hidden="false" customHeight="true" outlineLevel="0" collapsed="false">
      <c r="A29" s="58" t="str">
        <f aca="false">IF($B29="","","RE-"&amp;TEXT(ROW()-9,"00"))</f>
        <v/>
      </c>
      <c r="B29" s="13"/>
      <c r="C29" s="13"/>
      <c r="D29" s="13"/>
      <c r="E29" s="52"/>
      <c r="F29" s="37"/>
      <c r="G29" s="52"/>
      <c r="H29" s="52"/>
      <c r="I29" s="52"/>
      <c r="J29" s="100" t="str">
        <f aca="true">IF(OR($B29="",$I29=""),"",$I29-TODAY())</f>
        <v/>
      </c>
      <c r="K29" s="101" t="str">
        <f aca="false">IF($B29="","",IF($I29="","∞ Vitalício",IF($J29&lt;0,"■ Vencido",IF($J29&lt;=Listas!$H$6,"▲ A vencer","● Ativo"))))</f>
        <v/>
      </c>
      <c r="L29" s="102"/>
      <c r="M29" s="102"/>
      <c r="N29" s="43" t="str">
        <f aca="false">IF($B29="","",IF(N($L29)=0,0,MIN(1,N($M29)/$L29)))</f>
        <v/>
      </c>
      <c r="O29" s="63" t="str">
        <f aca="false">IF($B29="","",SUMIFS('Diário de Estudo'!$D$7:$D$506,'Diário de Estudo'!$C$7:$C$506,$B29))</f>
        <v/>
      </c>
      <c r="P29" s="103" t="str">
        <f aca="false">IF($B29="","",IF(AND(N($O29)&gt;0,N($F29)&gt;0),$F29/$O29,""))</f>
        <v/>
      </c>
      <c r="Q29" s="60" t="str">
        <f aca="true">IF($B29="","",IF(OR(N($L29)=0,$G29=""),"",IF(N($M29)&gt;=$L29,"Concluído",IF(OR(N($M29)&lt;=0,TODAY()&lt;=$G29),"Sem ritmo",TODAY()+ROUNDUP(($L29-$M29)/($M29/(TODAY()-$G29)),0)))))</f>
        <v/>
      </c>
      <c r="R29" s="101" t="str">
        <f aca="false">IF($B29="","",IF(ISNUMBER($Q29),IF(AND(ISNUMBER($I29),$Q29&gt;$I29),"■ Estoura o acesso",IF(AND(ISNUMBER($H29),$Q29&gt;$H29),"▲ Atrasado vs plano","● No prazo")),IF($Q29="Concluído","◆ Concluído","—")))</f>
        <v/>
      </c>
      <c r="S29" s="81"/>
      <c r="T29" s="81"/>
      <c r="U29" s="81"/>
      <c r="V29" s="37"/>
      <c r="W29" s="37"/>
      <c r="X29" s="37"/>
      <c r="Y29" s="43" t="str">
        <f aca="false">IF($B29="","",IF(N($F29)=0,"",(N($X29)-$F29)/$F29))</f>
        <v/>
      </c>
      <c r="Z29" s="63" t="str">
        <f aca="false">IF($B29="","",IF(N($F29)=0,"",IF(N($X29)&gt;=$F29,0,IF(N($W29)&gt;0,($F29-N($X29))/$W29,"—"))))</f>
        <v/>
      </c>
      <c r="AA29" s="101" t="str">
        <f aca="false">IF($B29="","",IF(N($F29)=0,"—",IF(N($X29)&gt;=$F29,"● Pago",IF(N($X29)&gt;0,"▲ Em retorno","■ Sem retorno"))))</f>
        <v/>
      </c>
      <c r="AB29" s="13"/>
      <c r="AC29" s="13"/>
      <c r="AD29" s="13"/>
      <c r="AE29" s="11"/>
    </row>
    <row r="30" customFormat="false" ht="21.75" hidden="false" customHeight="true" outlineLevel="0" collapsed="false">
      <c r="A30" s="58" t="str">
        <f aca="false">IF($B30="","","RE-"&amp;TEXT(ROW()-9,"00"))</f>
        <v/>
      </c>
      <c r="B30" s="13"/>
      <c r="C30" s="13"/>
      <c r="D30" s="13"/>
      <c r="E30" s="52"/>
      <c r="F30" s="37"/>
      <c r="G30" s="52"/>
      <c r="H30" s="52"/>
      <c r="I30" s="52"/>
      <c r="J30" s="100" t="str">
        <f aca="true">IF(OR($B30="",$I30=""),"",$I30-TODAY())</f>
        <v/>
      </c>
      <c r="K30" s="101" t="str">
        <f aca="false">IF($B30="","",IF($I30="","∞ Vitalício",IF($J30&lt;0,"■ Vencido",IF($J30&lt;=Listas!$H$6,"▲ A vencer","● Ativo"))))</f>
        <v/>
      </c>
      <c r="L30" s="102"/>
      <c r="M30" s="102"/>
      <c r="N30" s="43" t="str">
        <f aca="false">IF($B30="","",IF(N($L30)=0,0,MIN(1,N($M30)/$L30)))</f>
        <v/>
      </c>
      <c r="O30" s="63" t="str">
        <f aca="false">IF($B30="","",SUMIFS('Diário de Estudo'!$D$7:$D$506,'Diário de Estudo'!$C$7:$C$506,$B30))</f>
        <v/>
      </c>
      <c r="P30" s="103" t="str">
        <f aca="false">IF($B30="","",IF(AND(N($O30)&gt;0,N($F30)&gt;0),$F30/$O30,""))</f>
        <v/>
      </c>
      <c r="Q30" s="60" t="str">
        <f aca="true">IF($B30="","",IF(OR(N($L30)=0,$G30=""),"",IF(N($M30)&gt;=$L30,"Concluído",IF(OR(N($M30)&lt;=0,TODAY()&lt;=$G30),"Sem ritmo",TODAY()+ROUNDUP(($L30-$M30)/($M30/(TODAY()-$G30)),0)))))</f>
        <v/>
      </c>
      <c r="R30" s="101" t="str">
        <f aca="false">IF($B30="","",IF(ISNUMBER($Q30),IF(AND(ISNUMBER($I30),$Q30&gt;$I30),"■ Estoura o acesso",IF(AND(ISNUMBER($H30),$Q30&gt;$H30),"▲ Atrasado vs plano","● No prazo")),IF($Q30="Concluído","◆ Concluído","—")))</f>
        <v/>
      </c>
      <c r="S30" s="81"/>
      <c r="T30" s="81"/>
      <c r="U30" s="81"/>
      <c r="V30" s="37"/>
      <c r="W30" s="37"/>
      <c r="X30" s="37"/>
      <c r="Y30" s="43" t="str">
        <f aca="false">IF($B30="","",IF(N($F30)=0,"",(N($X30)-$F30)/$F30))</f>
        <v/>
      </c>
      <c r="Z30" s="63" t="str">
        <f aca="false">IF($B30="","",IF(N($F30)=0,"",IF(N($X30)&gt;=$F30,0,IF(N($W30)&gt;0,($F30-N($X30))/$W30,"—"))))</f>
        <v/>
      </c>
      <c r="AA30" s="101" t="str">
        <f aca="false">IF($B30="","",IF(N($F30)=0,"—",IF(N($X30)&gt;=$F30,"● Pago",IF(N($X30)&gt;0,"▲ Em retorno","■ Sem retorno"))))</f>
        <v/>
      </c>
      <c r="AB30" s="13"/>
      <c r="AC30" s="13"/>
      <c r="AD30" s="13"/>
      <c r="AE30" s="11"/>
    </row>
    <row r="31" customFormat="false" ht="21.75" hidden="false" customHeight="true" outlineLevel="0" collapsed="false">
      <c r="A31" s="58" t="str">
        <f aca="false">IF($B31="","","RE-"&amp;TEXT(ROW()-9,"00"))</f>
        <v/>
      </c>
      <c r="B31" s="13"/>
      <c r="C31" s="13"/>
      <c r="D31" s="13"/>
      <c r="E31" s="52"/>
      <c r="F31" s="37"/>
      <c r="G31" s="52"/>
      <c r="H31" s="52"/>
      <c r="I31" s="52"/>
      <c r="J31" s="100" t="str">
        <f aca="true">IF(OR($B31="",$I31=""),"",$I31-TODAY())</f>
        <v/>
      </c>
      <c r="K31" s="101" t="str">
        <f aca="false">IF($B31="","",IF($I31="","∞ Vitalício",IF($J31&lt;0,"■ Vencido",IF($J31&lt;=Listas!$H$6,"▲ A vencer","● Ativo"))))</f>
        <v/>
      </c>
      <c r="L31" s="102"/>
      <c r="M31" s="102"/>
      <c r="N31" s="43" t="str">
        <f aca="false">IF($B31="","",IF(N($L31)=0,0,MIN(1,N($M31)/$L31)))</f>
        <v/>
      </c>
      <c r="O31" s="63" t="str">
        <f aca="false">IF($B31="","",SUMIFS('Diário de Estudo'!$D$7:$D$506,'Diário de Estudo'!$C$7:$C$506,$B31))</f>
        <v/>
      </c>
      <c r="P31" s="103" t="str">
        <f aca="false">IF($B31="","",IF(AND(N($O31)&gt;0,N($F31)&gt;0),$F31/$O31,""))</f>
        <v/>
      </c>
      <c r="Q31" s="60" t="str">
        <f aca="true">IF($B31="","",IF(OR(N($L31)=0,$G31=""),"",IF(N($M31)&gt;=$L31,"Concluído",IF(OR(N($M31)&lt;=0,TODAY()&lt;=$G31),"Sem ritmo",TODAY()+ROUNDUP(($L31-$M31)/($M31/(TODAY()-$G31)),0)))))</f>
        <v/>
      </c>
      <c r="R31" s="101" t="str">
        <f aca="false">IF($B31="","",IF(ISNUMBER($Q31),IF(AND(ISNUMBER($I31),$Q31&gt;$I31),"■ Estoura o acesso",IF(AND(ISNUMBER($H31),$Q31&gt;$H31),"▲ Atrasado vs plano","● No prazo")),IF($Q31="Concluído","◆ Concluído","—")))</f>
        <v/>
      </c>
      <c r="S31" s="81"/>
      <c r="T31" s="81"/>
      <c r="U31" s="81"/>
      <c r="V31" s="37"/>
      <c r="W31" s="37"/>
      <c r="X31" s="37"/>
      <c r="Y31" s="43" t="str">
        <f aca="false">IF($B31="","",IF(N($F31)=0,"",(N($X31)-$F31)/$F31))</f>
        <v/>
      </c>
      <c r="Z31" s="63" t="str">
        <f aca="false">IF($B31="","",IF(N($F31)=0,"",IF(N($X31)&gt;=$F31,0,IF(N($W31)&gt;0,($F31-N($X31))/$W31,"—"))))</f>
        <v/>
      </c>
      <c r="AA31" s="101" t="str">
        <f aca="false">IF($B31="","",IF(N($F31)=0,"—",IF(N($X31)&gt;=$F31,"● Pago",IF(N($X31)&gt;0,"▲ Em retorno","■ Sem retorno"))))</f>
        <v/>
      </c>
      <c r="AB31" s="13"/>
      <c r="AC31" s="13"/>
      <c r="AD31" s="13"/>
      <c r="AE31" s="11"/>
    </row>
    <row r="32" customFormat="false" ht="21.75" hidden="false" customHeight="true" outlineLevel="0" collapsed="false">
      <c r="A32" s="58" t="str">
        <f aca="false">IF($B32="","","RE-"&amp;TEXT(ROW()-9,"00"))</f>
        <v/>
      </c>
      <c r="B32" s="13"/>
      <c r="C32" s="13"/>
      <c r="D32" s="13"/>
      <c r="E32" s="52"/>
      <c r="F32" s="37"/>
      <c r="G32" s="52"/>
      <c r="H32" s="52"/>
      <c r="I32" s="52"/>
      <c r="J32" s="100" t="str">
        <f aca="true">IF(OR($B32="",$I32=""),"",$I32-TODAY())</f>
        <v/>
      </c>
      <c r="K32" s="101" t="str">
        <f aca="false">IF($B32="","",IF($I32="","∞ Vitalício",IF($J32&lt;0,"■ Vencido",IF($J32&lt;=Listas!$H$6,"▲ A vencer","● Ativo"))))</f>
        <v/>
      </c>
      <c r="L32" s="102"/>
      <c r="M32" s="102"/>
      <c r="N32" s="43" t="str">
        <f aca="false">IF($B32="","",IF(N($L32)=0,0,MIN(1,N($M32)/$L32)))</f>
        <v/>
      </c>
      <c r="O32" s="63" t="str">
        <f aca="false">IF($B32="","",SUMIFS('Diário de Estudo'!$D$7:$D$506,'Diário de Estudo'!$C$7:$C$506,$B32))</f>
        <v/>
      </c>
      <c r="P32" s="103" t="str">
        <f aca="false">IF($B32="","",IF(AND(N($O32)&gt;0,N($F32)&gt;0),$F32/$O32,""))</f>
        <v/>
      </c>
      <c r="Q32" s="60" t="str">
        <f aca="true">IF($B32="","",IF(OR(N($L32)=0,$G32=""),"",IF(N($M32)&gt;=$L32,"Concluído",IF(OR(N($M32)&lt;=0,TODAY()&lt;=$G32),"Sem ritmo",TODAY()+ROUNDUP(($L32-$M32)/($M32/(TODAY()-$G32)),0)))))</f>
        <v/>
      </c>
      <c r="R32" s="101" t="str">
        <f aca="false">IF($B32="","",IF(ISNUMBER($Q32),IF(AND(ISNUMBER($I32),$Q32&gt;$I32),"■ Estoura o acesso",IF(AND(ISNUMBER($H32),$Q32&gt;$H32),"▲ Atrasado vs plano","● No prazo")),IF($Q32="Concluído","◆ Concluído","—")))</f>
        <v/>
      </c>
      <c r="S32" s="81"/>
      <c r="T32" s="81"/>
      <c r="U32" s="81"/>
      <c r="V32" s="37"/>
      <c r="W32" s="37"/>
      <c r="X32" s="37"/>
      <c r="Y32" s="43" t="str">
        <f aca="false">IF($B32="","",IF(N($F32)=0,"",(N($X32)-$F32)/$F32))</f>
        <v/>
      </c>
      <c r="Z32" s="63" t="str">
        <f aca="false">IF($B32="","",IF(N($F32)=0,"",IF(N($X32)&gt;=$F32,0,IF(N($W32)&gt;0,($F32-N($X32))/$W32,"—"))))</f>
        <v/>
      </c>
      <c r="AA32" s="101" t="str">
        <f aca="false">IF($B32="","",IF(N($F32)=0,"—",IF(N($X32)&gt;=$F32,"● Pago",IF(N($X32)&gt;0,"▲ Em retorno","■ Sem retorno"))))</f>
        <v/>
      </c>
      <c r="AB32" s="13"/>
      <c r="AC32" s="13"/>
      <c r="AD32" s="13"/>
      <c r="AE32" s="11"/>
    </row>
    <row r="33" customFormat="false" ht="21.75" hidden="false" customHeight="true" outlineLevel="0" collapsed="false">
      <c r="A33" s="58" t="str">
        <f aca="false">IF($B33="","","RE-"&amp;TEXT(ROW()-9,"00"))</f>
        <v/>
      </c>
      <c r="B33" s="13"/>
      <c r="C33" s="13"/>
      <c r="D33" s="13"/>
      <c r="E33" s="52"/>
      <c r="F33" s="37"/>
      <c r="G33" s="52"/>
      <c r="H33" s="52"/>
      <c r="I33" s="52"/>
      <c r="J33" s="100" t="str">
        <f aca="true">IF(OR($B33="",$I33=""),"",$I33-TODAY())</f>
        <v/>
      </c>
      <c r="K33" s="101" t="str">
        <f aca="false">IF($B33="","",IF($I33="","∞ Vitalício",IF($J33&lt;0,"■ Vencido",IF($J33&lt;=Listas!$H$6,"▲ A vencer","● Ativo"))))</f>
        <v/>
      </c>
      <c r="L33" s="102"/>
      <c r="M33" s="102"/>
      <c r="N33" s="43" t="str">
        <f aca="false">IF($B33="","",IF(N($L33)=0,0,MIN(1,N($M33)/$L33)))</f>
        <v/>
      </c>
      <c r="O33" s="63" t="str">
        <f aca="false">IF($B33="","",SUMIFS('Diário de Estudo'!$D$7:$D$506,'Diário de Estudo'!$C$7:$C$506,$B33))</f>
        <v/>
      </c>
      <c r="P33" s="103" t="str">
        <f aca="false">IF($B33="","",IF(AND(N($O33)&gt;0,N($F33)&gt;0),$F33/$O33,""))</f>
        <v/>
      </c>
      <c r="Q33" s="60" t="str">
        <f aca="true">IF($B33="","",IF(OR(N($L33)=0,$G33=""),"",IF(N($M33)&gt;=$L33,"Concluído",IF(OR(N($M33)&lt;=0,TODAY()&lt;=$G33),"Sem ritmo",TODAY()+ROUNDUP(($L33-$M33)/($M33/(TODAY()-$G33)),0)))))</f>
        <v/>
      </c>
      <c r="R33" s="101" t="str">
        <f aca="false">IF($B33="","",IF(ISNUMBER($Q33),IF(AND(ISNUMBER($I33),$Q33&gt;$I33),"■ Estoura o acesso",IF(AND(ISNUMBER($H33),$Q33&gt;$H33),"▲ Atrasado vs plano","● No prazo")),IF($Q33="Concluído","◆ Concluído","—")))</f>
        <v/>
      </c>
      <c r="S33" s="81"/>
      <c r="T33" s="81"/>
      <c r="U33" s="81"/>
      <c r="V33" s="37"/>
      <c r="W33" s="37"/>
      <c r="X33" s="37"/>
      <c r="Y33" s="43" t="str">
        <f aca="false">IF($B33="","",IF(N($F33)=0,"",(N($X33)-$F33)/$F33))</f>
        <v/>
      </c>
      <c r="Z33" s="63" t="str">
        <f aca="false">IF($B33="","",IF(N($F33)=0,"",IF(N($X33)&gt;=$F33,0,IF(N($W33)&gt;0,($F33-N($X33))/$W33,"—"))))</f>
        <v/>
      </c>
      <c r="AA33" s="101" t="str">
        <f aca="false">IF($B33="","",IF(N($F33)=0,"—",IF(N($X33)&gt;=$F33,"● Pago",IF(N($X33)&gt;0,"▲ Em retorno","■ Sem retorno"))))</f>
        <v/>
      </c>
      <c r="AB33" s="13"/>
      <c r="AC33" s="13"/>
      <c r="AD33" s="13"/>
      <c r="AE33" s="11"/>
    </row>
    <row r="34" customFormat="false" ht="21.75" hidden="false" customHeight="true" outlineLevel="0" collapsed="false">
      <c r="A34" s="58" t="str">
        <f aca="false">IF($B34="","","RE-"&amp;TEXT(ROW()-9,"00"))</f>
        <v/>
      </c>
      <c r="B34" s="13"/>
      <c r="C34" s="13"/>
      <c r="D34" s="13"/>
      <c r="E34" s="52"/>
      <c r="F34" s="37"/>
      <c r="G34" s="52"/>
      <c r="H34" s="52"/>
      <c r="I34" s="52"/>
      <c r="J34" s="100" t="str">
        <f aca="true">IF(OR($B34="",$I34=""),"",$I34-TODAY())</f>
        <v/>
      </c>
      <c r="K34" s="101" t="str">
        <f aca="false">IF($B34="","",IF($I34="","∞ Vitalício",IF($J34&lt;0,"■ Vencido",IF($J34&lt;=Listas!$H$6,"▲ A vencer","● Ativo"))))</f>
        <v/>
      </c>
      <c r="L34" s="102"/>
      <c r="M34" s="102"/>
      <c r="N34" s="43" t="str">
        <f aca="false">IF($B34="","",IF(N($L34)=0,0,MIN(1,N($M34)/$L34)))</f>
        <v/>
      </c>
      <c r="O34" s="63" t="str">
        <f aca="false">IF($B34="","",SUMIFS('Diário de Estudo'!$D$7:$D$506,'Diário de Estudo'!$C$7:$C$506,$B34))</f>
        <v/>
      </c>
      <c r="P34" s="103" t="str">
        <f aca="false">IF($B34="","",IF(AND(N($O34)&gt;0,N($F34)&gt;0),$F34/$O34,""))</f>
        <v/>
      </c>
      <c r="Q34" s="60" t="str">
        <f aca="true">IF($B34="","",IF(OR(N($L34)=0,$G34=""),"",IF(N($M34)&gt;=$L34,"Concluído",IF(OR(N($M34)&lt;=0,TODAY()&lt;=$G34),"Sem ritmo",TODAY()+ROUNDUP(($L34-$M34)/($M34/(TODAY()-$G34)),0)))))</f>
        <v/>
      </c>
      <c r="R34" s="101" t="str">
        <f aca="false">IF($B34="","",IF(ISNUMBER($Q34),IF(AND(ISNUMBER($I34),$Q34&gt;$I34),"■ Estoura o acesso",IF(AND(ISNUMBER($H34),$Q34&gt;$H34),"▲ Atrasado vs plano","● No prazo")),IF($Q34="Concluído","◆ Concluído","—")))</f>
        <v/>
      </c>
      <c r="S34" s="81"/>
      <c r="T34" s="81"/>
      <c r="U34" s="81"/>
      <c r="V34" s="37"/>
      <c r="W34" s="37"/>
      <c r="X34" s="37"/>
      <c r="Y34" s="43" t="str">
        <f aca="false">IF($B34="","",IF(N($F34)=0,"",(N($X34)-$F34)/$F34))</f>
        <v/>
      </c>
      <c r="Z34" s="63" t="str">
        <f aca="false">IF($B34="","",IF(N($F34)=0,"",IF(N($X34)&gt;=$F34,0,IF(N($W34)&gt;0,($F34-N($X34))/$W34,"—"))))</f>
        <v/>
      </c>
      <c r="AA34" s="101" t="str">
        <f aca="false">IF($B34="","",IF(N($F34)=0,"—",IF(N($X34)&gt;=$F34,"● Pago",IF(N($X34)&gt;0,"▲ Em retorno","■ Sem retorno"))))</f>
        <v/>
      </c>
      <c r="AB34" s="13"/>
      <c r="AC34" s="13"/>
      <c r="AD34" s="13"/>
      <c r="AE34" s="11"/>
    </row>
    <row r="35" customFormat="false" ht="21.75" hidden="false" customHeight="true" outlineLevel="0" collapsed="false">
      <c r="A35" s="58" t="str">
        <f aca="false">IF($B35="","","RE-"&amp;TEXT(ROW()-9,"00"))</f>
        <v/>
      </c>
      <c r="B35" s="13"/>
      <c r="C35" s="13"/>
      <c r="D35" s="13"/>
      <c r="E35" s="52"/>
      <c r="F35" s="37"/>
      <c r="G35" s="52"/>
      <c r="H35" s="52"/>
      <c r="I35" s="52"/>
      <c r="J35" s="100" t="str">
        <f aca="true">IF(OR($B35="",$I35=""),"",$I35-TODAY())</f>
        <v/>
      </c>
      <c r="K35" s="101" t="str">
        <f aca="false">IF($B35="","",IF($I35="","∞ Vitalício",IF($J35&lt;0,"■ Vencido",IF($J35&lt;=Listas!$H$6,"▲ A vencer","● Ativo"))))</f>
        <v/>
      </c>
      <c r="L35" s="102"/>
      <c r="M35" s="102"/>
      <c r="N35" s="43" t="str">
        <f aca="false">IF($B35="","",IF(N($L35)=0,0,MIN(1,N($M35)/$L35)))</f>
        <v/>
      </c>
      <c r="O35" s="63" t="str">
        <f aca="false">IF($B35="","",SUMIFS('Diário de Estudo'!$D$7:$D$506,'Diário de Estudo'!$C$7:$C$506,$B35))</f>
        <v/>
      </c>
      <c r="P35" s="103" t="str">
        <f aca="false">IF($B35="","",IF(AND(N($O35)&gt;0,N($F35)&gt;0),$F35/$O35,""))</f>
        <v/>
      </c>
      <c r="Q35" s="60" t="str">
        <f aca="true">IF($B35="","",IF(OR(N($L35)=0,$G35=""),"",IF(N($M35)&gt;=$L35,"Concluído",IF(OR(N($M35)&lt;=0,TODAY()&lt;=$G35),"Sem ritmo",TODAY()+ROUNDUP(($L35-$M35)/($M35/(TODAY()-$G35)),0)))))</f>
        <v/>
      </c>
      <c r="R35" s="101" t="str">
        <f aca="false">IF($B35="","",IF(ISNUMBER($Q35),IF(AND(ISNUMBER($I35),$Q35&gt;$I35),"■ Estoura o acesso",IF(AND(ISNUMBER($H35),$Q35&gt;$H35),"▲ Atrasado vs plano","● No prazo")),IF($Q35="Concluído","◆ Concluído","—")))</f>
        <v/>
      </c>
      <c r="S35" s="81"/>
      <c r="T35" s="81"/>
      <c r="U35" s="81"/>
      <c r="V35" s="37"/>
      <c r="W35" s="37"/>
      <c r="X35" s="37"/>
      <c r="Y35" s="43" t="str">
        <f aca="false">IF($B35="","",IF(N($F35)=0,"",(N($X35)-$F35)/$F35))</f>
        <v/>
      </c>
      <c r="Z35" s="63" t="str">
        <f aca="false">IF($B35="","",IF(N($F35)=0,"",IF(N($X35)&gt;=$F35,0,IF(N($W35)&gt;0,($F35-N($X35))/$W35,"—"))))</f>
        <v/>
      </c>
      <c r="AA35" s="101" t="str">
        <f aca="false">IF($B35="","",IF(N($F35)=0,"—",IF(N($X35)&gt;=$F35,"● Pago",IF(N($X35)&gt;0,"▲ Em retorno","■ Sem retorno"))))</f>
        <v/>
      </c>
      <c r="AB35" s="13"/>
      <c r="AC35" s="13"/>
      <c r="AD35" s="13"/>
      <c r="AE35" s="11"/>
    </row>
    <row r="36" customFormat="false" ht="21.75" hidden="false" customHeight="true" outlineLevel="0" collapsed="false">
      <c r="A36" s="58" t="str">
        <f aca="false">IF($B36="","","RE-"&amp;TEXT(ROW()-9,"00"))</f>
        <v/>
      </c>
      <c r="B36" s="13"/>
      <c r="C36" s="13"/>
      <c r="D36" s="13"/>
      <c r="E36" s="52"/>
      <c r="F36" s="37"/>
      <c r="G36" s="52"/>
      <c r="H36" s="52"/>
      <c r="I36" s="52"/>
      <c r="J36" s="100" t="str">
        <f aca="true">IF(OR($B36="",$I36=""),"",$I36-TODAY())</f>
        <v/>
      </c>
      <c r="K36" s="101" t="str">
        <f aca="false">IF($B36="","",IF($I36="","∞ Vitalício",IF($J36&lt;0,"■ Vencido",IF($J36&lt;=Listas!$H$6,"▲ A vencer","● Ativo"))))</f>
        <v/>
      </c>
      <c r="L36" s="102"/>
      <c r="M36" s="102"/>
      <c r="N36" s="43" t="str">
        <f aca="false">IF($B36="","",IF(N($L36)=0,0,MIN(1,N($M36)/$L36)))</f>
        <v/>
      </c>
      <c r="O36" s="63" t="str">
        <f aca="false">IF($B36="","",SUMIFS('Diário de Estudo'!$D$7:$D$506,'Diário de Estudo'!$C$7:$C$506,$B36))</f>
        <v/>
      </c>
      <c r="P36" s="103" t="str">
        <f aca="false">IF($B36="","",IF(AND(N($O36)&gt;0,N($F36)&gt;0),$F36/$O36,""))</f>
        <v/>
      </c>
      <c r="Q36" s="60" t="str">
        <f aca="true">IF($B36="","",IF(OR(N($L36)=0,$G36=""),"",IF(N($M36)&gt;=$L36,"Concluído",IF(OR(N($M36)&lt;=0,TODAY()&lt;=$G36),"Sem ritmo",TODAY()+ROUNDUP(($L36-$M36)/($M36/(TODAY()-$G36)),0)))))</f>
        <v/>
      </c>
      <c r="R36" s="101" t="str">
        <f aca="false">IF($B36="","",IF(ISNUMBER($Q36),IF(AND(ISNUMBER($I36),$Q36&gt;$I36),"■ Estoura o acesso",IF(AND(ISNUMBER($H36),$Q36&gt;$H36),"▲ Atrasado vs plano","● No prazo")),IF($Q36="Concluído","◆ Concluído","—")))</f>
        <v/>
      </c>
      <c r="S36" s="81"/>
      <c r="T36" s="81"/>
      <c r="U36" s="81"/>
      <c r="V36" s="37"/>
      <c r="W36" s="37"/>
      <c r="X36" s="37"/>
      <c r="Y36" s="43" t="str">
        <f aca="false">IF($B36="","",IF(N($F36)=0,"",(N($X36)-$F36)/$F36))</f>
        <v/>
      </c>
      <c r="Z36" s="63" t="str">
        <f aca="false">IF($B36="","",IF(N($F36)=0,"",IF(N($X36)&gt;=$F36,0,IF(N($W36)&gt;0,($F36-N($X36))/$W36,"—"))))</f>
        <v/>
      </c>
      <c r="AA36" s="101" t="str">
        <f aca="false">IF($B36="","",IF(N($F36)=0,"—",IF(N($X36)&gt;=$F36,"● Pago",IF(N($X36)&gt;0,"▲ Em retorno","■ Sem retorno"))))</f>
        <v/>
      </c>
      <c r="AB36" s="13"/>
      <c r="AC36" s="13"/>
      <c r="AD36" s="13"/>
      <c r="AE36" s="11"/>
    </row>
    <row r="37" customFormat="false" ht="21.75" hidden="false" customHeight="true" outlineLevel="0" collapsed="false">
      <c r="A37" s="58" t="str">
        <f aca="false">IF($B37="","","RE-"&amp;TEXT(ROW()-9,"00"))</f>
        <v/>
      </c>
      <c r="B37" s="13"/>
      <c r="C37" s="13"/>
      <c r="D37" s="13"/>
      <c r="E37" s="52"/>
      <c r="F37" s="37"/>
      <c r="G37" s="52"/>
      <c r="H37" s="52"/>
      <c r="I37" s="52"/>
      <c r="J37" s="100" t="str">
        <f aca="true">IF(OR($B37="",$I37=""),"",$I37-TODAY())</f>
        <v/>
      </c>
      <c r="K37" s="101" t="str">
        <f aca="false">IF($B37="","",IF($I37="","∞ Vitalício",IF($J37&lt;0,"■ Vencido",IF($J37&lt;=Listas!$H$6,"▲ A vencer","● Ativo"))))</f>
        <v/>
      </c>
      <c r="L37" s="102"/>
      <c r="M37" s="102"/>
      <c r="N37" s="43" t="str">
        <f aca="false">IF($B37="","",IF(N($L37)=0,0,MIN(1,N($M37)/$L37)))</f>
        <v/>
      </c>
      <c r="O37" s="63" t="str">
        <f aca="false">IF($B37="","",SUMIFS('Diário de Estudo'!$D$7:$D$506,'Diário de Estudo'!$C$7:$C$506,$B37))</f>
        <v/>
      </c>
      <c r="P37" s="103" t="str">
        <f aca="false">IF($B37="","",IF(AND(N($O37)&gt;0,N($F37)&gt;0),$F37/$O37,""))</f>
        <v/>
      </c>
      <c r="Q37" s="60" t="str">
        <f aca="true">IF($B37="","",IF(OR(N($L37)=0,$G37=""),"",IF(N($M37)&gt;=$L37,"Concluído",IF(OR(N($M37)&lt;=0,TODAY()&lt;=$G37),"Sem ritmo",TODAY()+ROUNDUP(($L37-$M37)/($M37/(TODAY()-$G37)),0)))))</f>
        <v/>
      </c>
      <c r="R37" s="101" t="str">
        <f aca="false">IF($B37="","",IF(ISNUMBER($Q37),IF(AND(ISNUMBER($I37),$Q37&gt;$I37),"■ Estoura o acesso",IF(AND(ISNUMBER($H37),$Q37&gt;$H37),"▲ Atrasado vs plano","● No prazo")),IF($Q37="Concluído","◆ Concluído","—")))</f>
        <v/>
      </c>
      <c r="S37" s="81"/>
      <c r="T37" s="81"/>
      <c r="U37" s="81"/>
      <c r="V37" s="37"/>
      <c r="W37" s="37"/>
      <c r="X37" s="37"/>
      <c r="Y37" s="43" t="str">
        <f aca="false">IF($B37="","",IF(N($F37)=0,"",(N($X37)-$F37)/$F37))</f>
        <v/>
      </c>
      <c r="Z37" s="63" t="str">
        <f aca="false">IF($B37="","",IF(N($F37)=0,"",IF(N($X37)&gt;=$F37,0,IF(N($W37)&gt;0,($F37-N($X37))/$W37,"—"))))</f>
        <v/>
      </c>
      <c r="AA37" s="101" t="str">
        <f aca="false">IF($B37="","",IF(N($F37)=0,"—",IF(N($X37)&gt;=$F37,"● Pago",IF(N($X37)&gt;0,"▲ Em retorno","■ Sem retorno"))))</f>
        <v/>
      </c>
      <c r="AB37" s="13"/>
      <c r="AC37" s="13"/>
      <c r="AD37" s="13"/>
      <c r="AE37" s="11"/>
    </row>
    <row r="38" customFormat="false" ht="21.75" hidden="false" customHeight="true" outlineLevel="0" collapsed="false">
      <c r="A38" s="58" t="str">
        <f aca="false">IF($B38="","","RE-"&amp;TEXT(ROW()-9,"00"))</f>
        <v/>
      </c>
      <c r="B38" s="13"/>
      <c r="C38" s="13"/>
      <c r="D38" s="13"/>
      <c r="E38" s="52"/>
      <c r="F38" s="37"/>
      <c r="G38" s="52"/>
      <c r="H38" s="52"/>
      <c r="I38" s="52"/>
      <c r="J38" s="100" t="str">
        <f aca="true">IF(OR($B38="",$I38=""),"",$I38-TODAY())</f>
        <v/>
      </c>
      <c r="K38" s="101" t="str">
        <f aca="false">IF($B38="","",IF($I38="","∞ Vitalício",IF($J38&lt;0,"■ Vencido",IF($J38&lt;=Listas!$H$6,"▲ A vencer","● Ativo"))))</f>
        <v/>
      </c>
      <c r="L38" s="102"/>
      <c r="M38" s="102"/>
      <c r="N38" s="43" t="str">
        <f aca="false">IF($B38="","",IF(N($L38)=0,0,MIN(1,N($M38)/$L38)))</f>
        <v/>
      </c>
      <c r="O38" s="63" t="str">
        <f aca="false">IF($B38="","",SUMIFS('Diário de Estudo'!$D$7:$D$506,'Diário de Estudo'!$C$7:$C$506,$B38))</f>
        <v/>
      </c>
      <c r="P38" s="103" t="str">
        <f aca="false">IF($B38="","",IF(AND(N($O38)&gt;0,N($F38)&gt;0),$F38/$O38,""))</f>
        <v/>
      </c>
      <c r="Q38" s="60" t="str">
        <f aca="true">IF($B38="","",IF(OR(N($L38)=0,$G38=""),"",IF(N($M38)&gt;=$L38,"Concluído",IF(OR(N($M38)&lt;=0,TODAY()&lt;=$G38),"Sem ritmo",TODAY()+ROUNDUP(($L38-$M38)/($M38/(TODAY()-$G38)),0)))))</f>
        <v/>
      </c>
      <c r="R38" s="101" t="str">
        <f aca="false">IF($B38="","",IF(ISNUMBER($Q38),IF(AND(ISNUMBER($I38),$Q38&gt;$I38),"■ Estoura o acesso",IF(AND(ISNUMBER($H38),$Q38&gt;$H38),"▲ Atrasado vs plano","● No prazo")),IF($Q38="Concluído","◆ Concluído","—")))</f>
        <v/>
      </c>
      <c r="S38" s="81"/>
      <c r="T38" s="81"/>
      <c r="U38" s="81"/>
      <c r="V38" s="37"/>
      <c r="W38" s="37"/>
      <c r="X38" s="37"/>
      <c r="Y38" s="43" t="str">
        <f aca="false">IF($B38="","",IF(N($F38)=0,"",(N($X38)-$F38)/$F38))</f>
        <v/>
      </c>
      <c r="Z38" s="63" t="str">
        <f aca="false">IF($B38="","",IF(N($F38)=0,"",IF(N($X38)&gt;=$F38,0,IF(N($W38)&gt;0,($F38-N($X38))/$W38,"—"))))</f>
        <v/>
      </c>
      <c r="AA38" s="101" t="str">
        <f aca="false">IF($B38="","",IF(N($F38)=0,"—",IF(N($X38)&gt;=$F38,"● Pago",IF(N($X38)&gt;0,"▲ Em retorno","■ Sem retorno"))))</f>
        <v/>
      </c>
      <c r="AB38" s="13"/>
      <c r="AC38" s="13"/>
      <c r="AD38" s="13"/>
      <c r="AE38" s="11"/>
    </row>
    <row r="39" customFormat="false" ht="21.75" hidden="false" customHeight="true" outlineLevel="0" collapsed="false">
      <c r="A39" s="58" t="str">
        <f aca="false">IF($B39="","","RE-"&amp;TEXT(ROW()-9,"00"))</f>
        <v/>
      </c>
      <c r="B39" s="13"/>
      <c r="C39" s="13"/>
      <c r="D39" s="13"/>
      <c r="E39" s="52"/>
      <c r="F39" s="37"/>
      <c r="G39" s="52"/>
      <c r="H39" s="52"/>
      <c r="I39" s="52"/>
      <c r="J39" s="100" t="str">
        <f aca="true">IF(OR($B39="",$I39=""),"",$I39-TODAY())</f>
        <v/>
      </c>
      <c r="K39" s="101" t="str">
        <f aca="false">IF($B39="","",IF($I39="","∞ Vitalício",IF($J39&lt;0,"■ Vencido",IF($J39&lt;=Listas!$H$6,"▲ A vencer","● Ativo"))))</f>
        <v/>
      </c>
      <c r="L39" s="102"/>
      <c r="M39" s="102"/>
      <c r="N39" s="43" t="str">
        <f aca="false">IF($B39="","",IF(N($L39)=0,0,MIN(1,N($M39)/$L39)))</f>
        <v/>
      </c>
      <c r="O39" s="63" t="str">
        <f aca="false">IF($B39="","",SUMIFS('Diário de Estudo'!$D$7:$D$506,'Diário de Estudo'!$C$7:$C$506,$B39))</f>
        <v/>
      </c>
      <c r="P39" s="103" t="str">
        <f aca="false">IF($B39="","",IF(AND(N($O39)&gt;0,N($F39)&gt;0),$F39/$O39,""))</f>
        <v/>
      </c>
      <c r="Q39" s="60" t="str">
        <f aca="true">IF($B39="","",IF(OR(N($L39)=0,$G39=""),"",IF(N($M39)&gt;=$L39,"Concluído",IF(OR(N($M39)&lt;=0,TODAY()&lt;=$G39),"Sem ritmo",TODAY()+ROUNDUP(($L39-$M39)/($M39/(TODAY()-$G39)),0)))))</f>
        <v/>
      </c>
      <c r="R39" s="101" t="str">
        <f aca="false">IF($B39="","",IF(ISNUMBER($Q39),IF(AND(ISNUMBER($I39),$Q39&gt;$I39),"■ Estoura o acesso",IF(AND(ISNUMBER($H39),$Q39&gt;$H39),"▲ Atrasado vs plano","● No prazo")),IF($Q39="Concluído","◆ Concluído","—")))</f>
        <v/>
      </c>
      <c r="S39" s="81"/>
      <c r="T39" s="81"/>
      <c r="U39" s="81"/>
      <c r="V39" s="37"/>
      <c r="W39" s="37"/>
      <c r="X39" s="37"/>
      <c r="Y39" s="43" t="str">
        <f aca="false">IF($B39="","",IF(N($F39)=0,"",(N($X39)-$F39)/$F39))</f>
        <v/>
      </c>
      <c r="Z39" s="63" t="str">
        <f aca="false">IF($B39="","",IF(N($F39)=0,"",IF(N($X39)&gt;=$F39,0,IF(N($W39)&gt;0,($F39-N($X39))/$W39,"—"))))</f>
        <v/>
      </c>
      <c r="AA39" s="101" t="str">
        <f aca="false">IF($B39="","",IF(N($F39)=0,"—",IF(N($X39)&gt;=$F39,"● Pago",IF(N($X39)&gt;0,"▲ Em retorno","■ Sem retorno"))))</f>
        <v/>
      </c>
      <c r="AB39" s="13"/>
      <c r="AC39" s="13"/>
      <c r="AD39" s="13"/>
      <c r="AE39" s="11"/>
    </row>
    <row r="40" customFormat="false" ht="21.75" hidden="false" customHeight="true" outlineLevel="0" collapsed="false">
      <c r="A40" s="58" t="str">
        <f aca="false">IF($B40="","","RE-"&amp;TEXT(ROW()-9,"00"))</f>
        <v/>
      </c>
      <c r="B40" s="13"/>
      <c r="C40" s="13"/>
      <c r="D40" s="13"/>
      <c r="E40" s="52"/>
      <c r="F40" s="37"/>
      <c r="G40" s="52"/>
      <c r="H40" s="52"/>
      <c r="I40" s="52"/>
      <c r="J40" s="100" t="str">
        <f aca="true">IF(OR($B40="",$I40=""),"",$I40-TODAY())</f>
        <v/>
      </c>
      <c r="K40" s="101" t="str">
        <f aca="false">IF($B40="","",IF($I40="","∞ Vitalício",IF($J40&lt;0,"■ Vencido",IF($J40&lt;=Listas!$H$6,"▲ A vencer","● Ativo"))))</f>
        <v/>
      </c>
      <c r="L40" s="102"/>
      <c r="M40" s="102"/>
      <c r="N40" s="43" t="str">
        <f aca="false">IF($B40="","",IF(N($L40)=0,0,MIN(1,N($M40)/$L40)))</f>
        <v/>
      </c>
      <c r="O40" s="63" t="str">
        <f aca="false">IF($B40="","",SUMIFS('Diário de Estudo'!$D$7:$D$506,'Diário de Estudo'!$C$7:$C$506,$B40))</f>
        <v/>
      </c>
      <c r="P40" s="103" t="str">
        <f aca="false">IF($B40="","",IF(AND(N($O40)&gt;0,N($F40)&gt;0),$F40/$O40,""))</f>
        <v/>
      </c>
      <c r="Q40" s="60" t="str">
        <f aca="true">IF($B40="","",IF(OR(N($L40)=0,$G40=""),"",IF(N($M40)&gt;=$L40,"Concluído",IF(OR(N($M40)&lt;=0,TODAY()&lt;=$G40),"Sem ritmo",TODAY()+ROUNDUP(($L40-$M40)/($M40/(TODAY()-$G40)),0)))))</f>
        <v/>
      </c>
      <c r="R40" s="101" t="str">
        <f aca="false">IF($B40="","",IF(ISNUMBER($Q40),IF(AND(ISNUMBER($I40),$Q40&gt;$I40),"■ Estoura o acesso",IF(AND(ISNUMBER($H40),$Q40&gt;$H40),"▲ Atrasado vs plano","● No prazo")),IF($Q40="Concluído","◆ Concluído","—")))</f>
        <v/>
      </c>
      <c r="S40" s="81"/>
      <c r="T40" s="81"/>
      <c r="U40" s="81"/>
      <c r="V40" s="37"/>
      <c r="W40" s="37"/>
      <c r="X40" s="37"/>
      <c r="Y40" s="43" t="str">
        <f aca="false">IF($B40="","",IF(N($F40)=0,"",(N($X40)-$F40)/$F40))</f>
        <v/>
      </c>
      <c r="Z40" s="63" t="str">
        <f aca="false">IF($B40="","",IF(N($F40)=0,"",IF(N($X40)&gt;=$F40,0,IF(N($W40)&gt;0,($F40-N($X40))/$W40,"—"))))</f>
        <v/>
      </c>
      <c r="AA40" s="101" t="str">
        <f aca="false">IF($B40="","",IF(N($F40)=0,"—",IF(N($X40)&gt;=$F40,"● Pago",IF(N($X40)&gt;0,"▲ Em retorno","■ Sem retorno"))))</f>
        <v/>
      </c>
      <c r="AB40" s="13"/>
      <c r="AC40" s="13"/>
      <c r="AD40" s="13"/>
      <c r="AE40" s="11"/>
    </row>
    <row r="41" customFormat="false" ht="21.75" hidden="false" customHeight="true" outlineLevel="0" collapsed="false">
      <c r="A41" s="58" t="str">
        <f aca="false">IF($B41="","","RE-"&amp;TEXT(ROW()-9,"00"))</f>
        <v/>
      </c>
      <c r="B41" s="13"/>
      <c r="C41" s="13"/>
      <c r="D41" s="13"/>
      <c r="E41" s="52"/>
      <c r="F41" s="37"/>
      <c r="G41" s="52"/>
      <c r="H41" s="52"/>
      <c r="I41" s="52"/>
      <c r="J41" s="100" t="str">
        <f aca="true">IF(OR($B41="",$I41=""),"",$I41-TODAY())</f>
        <v/>
      </c>
      <c r="K41" s="101" t="str">
        <f aca="false">IF($B41="","",IF($I41="","∞ Vitalício",IF($J41&lt;0,"■ Vencido",IF($J41&lt;=Listas!$H$6,"▲ A vencer","● Ativo"))))</f>
        <v/>
      </c>
      <c r="L41" s="102"/>
      <c r="M41" s="102"/>
      <c r="N41" s="43" t="str">
        <f aca="false">IF($B41="","",IF(N($L41)=0,0,MIN(1,N($M41)/$L41)))</f>
        <v/>
      </c>
      <c r="O41" s="63" t="str">
        <f aca="false">IF($B41="","",SUMIFS('Diário de Estudo'!$D$7:$D$506,'Diário de Estudo'!$C$7:$C$506,$B41))</f>
        <v/>
      </c>
      <c r="P41" s="103" t="str">
        <f aca="false">IF($B41="","",IF(AND(N($O41)&gt;0,N($F41)&gt;0),$F41/$O41,""))</f>
        <v/>
      </c>
      <c r="Q41" s="60" t="str">
        <f aca="true">IF($B41="","",IF(OR(N($L41)=0,$G41=""),"",IF(N($M41)&gt;=$L41,"Concluído",IF(OR(N($M41)&lt;=0,TODAY()&lt;=$G41),"Sem ritmo",TODAY()+ROUNDUP(($L41-$M41)/($M41/(TODAY()-$G41)),0)))))</f>
        <v/>
      </c>
      <c r="R41" s="101" t="str">
        <f aca="false">IF($B41="","",IF(ISNUMBER($Q41),IF(AND(ISNUMBER($I41),$Q41&gt;$I41),"■ Estoura o acesso",IF(AND(ISNUMBER($H41),$Q41&gt;$H41),"▲ Atrasado vs plano","● No prazo")),IF($Q41="Concluído","◆ Concluído","—")))</f>
        <v/>
      </c>
      <c r="S41" s="81"/>
      <c r="T41" s="81"/>
      <c r="U41" s="81"/>
      <c r="V41" s="37"/>
      <c r="W41" s="37"/>
      <c r="X41" s="37"/>
      <c r="Y41" s="43" t="str">
        <f aca="false">IF($B41="","",IF(N($F41)=0,"",(N($X41)-$F41)/$F41))</f>
        <v/>
      </c>
      <c r="Z41" s="63" t="str">
        <f aca="false">IF($B41="","",IF(N($F41)=0,"",IF(N($X41)&gt;=$F41,0,IF(N($W41)&gt;0,($F41-N($X41))/$W41,"—"))))</f>
        <v/>
      </c>
      <c r="AA41" s="101" t="str">
        <f aca="false">IF($B41="","",IF(N($F41)=0,"—",IF(N($X41)&gt;=$F41,"● Pago",IF(N($X41)&gt;0,"▲ Em retorno","■ Sem retorno"))))</f>
        <v/>
      </c>
      <c r="AB41" s="13"/>
      <c r="AC41" s="13"/>
      <c r="AD41" s="13"/>
      <c r="AE41" s="11"/>
    </row>
    <row r="42" customFormat="false" ht="21.75" hidden="false" customHeight="true" outlineLevel="0" collapsed="false">
      <c r="A42" s="58" t="str">
        <f aca="false">IF($B42="","","RE-"&amp;TEXT(ROW()-9,"00"))</f>
        <v/>
      </c>
      <c r="B42" s="13"/>
      <c r="C42" s="13"/>
      <c r="D42" s="13"/>
      <c r="E42" s="52"/>
      <c r="F42" s="37"/>
      <c r="G42" s="52"/>
      <c r="H42" s="52"/>
      <c r="I42" s="52"/>
      <c r="J42" s="100" t="str">
        <f aca="true">IF(OR($B42="",$I42=""),"",$I42-TODAY())</f>
        <v/>
      </c>
      <c r="K42" s="101" t="str">
        <f aca="false">IF($B42="","",IF($I42="","∞ Vitalício",IF($J42&lt;0,"■ Vencido",IF($J42&lt;=Listas!$H$6,"▲ A vencer","● Ativo"))))</f>
        <v/>
      </c>
      <c r="L42" s="102"/>
      <c r="M42" s="102"/>
      <c r="N42" s="43" t="str">
        <f aca="false">IF($B42="","",IF(N($L42)=0,0,MIN(1,N($M42)/$L42)))</f>
        <v/>
      </c>
      <c r="O42" s="63" t="str">
        <f aca="false">IF($B42="","",SUMIFS('Diário de Estudo'!$D$7:$D$506,'Diário de Estudo'!$C$7:$C$506,$B42))</f>
        <v/>
      </c>
      <c r="P42" s="103" t="str">
        <f aca="false">IF($B42="","",IF(AND(N($O42)&gt;0,N($F42)&gt;0),$F42/$O42,""))</f>
        <v/>
      </c>
      <c r="Q42" s="60" t="str">
        <f aca="true">IF($B42="","",IF(OR(N($L42)=0,$G42=""),"",IF(N($M42)&gt;=$L42,"Concluído",IF(OR(N($M42)&lt;=0,TODAY()&lt;=$G42),"Sem ritmo",TODAY()+ROUNDUP(($L42-$M42)/($M42/(TODAY()-$G42)),0)))))</f>
        <v/>
      </c>
      <c r="R42" s="101" t="str">
        <f aca="false">IF($B42="","",IF(ISNUMBER($Q42),IF(AND(ISNUMBER($I42),$Q42&gt;$I42),"■ Estoura o acesso",IF(AND(ISNUMBER($H42),$Q42&gt;$H42),"▲ Atrasado vs plano","● No prazo")),IF($Q42="Concluído","◆ Concluído","—")))</f>
        <v/>
      </c>
      <c r="S42" s="81"/>
      <c r="T42" s="81"/>
      <c r="U42" s="81"/>
      <c r="V42" s="37"/>
      <c r="W42" s="37"/>
      <c r="X42" s="37"/>
      <c r="Y42" s="43" t="str">
        <f aca="false">IF($B42="","",IF(N($F42)=0,"",(N($X42)-$F42)/$F42))</f>
        <v/>
      </c>
      <c r="Z42" s="63" t="str">
        <f aca="false">IF($B42="","",IF(N($F42)=0,"",IF(N($X42)&gt;=$F42,0,IF(N($W42)&gt;0,($F42-N($X42))/$W42,"—"))))</f>
        <v/>
      </c>
      <c r="AA42" s="101" t="str">
        <f aca="false">IF($B42="","",IF(N($F42)=0,"—",IF(N($X42)&gt;=$F42,"● Pago",IF(N($X42)&gt;0,"▲ Em retorno","■ Sem retorno"))))</f>
        <v/>
      </c>
      <c r="AB42" s="13"/>
      <c r="AC42" s="13"/>
      <c r="AD42" s="13"/>
      <c r="AE42" s="11"/>
    </row>
    <row r="43" customFormat="false" ht="21.75" hidden="false" customHeight="true" outlineLevel="0" collapsed="false">
      <c r="A43" s="58" t="str">
        <f aca="false">IF($B43="","","RE-"&amp;TEXT(ROW()-9,"00"))</f>
        <v/>
      </c>
      <c r="B43" s="13"/>
      <c r="C43" s="13"/>
      <c r="D43" s="13"/>
      <c r="E43" s="52"/>
      <c r="F43" s="37"/>
      <c r="G43" s="52"/>
      <c r="H43" s="52"/>
      <c r="I43" s="52"/>
      <c r="J43" s="100" t="str">
        <f aca="true">IF(OR($B43="",$I43=""),"",$I43-TODAY())</f>
        <v/>
      </c>
      <c r="K43" s="101" t="str">
        <f aca="false">IF($B43="","",IF($I43="","∞ Vitalício",IF($J43&lt;0,"■ Vencido",IF($J43&lt;=Listas!$H$6,"▲ A vencer","● Ativo"))))</f>
        <v/>
      </c>
      <c r="L43" s="102"/>
      <c r="M43" s="102"/>
      <c r="N43" s="43" t="str">
        <f aca="false">IF($B43="","",IF(N($L43)=0,0,MIN(1,N($M43)/$L43)))</f>
        <v/>
      </c>
      <c r="O43" s="63" t="str">
        <f aca="false">IF($B43="","",SUMIFS('Diário de Estudo'!$D$7:$D$506,'Diário de Estudo'!$C$7:$C$506,$B43))</f>
        <v/>
      </c>
      <c r="P43" s="103" t="str">
        <f aca="false">IF($B43="","",IF(AND(N($O43)&gt;0,N($F43)&gt;0),$F43/$O43,""))</f>
        <v/>
      </c>
      <c r="Q43" s="60" t="str">
        <f aca="true">IF($B43="","",IF(OR(N($L43)=0,$G43=""),"",IF(N($M43)&gt;=$L43,"Concluído",IF(OR(N($M43)&lt;=0,TODAY()&lt;=$G43),"Sem ritmo",TODAY()+ROUNDUP(($L43-$M43)/($M43/(TODAY()-$G43)),0)))))</f>
        <v/>
      </c>
      <c r="R43" s="101" t="str">
        <f aca="false">IF($B43="","",IF(ISNUMBER($Q43),IF(AND(ISNUMBER($I43),$Q43&gt;$I43),"■ Estoura o acesso",IF(AND(ISNUMBER($H43),$Q43&gt;$H43),"▲ Atrasado vs plano","● No prazo")),IF($Q43="Concluído","◆ Concluído","—")))</f>
        <v/>
      </c>
      <c r="S43" s="81"/>
      <c r="T43" s="81"/>
      <c r="U43" s="81"/>
      <c r="V43" s="37"/>
      <c r="W43" s="37"/>
      <c r="X43" s="37"/>
      <c r="Y43" s="43" t="str">
        <f aca="false">IF($B43="","",IF(N($F43)=0,"",(N($X43)-$F43)/$F43))</f>
        <v/>
      </c>
      <c r="Z43" s="63" t="str">
        <f aca="false">IF($B43="","",IF(N($F43)=0,"",IF(N($X43)&gt;=$F43,0,IF(N($W43)&gt;0,($F43-N($X43))/$W43,"—"))))</f>
        <v/>
      </c>
      <c r="AA43" s="101" t="str">
        <f aca="false">IF($B43="","",IF(N($F43)=0,"—",IF(N($X43)&gt;=$F43,"● Pago",IF(N($X43)&gt;0,"▲ Em retorno","■ Sem retorno"))))</f>
        <v/>
      </c>
      <c r="AB43" s="13"/>
      <c r="AC43" s="13"/>
      <c r="AD43" s="13"/>
      <c r="AE43" s="11"/>
    </row>
    <row r="44" customFormat="false" ht="21.75" hidden="false" customHeight="true" outlineLevel="0" collapsed="false">
      <c r="A44" s="58" t="str">
        <f aca="false">IF($B44="","","RE-"&amp;TEXT(ROW()-9,"00"))</f>
        <v/>
      </c>
      <c r="B44" s="13"/>
      <c r="C44" s="13"/>
      <c r="D44" s="13"/>
      <c r="E44" s="52"/>
      <c r="F44" s="37"/>
      <c r="G44" s="52"/>
      <c r="H44" s="52"/>
      <c r="I44" s="52"/>
      <c r="J44" s="100" t="str">
        <f aca="true">IF(OR($B44="",$I44=""),"",$I44-TODAY())</f>
        <v/>
      </c>
      <c r="K44" s="101" t="str">
        <f aca="false">IF($B44="","",IF($I44="","∞ Vitalício",IF($J44&lt;0,"■ Vencido",IF($J44&lt;=Listas!$H$6,"▲ A vencer","● Ativo"))))</f>
        <v/>
      </c>
      <c r="L44" s="102"/>
      <c r="M44" s="102"/>
      <c r="N44" s="43" t="str">
        <f aca="false">IF($B44="","",IF(N($L44)=0,0,MIN(1,N($M44)/$L44)))</f>
        <v/>
      </c>
      <c r="O44" s="63" t="str">
        <f aca="false">IF($B44="","",SUMIFS('Diário de Estudo'!$D$7:$D$506,'Diário de Estudo'!$C$7:$C$506,$B44))</f>
        <v/>
      </c>
      <c r="P44" s="103" t="str">
        <f aca="false">IF($B44="","",IF(AND(N($O44)&gt;0,N($F44)&gt;0),$F44/$O44,""))</f>
        <v/>
      </c>
      <c r="Q44" s="60" t="str">
        <f aca="true">IF($B44="","",IF(OR(N($L44)=0,$G44=""),"",IF(N($M44)&gt;=$L44,"Concluído",IF(OR(N($M44)&lt;=0,TODAY()&lt;=$G44),"Sem ritmo",TODAY()+ROUNDUP(($L44-$M44)/($M44/(TODAY()-$G44)),0)))))</f>
        <v/>
      </c>
      <c r="R44" s="101" t="str">
        <f aca="false">IF($B44="","",IF(ISNUMBER($Q44),IF(AND(ISNUMBER($I44),$Q44&gt;$I44),"■ Estoura o acesso",IF(AND(ISNUMBER($H44),$Q44&gt;$H44),"▲ Atrasado vs plano","● No prazo")),IF($Q44="Concluído","◆ Concluído","—")))</f>
        <v/>
      </c>
      <c r="S44" s="81"/>
      <c r="T44" s="81"/>
      <c r="U44" s="81"/>
      <c r="V44" s="37"/>
      <c r="W44" s="37"/>
      <c r="X44" s="37"/>
      <c r="Y44" s="43" t="str">
        <f aca="false">IF($B44="","",IF(N($F44)=0,"",(N($X44)-$F44)/$F44))</f>
        <v/>
      </c>
      <c r="Z44" s="63" t="str">
        <f aca="false">IF($B44="","",IF(N($F44)=0,"",IF(N($X44)&gt;=$F44,0,IF(N($W44)&gt;0,($F44-N($X44))/$W44,"—"))))</f>
        <v/>
      </c>
      <c r="AA44" s="101" t="str">
        <f aca="false">IF($B44="","",IF(N($F44)=0,"—",IF(N($X44)&gt;=$F44,"● Pago",IF(N($X44)&gt;0,"▲ Em retorno","■ Sem retorno"))))</f>
        <v/>
      </c>
      <c r="AB44" s="13"/>
      <c r="AC44" s="13"/>
      <c r="AD44" s="13"/>
      <c r="AE44" s="11"/>
    </row>
    <row r="45" customFormat="false" ht="21.75" hidden="false" customHeight="true" outlineLevel="0" collapsed="false">
      <c r="A45" s="58" t="str">
        <f aca="false">IF($B45="","","RE-"&amp;TEXT(ROW()-9,"00"))</f>
        <v/>
      </c>
      <c r="B45" s="13"/>
      <c r="C45" s="13"/>
      <c r="D45" s="13"/>
      <c r="E45" s="52"/>
      <c r="F45" s="37"/>
      <c r="G45" s="52"/>
      <c r="H45" s="52"/>
      <c r="I45" s="52"/>
      <c r="J45" s="100" t="str">
        <f aca="true">IF(OR($B45="",$I45=""),"",$I45-TODAY())</f>
        <v/>
      </c>
      <c r="K45" s="101" t="str">
        <f aca="false">IF($B45="","",IF($I45="","∞ Vitalício",IF($J45&lt;0,"■ Vencido",IF($J45&lt;=Listas!$H$6,"▲ A vencer","● Ativo"))))</f>
        <v/>
      </c>
      <c r="L45" s="102"/>
      <c r="M45" s="102"/>
      <c r="N45" s="43" t="str">
        <f aca="false">IF($B45="","",IF(N($L45)=0,0,MIN(1,N($M45)/$L45)))</f>
        <v/>
      </c>
      <c r="O45" s="63" t="str">
        <f aca="false">IF($B45="","",SUMIFS('Diário de Estudo'!$D$7:$D$506,'Diário de Estudo'!$C$7:$C$506,$B45))</f>
        <v/>
      </c>
      <c r="P45" s="103" t="str">
        <f aca="false">IF($B45="","",IF(AND(N($O45)&gt;0,N($F45)&gt;0),$F45/$O45,""))</f>
        <v/>
      </c>
      <c r="Q45" s="60" t="str">
        <f aca="true">IF($B45="","",IF(OR(N($L45)=0,$G45=""),"",IF(N($M45)&gt;=$L45,"Concluído",IF(OR(N($M45)&lt;=0,TODAY()&lt;=$G45),"Sem ritmo",TODAY()+ROUNDUP(($L45-$M45)/($M45/(TODAY()-$G45)),0)))))</f>
        <v/>
      </c>
      <c r="R45" s="101" t="str">
        <f aca="false">IF($B45="","",IF(ISNUMBER($Q45),IF(AND(ISNUMBER($I45),$Q45&gt;$I45),"■ Estoura o acesso",IF(AND(ISNUMBER($H45),$Q45&gt;$H45),"▲ Atrasado vs plano","● No prazo")),IF($Q45="Concluído","◆ Concluído","—")))</f>
        <v/>
      </c>
      <c r="S45" s="81"/>
      <c r="T45" s="81"/>
      <c r="U45" s="81"/>
      <c r="V45" s="37"/>
      <c r="W45" s="37"/>
      <c r="X45" s="37"/>
      <c r="Y45" s="43" t="str">
        <f aca="false">IF($B45="","",IF(N($F45)=0,"",(N($X45)-$F45)/$F45))</f>
        <v/>
      </c>
      <c r="Z45" s="63" t="str">
        <f aca="false">IF($B45="","",IF(N($F45)=0,"",IF(N($X45)&gt;=$F45,0,IF(N($W45)&gt;0,($F45-N($X45))/$W45,"—"))))</f>
        <v/>
      </c>
      <c r="AA45" s="101" t="str">
        <f aca="false">IF($B45="","",IF(N($F45)=0,"—",IF(N($X45)&gt;=$F45,"● Pago",IF(N($X45)&gt;0,"▲ Em retorno","■ Sem retorno"))))</f>
        <v/>
      </c>
      <c r="AB45" s="13"/>
      <c r="AC45" s="13"/>
      <c r="AD45" s="13"/>
      <c r="AE45" s="11"/>
    </row>
    <row r="46" customFormat="false" ht="21.75" hidden="false" customHeight="true" outlineLevel="0" collapsed="false">
      <c r="A46" s="58" t="str">
        <f aca="false">IF($B46="","","RE-"&amp;TEXT(ROW()-9,"00"))</f>
        <v/>
      </c>
      <c r="B46" s="13"/>
      <c r="C46" s="13"/>
      <c r="D46" s="13"/>
      <c r="E46" s="52"/>
      <c r="F46" s="37"/>
      <c r="G46" s="52"/>
      <c r="H46" s="52"/>
      <c r="I46" s="52"/>
      <c r="J46" s="100" t="str">
        <f aca="true">IF(OR($B46="",$I46=""),"",$I46-TODAY())</f>
        <v/>
      </c>
      <c r="K46" s="101" t="str">
        <f aca="false">IF($B46="","",IF($I46="","∞ Vitalício",IF($J46&lt;0,"■ Vencido",IF($J46&lt;=Listas!$H$6,"▲ A vencer","● Ativo"))))</f>
        <v/>
      </c>
      <c r="L46" s="102"/>
      <c r="M46" s="102"/>
      <c r="N46" s="43" t="str">
        <f aca="false">IF($B46="","",IF(N($L46)=0,0,MIN(1,N($M46)/$L46)))</f>
        <v/>
      </c>
      <c r="O46" s="63" t="str">
        <f aca="false">IF($B46="","",SUMIFS('Diário de Estudo'!$D$7:$D$506,'Diário de Estudo'!$C$7:$C$506,$B46))</f>
        <v/>
      </c>
      <c r="P46" s="103" t="str">
        <f aca="false">IF($B46="","",IF(AND(N($O46)&gt;0,N($F46)&gt;0),$F46/$O46,""))</f>
        <v/>
      </c>
      <c r="Q46" s="60" t="str">
        <f aca="true">IF($B46="","",IF(OR(N($L46)=0,$G46=""),"",IF(N($M46)&gt;=$L46,"Concluído",IF(OR(N($M46)&lt;=0,TODAY()&lt;=$G46),"Sem ritmo",TODAY()+ROUNDUP(($L46-$M46)/($M46/(TODAY()-$G46)),0)))))</f>
        <v/>
      </c>
      <c r="R46" s="101" t="str">
        <f aca="false">IF($B46="","",IF(ISNUMBER($Q46),IF(AND(ISNUMBER($I46),$Q46&gt;$I46),"■ Estoura o acesso",IF(AND(ISNUMBER($H46),$Q46&gt;$H46),"▲ Atrasado vs plano","● No prazo")),IF($Q46="Concluído","◆ Concluído","—")))</f>
        <v/>
      </c>
      <c r="S46" s="81"/>
      <c r="T46" s="81"/>
      <c r="U46" s="81"/>
      <c r="V46" s="37"/>
      <c r="W46" s="37"/>
      <c r="X46" s="37"/>
      <c r="Y46" s="43" t="str">
        <f aca="false">IF($B46="","",IF(N($F46)=0,"",(N($X46)-$F46)/$F46))</f>
        <v/>
      </c>
      <c r="Z46" s="63" t="str">
        <f aca="false">IF($B46="","",IF(N($F46)=0,"",IF(N($X46)&gt;=$F46,0,IF(N($W46)&gt;0,($F46-N($X46))/$W46,"—"))))</f>
        <v/>
      </c>
      <c r="AA46" s="101" t="str">
        <f aca="false">IF($B46="","",IF(N($F46)=0,"—",IF(N($X46)&gt;=$F46,"● Pago",IF(N($X46)&gt;0,"▲ Em retorno","■ Sem retorno"))))</f>
        <v/>
      </c>
      <c r="AB46" s="13"/>
      <c r="AC46" s="13"/>
      <c r="AD46" s="13"/>
      <c r="AE46" s="11"/>
    </row>
    <row r="47" customFormat="false" ht="21.75" hidden="false" customHeight="true" outlineLevel="0" collapsed="false">
      <c r="A47" s="58" t="str">
        <f aca="false">IF($B47="","","RE-"&amp;TEXT(ROW()-9,"00"))</f>
        <v/>
      </c>
      <c r="B47" s="13"/>
      <c r="C47" s="13"/>
      <c r="D47" s="13"/>
      <c r="E47" s="52"/>
      <c r="F47" s="37"/>
      <c r="G47" s="52"/>
      <c r="H47" s="52"/>
      <c r="I47" s="52"/>
      <c r="J47" s="100" t="str">
        <f aca="true">IF(OR($B47="",$I47=""),"",$I47-TODAY())</f>
        <v/>
      </c>
      <c r="K47" s="101" t="str">
        <f aca="false">IF($B47="","",IF($I47="","∞ Vitalício",IF($J47&lt;0,"■ Vencido",IF($J47&lt;=Listas!$H$6,"▲ A vencer","● Ativo"))))</f>
        <v/>
      </c>
      <c r="L47" s="102"/>
      <c r="M47" s="102"/>
      <c r="N47" s="43" t="str">
        <f aca="false">IF($B47="","",IF(N($L47)=0,0,MIN(1,N($M47)/$L47)))</f>
        <v/>
      </c>
      <c r="O47" s="63" t="str">
        <f aca="false">IF($B47="","",SUMIFS('Diário de Estudo'!$D$7:$D$506,'Diário de Estudo'!$C$7:$C$506,$B47))</f>
        <v/>
      </c>
      <c r="P47" s="103" t="str">
        <f aca="false">IF($B47="","",IF(AND(N($O47)&gt;0,N($F47)&gt;0),$F47/$O47,""))</f>
        <v/>
      </c>
      <c r="Q47" s="60" t="str">
        <f aca="true">IF($B47="","",IF(OR(N($L47)=0,$G47=""),"",IF(N($M47)&gt;=$L47,"Concluído",IF(OR(N($M47)&lt;=0,TODAY()&lt;=$G47),"Sem ritmo",TODAY()+ROUNDUP(($L47-$M47)/($M47/(TODAY()-$G47)),0)))))</f>
        <v/>
      </c>
      <c r="R47" s="101" t="str">
        <f aca="false">IF($B47="","",IF(ISNUMBER($Q47),IF(AND(ISNUMBER($I47),$Q47&gt;$I47),"■ Estoura o acesso",IF(AND(ISNUMBER($H47),$Q47&gt;$H47),"▲ Atrasado vs plano","● No prazo")),IF($Q47="Concluído","◆ Concluído","—")))</f>
        <v/>
      </c>
      <c r="S47" s="81"/>
      <c r="T47" s="81"/>
      <c r="U47" s="81"/>
      <c r="V47" s="37"/>
      <c r="W47" s="37"/>
      <c r="X47" s="37"/>
      <c r="Y47" s="43" t="str">
        <f aca="false">IF($B47="","",IF(N($F47)=0,"",(N($X47)-$F47)/$F47))</f>
        <v/>
      </c>
      <c r="Z47" s="63" t="str">
        <f aca="false">IF($B47="","",IF(N($F47)=0,"",IF(N($X47)&gt;=$F47,0,IF(N($W47)&gt;0,($F47-N($X47))/$W47,"—"))))</f>
        <v/>
      </c>
      <c r="AA47" s="101" t="str">
        <f aca="false">IF($B47="","",IF(N($F47)=0,"—",IF(N($X47)&gt;=$F47,"● Pago",IF(N($X47)&gt;0,"▲ Em retorno","■ Sem retorno"))))</f>
        <v/>
      </c>
      <c r="AB47" s="13"/>
      <c r="AC47" s="13"/>
      <c r="AD47" s="13"/>
      <c r="AE47" s="11"/>
    </row>
    <row r="48" customFormat="false" ht="21.75" hidden="false" customHeight="true" outlineLevel="0" collapsed="false">
      <c r="A48" s="58" t="str">
        <f aca="false">IF($B48="","","RE-"&amp;TEXT(ROW()-9,"00"))</f>
        <v/>
      </c>
      <c r="B48" s="13"/>
      <c r="C48" s="13"/>
      <c r="D48" s="13"/>
      <c r="E48" s="52"/>
      <c r="F48" s="37"/>
      <c r="G48" s="52"/>
      <c r="H48" s="52"/>
      <c r="I48" s="52"/>
      <c r="J48" s="100" t="str">
        <f aca="true">IF(OR($B48="",$I48=""),"",$I48-TODAY())</f>
        <v/>
      </c>
      <c r="K48" s="101" t="str">
        <f aca="false">IF($B48="","",IF($I48="","∞ Vitalício",IF($J48&lt;0,"■ Vencido",IF($J48&lt;=Listas!$H$6,"▲ A vencer","● Ativo"))))</f>
        <v/>
      </c>
      <c r="L48" s="102"/>
      <c r="M48" s="102"/>
      <c r="N48" s="43" t="str">
        <f aca="false">IF($B48="","",IF(N($L48)=0,0,MIN(1,N($M48)/$L48)))</f>
        <v/>
      </c>
      <c r="O48" s="63" t="str">
        <f aca="false">IF($B48="","",SUMIFS('Diário de Estudo'!$D$7:$D$506,'Diário de Estudo'!$C$7:$C$506,$B48))</f>
        <v/>
      </c>
      <c r="P48" s="103" t="str">
        <f aca="false">IF($B48="","",IF(AND(N($O48)&gt;0,N($F48)&gt;0),$F48/$O48,""))</f>
        <v/>
      </c>
      <c r="Q48" s="60" t="str">
        <f aca="true">IF($B48="","",IF(OR(N($L48)=0,$G48=""),"",IF(N($M48)&gt;=$L48,"Concluído",IF(OR(N($M48)&lt;=0,TODAY()&lt;=$G48),"Sem ritmo",TODAY()+ROUNDUP(($L48-$M48)/($M48/(TODAY()-$G48)),0)))))</f>
        <v/>
      </c>
      <c r="R48" s="101" t="str">
        <f aca="false">IF($B48="","",IF(ISNUMBER($Q48),IF(AND(ISNUMBER($I48),$Q48&gt;$I48),"■ Estoura o acesso",IF(AND(ISNUMBER($H48),$Q48&gt;$H48),"▲ Atrasado vs plano","● No prazo")),IF($Q48="Concluído","◆ Concluído","—")))</f>
        <v/>
      </c>
      <c r="S48" s="81"/>
      <c r="T48" s="81"/>
      <c r="U48" s="81"/>
      <c r="V48" s="37"/>
      <c r="W48" s="37"/>
      <c r="X48" s="37"/>
      <c r="Y48" s="43" t="str">
        <f aca="false">IF($B48="","",IF(N($F48)=0,"",(N($X48)-$F48)/$F48))</f>
        <v/>
      </c>
      <c r="Z48" s="63" t="str">
        <f aca="false">IF($B48="","",IF(N($F48)=0,"",IF(N($X48)&gt;=$F48,0,IF(N($W48)&gt;0,($F48-N($X48))/$W48,"—"))))</f>
        <v/>
      </c>
      <c r="AA48" s="101" t="str">
        <f aca="false">IF($B48="","",IF(N($F48)=0,"—",IF(N($X48)&gt;=$F48,"● Pago",IF(N($X48)&gt;0,"▲ Em retorno","■ Sem retorno"))))</f>
        <v/>
      </c>
      <c r="AB48" s="13"/>
      <c r="AC48" s="13"/>
      <c r="AD48" s="13"/>
      <c r="AE48" s="11"/>
    </row>
    <row r="49" customFormat="false" ht="21.75" hidden="false" customHeight="true" outlineLevel="0" collapsed="false">
      <c r="A49" s="58" t="str">
        <f aca="false">IF($B49="","","RE-"&amp;TEXT(ROW()-9,"00"))</f>
        <v/>
      </c>
      <c r="B49" s="13"/>
      <c r="C49" s="13"/>
      <c r="D49" s="13"/>
      <c r="E49" s="52"/>
      <c r="F49" s="37"/>
      <c r="G49" s="52"/>
      <c r="H49" s="52"/>
      <c r="I49" s="52"/>
      <c r="J49" s="100" t="str">
        <f aca="true">IF(OR($B49="",$I49=""),"",$I49-TODAY())</f>
        <v/>
      </c>
      <c r="K49" s="101" t="str">
        <f aca="false">IF($B49="","",IF($I49="","∞ Vitalício",IF($J49&lt;0,"■ Vencido",IF($J49&lt;=Listas!$H$6,"▲ A vencer","● Ativo"))))</f>
        <v/>
      </c>
      <c r="L49" s="102"/>
      <c r="M49" s="102"/>
      <c r="N49" s="43" t="str">
        <f aca="false">IF($B49="","",IF(N($L49)=0,0,MIN(1,N($M49)/$L49)))</f>
        <v/>
      </c>
      <c r="O49" s="63" t="str">
        <f aca="false">IF($B49="","",SUMIFS('Diário de Estudo'!$D$7:$D$506,'Diário de Estudo'!$C$7:$C$506,$B49))</f>
        <v/>
      </c>
      <c r="P49" s="103" t="str">
        <f aca="false">IF($B49="","",IF(AND(N($O49)&gt;0,N($F49)&gt;0),$F49/$O49,""))</f>
        <v/>
      </c>
      <c r="Q49" s="60" t="str">
        <f aca="true">IF($B49="","",IF(OR(N($L49)=0,$G49=""),"",IF(N($M49)&gt;=$L49,"Concluído",IF(OR(N($M49)&lt;=0,TODAY()&lt;=$G49),"Sem ritmo",TODAY()+ROUNDUP(($L49-$M49)/($M49/(TODAY()-$G49)),0)))))</f>
        <v/>
      </c>
      <c r="R49" s="101" t="str">
        <f aca="false">IF($B49="","",IF(ISNUMBER($Q49),IF(AND(ISNUMBER($I49),$Q49&gt;$I49),"■ Estoura o acesso",IF(AND(ISNUMBER($H49),$Q49&gt;$H49),"▲ Atrasado vs plano","● No prazo")),IF($Q49="Concluído","◆ Concluído","—")))</f>
        <v/>
      </c>
      <c r="S49" s="81"/>
      <c r="T49" s="81"/>
      <c r="U49" s="81"/>
      <c r="V49" s="37"/>
      <c r="W49" s="37"/>
      <c r="X49" s="37"/>
      <c r="Y49" s="43" t="str">
        <f aca="false">IF($B49="","",IF(N($F49)=0,"",(N($X49)-$F49)/$F49))</f>
        <v/>
      </c>
      <c r="Z49" s="63" t="str">
        <f aca="false">IF($B49="","",IF(N($F49)=0,"",IF(N($X49)&gt;=$F49,0,IF(N($W49)&gt;0,($F49-N($X49))/$W49,"—"))))</f>
        <v/>
      </c>
      <c r="AA49" s="101" t="str">
        <f aca="false">IF($B49="","",IF(N($F49)=0,"—",IF(N($X49)&gt;=$F49,"● Pago",IF(N($X49)&gt;0,"▲ Em retorno","■ Sem retorno"))))</f>
        <v/>
      </c>
      <c r="AB49" s="13"/>
      <c r="AC49" s="13"/>
      <c r="AD49" s="13"/>
      <c r="AE49" s="11"/>
    </row>
  </sheetData>
  <autoFilter ref="A9:AE49"/>
  <mergeCells count="22">
    <mergeCell ref="A1:AE1"/>
    <mergeCell ref="A2:AB2"/>
    <mergeCell ref="AC2:AE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A8:L8"/>
  </mergeCells>
  <conditionalFormatting sqref="S10:S49">
    <cfRule type="cellIs" priority="2" operator="equal" aboveAverage="0" equalAverage="0" bottom="0" percent="0" rank="0" text="" dxfId="8">
      <formula>"Concluído"</formula>
    </cfRule>
    <cfRule type="cellIs" priority="3" operator="equal" aboveAverage="0" equalAverage="0" bottom="0" percent="0" rank="0" text="" dxfId="9">
      <formula>"Em andamento"</formula>
    </cfRule>
    <cfRule type="cellIs" priority="4" operator="equal" aboveAverage="0" equalAverage="0" bottom="0" percent="0" rank="0" text="" dxfId="19">
      <formula>"Pausado"</formula>
    </cfRule>
  </conditionalFormatting>
  <conditionalFormatting sqref="T10:T49">
    <cfRule type="cellIs" priority="5" operator="equal" aboveAverage="0" equalAverage="0" bottom="0" percent="0" rank="0" text="" dxfId="2">
      <formula>"Alta"</formula>
    </cfRule>
  </conditionalFormatting>
  <conditionalFormatting sqref="N10:N49">
    <cfRule type="dataBar" priority="6">
      <dataBar showValue="1" minLength="10" maxLength="90">
        <cfvo type="num" val="0"/>
        <cfvo type="num" val="1"/>
        <color rgb="FFA3B18A"/>
      </dataBar>
      <extLst>
        <ext xmlns:x14="http://schemas.microsoft.com/office/spreadsheetml/2009/9/main" uri="{B025F937-C7B1-47D3-B67F-A62EFF666E3E}">
          <x14:id>{85EDF2BA-46D0-4926-8934-BBD4C8C0AF12}</x14:id>
        </ext>
      </extLst>
    </cfRule>
  </conditionalFormatting>
  <conditionalFormatting sqref="U10:U49">
    <cfRule type="cellIs" priority="7" operator="equal" aboveAverage="0" equalAverage="0" bottom="0" percent="0" rank="0" text="" dxfId="8">
      <formula>"Emitido"</formula>
    </cfRule>
    <cfRule type="cellIs" priority="8" operator="equal" aboveAverage="0" equalAverage="0" bottom="0" percent="0" rank="0" text="" dxfId="20">
      <formula>"Em emissão"</formula>
    </cfRule>
  </conditionalFormatting>
  <conditionalFormatting sqref="R10:R49">
    <cfRule type="expression" priority="9" aboveAverage="0" equalAverage="0" bottom="0" percent="0" rank="0" text="" dxfId="0">
      <formula>ISNUMBER(SEARCH("Estoura",R10))</formula>
    </cfRule>
    <cfRule type="expression" priority="10" aboveAverage="0" equalAverage="0" bottom="0" percent="0" rank="0" text="" dxfId="1">
      <formula>ISNUMBER(SEARCH("Atrasado",R10))</formula>
    </cfRule>
    <cfRule type="expression" priority="11" aboveAverage="0" equalAverage="0" bottom="0" percent="0" rank="0" text="" dxfId="21">
      <formula>ISNUMBER(SEARCH("No prazo",R10))</formula>
    </cfRule>
    <cfRule type="expression" priority="12" aboveAverage="0" equalAverage="0" bottom="0" percent="0" rank="0" text="" dxfId="22">
      <formula>ISNUMBER(SEARCH("Concluído",R10))</formula>
    </cfRule>
  </conditionalFormatting>
  <conditionalFormatting sqref="AA10:AA49">
    <cfRule type="expression" priority="13" aboveAverage="0" equalAverage="0" bottom="0" percent="0" rank="0" text="" dxfId="8">
      <formula>ISNUMBER(SEARCH("Pago",AA10))</formula>
    </cfRule>
    <cfRule type="expression" priority="14" aboveAverage="0" equalAverage="0" bottom="0" percent="0" rank="0" text="" dxfId="1">
      <formula>ISNUMBER(SEARCH("Em retorno",AA10))</formula>
    </cfRule>
    <cfRule type="expression" priority="15" aboveAverage="0" equalAverage="0" bottom="0" percent="0" rank="0" text="" dxfId="0">
      <formula>ISNUMBER(SEARCH("Sem retorno",AA10))</formula>
    </cfRule>
  </conditionalFormatting>
  <conditionalFormatting sqref="Y10:Y49">
    <cfRule type="cellIs" priority="16" operator="lessThan" aboveAverage="0" equalAverage="0" bottom="0" percent="0" rank="0" text="" dxfId="2">
      <formula>0</formula>
    </cfRule>
    <cfRule type="cellIs" priority="17" operator="greaterThan" aboveAverage="0" equalAverage="0" bottom="0" percent="0" rank="0" text="" dxfId="3">
      <formula>0</formula>
    </cfRule>
  </conditionalFormatting>
  <conditionalFormatting sqref="J10:K49">
    <cfRule type="expression" priority="18" aboveAverage="0" equalAverage="0" bottom="0" percent="0" rank="0" text="" dxfId="0">
      <formula>ISNUMBER(SEARCH("Vencido",$K10))</formula>
    </cfRule>
    <cfRule type="expression" priority="19" aboveAverage="0" equalAverage="0" bottom="0" percent="0" rank="0" text="" dxfId="1">
      <formula>ISNUMBER(SEARCH("A vencer",$K10))</formula>
    </cfRule>
    <cfRule type="expression" priority="20" aboveAverage="0" equalAverage="0" bottom="0" percent="0" rank="0" text="" dxfId="21">
      <formula>ISNUMBER(SEARCH("Ativo",$K10))</formula>
    </cfRule>
  </conditionalFormatting>
  <dataValidations count="5">
    <dataValidation allowBlank="true" error="Valor inválido para esta coluna." errorStyle="stop" errorTitle="Atenção" operator="greaterThan" showDropDown="false" showErrorMessage="true" showInputMessage="false" sqref="E10:E49 G10:I49" type="date">
      <formula1>36526</formula1>
      <formula2>0</formula2>
    </dataValidation>
    <dataValidation allowBlank="true" error="Valor inválido para esta coluna." errorStyle="stop" errorTitle="Atenção" operator="greaterThanOrEqual" showDropDown="false" showErrorMessage="true" showInputMessage="false" sqref="F10:F49 L10:M49 V10:X49" type="decimal">
      <formula1>0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S10:S49" type="list">
      <formula1>Listas!$A$6:$A$9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T10:T49" type="list">
      <formula1>Listas!$B$6:$B$8</formula1>
      <formula2>0</formula2>
    </dataValidation>
    <dataValidation allowBlank="true" error="Valor inválido para esta coluna." errorStyle="stop" errorTitle="Atenção" operator="between" showDropDown="false" showErrorMessage="true" showInputMessage="false" sqref="U10:U49" type="list">
      <formula1>Listas!$F$6:$F$9</formula1>
      <formula2>0</formula2>
    </dataValidation>
  </dataValidations>
  <hyperlinks>
    <hyperlink ref="AC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EDF2BA-46D0-4926-8934-BBD4C8C0AF1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3B18A"/>
              <x14:axisColor rgb="FF000000"/>
            </x14:dataBar>
          </x14:cfRule>
          <xm:sqref>N10:N49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EAE0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  <col collapsed="false" customWidth="true" hidden="false" outlineLevel="0" max="7" min="7" style="0" width="4"/>
    <col collapsed="false" customWidth="true" hidden="false" outlineLevel="0" max="8" min="8" style="0" width="28"/>
  </cols>
  <sheetData>
    <row r="1" customFormat="false" ht="37.5" hidden="false" customHeight="true" outlineLevel="0" collapsed="false">
      <c r="A1" s="20" t="s">
        <v>246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247</v>
      </c>
      <c r="B2" s="21"/>
      <c r="C2" s="21"/>
      <c r="D2" s="21"/>
      <c r="E2" s="21"/>
      <c r="F2" s="22" t="s">
        <v>57</v>
      </c>
      <c r="G2" s="22"/>
      <c r="H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25.5" hidden="false" customHeight="true" outlineLevel="0" collapsed="false">
      <c r="A5" s="95" t="s">
        <v>109</v>
      </c>
      <c r="B5" s="95" t="s">
        <v>181</v>
      </c>
      <c r="C5" s="95" t="s">
        <v>166</v>
      </c>
      <c r="D5" s="95" t="s">
        <v>248</v>
      </c>
      <c r="E5" s="95" t="s">
        <v>249</v>
      </c>
      <c r="F5" s="95" t="s">
        <v>182</v>
      </c>
      <c r="H5" s="95" t="s">
        <v>250</v>
      </c>
    </row>
    <row r="6" customFormat="false" ht="25.5" hidden="false" customHeight="true" outlineLevel="0" collapsed="false">
      <c r="A6" s="41" t="s">
        <v>74</v>
      </c>
      <c r="B6" s="36" t="s">
        <v>189</v>
      </c>
      <c r="C6" s="36" t="s">
        <v>188</v>
      </c>
      <c r="D6" s="36" t="s">
        <v>225</v>
      </c>
      <c r="E6" s="41" t="s">
        <v>11</v>
      </c>
      <c r="F6" s="41" t="s">
        <v>190</v>
      </c>
      <c r="H6" s="105" t="n">
        <v>30</v>
      </c>
    </row>
    <row r="7" customFormat="false" ht="49.5" hidden="false" customHeight="true" outlineLevel="0" collapsed="false">
      <c r="A7" s="41" t="s">
        <v>41</v>
      </c>
      <c r="B7" s="36" t="s">
        <v>226</v>
      </c>
      <c r="C7" s="36" t="s">
        <v>251</v>
      </c>
      <c r="D7" s="36" t="s">
        <v>252</v>
      </c>
      <c r="E7" s="41" t="s">
        <v>12</v>
      </c>
      <c r="F7" s="41" t="s">
        <v>253</v>
      </c>
      <c r="H7" s="106" t="s">
        <v>254</v>
      </c>
    </row>
    <row r="8" customFormat="false" ht="15" hidden="false" customHeight="false" outlineLevel="0" collapsed="false">
      <c r="A8" s="41" t="s">
        <v>43</v>
      </c>
      <c r="B8" s="36" t="s">
        <v>255</v>
      </c>
      <c r="C8" s="36" t="s">
        <v>256</v>
      </c>
      <c r="D8" s="36" t="s">
        <v>257</v>
      </c>
      <c r="E8" s="41" t="s">
        <v>13</v>
      </c>
      <c r="F8" s="41" t="s">
        <v>258</v>
      </c>
    </row>
    <row r="9" customFormat="false" ht="15" hidden="false" customHeight="false" outlineLevel="0" collapsed="false">
      <c r="A9" s="41" t="s">
        <v>75</v>
      </c>
      <c r="D9" s="36" t="s">
        <v>259</v>
      </c>
      <c r="E9" s="41" t="s">
        <v>14</v>
      </c>
      <c r="F9" s="41" t="s">
        <v>208</v>
      </c>
    </row>
    <row r="10" customFormat="false" ht="15" hidden="false" customHeight="false" outlineLevel="0" collapsed="false">
      <c r="E10" s="41" t="s">
        <v>19</v>
      </c>
    </row>
    <row r="13" customFormat="false" ht="15" hidden="false" customHeight="false" outlineLevel="0" collapsed="false">
      <c r="A13" s="107" t="s">
        <v>260</v>
      </c>
    </row>
  </sheetData>
  <mergeCells count="3">
    <mergeCell ref="A1:H1"/>
    <mergeCell ref="A2:E2"/>
    <mergeCell ref="F2:H2"/>
  </mergeCells>
  <hyperlinks>
    <hyperlink ref="F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D9D9"/>
    <pageSetUpPr fitToPage="true"/>
  </sheetPr>
  <dimension ref="A1:P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"/>
    <col collapsed="false" customWidth="true" hidden="false" outlineLevel="0" max="16" min="16" style="0" width="44"/>
  </cols>
  <sheetData>
    <row r="1" customFormat="false" ht="37.5" hidden="false" customHeight="true" outlineLevel="0" collapsed="false">
      <c r="A1" s="20" t="s">
        <v>261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9.5" hidden="false" customHeight="true" outlineLevel="0" collapsed="false">
      <c r="A2" s="21" t="s">
        <v>262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 t="s">
        <v>57</v>
      </c>
      <c r="O2" s="22"/>
      <c r="P2" s="2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5.5" hidden="false" customHeight="true" outlineLevel="0" collapsed="false">
      <c r="A4" s="108" t="s">
        <v>72</v>
      </c>
      <c r="B4" s="108" t="s">
        <v>86</v>
      </c>
      <c r="C4" s="108" t="s">
        <v>263</v>
      </c>
      <c r="D4" s="108" t="s">
        <v>88</v>
      </c>
      <c r="E4" s="108" t="s">
        <v>264</v>
      </c>
      <c r="F4" s="108" t="s">
        <v>265</v>
      </c>
      <c r="G4" s="108" t="s">
        <v>98</v>
      </c>
      <c r="H4" s="108" t="s">
        <v>266</v>
      </c>
      <c r="J4" s="108" t="s">
        <v>267</v>
      </c>
      <c r="K4" s="108" t="s">
        <v>264</v>
      </c>
      <c r="L4" s="108" t="s">
        <v>268</v>
      </c>
      <c r="M4" s="108" t="s">
        <v>266</v>
      </c>
      <c r="N4" s="108" t="s">
        <v>269</v>
      </c>
      <c r="P4" s="108" t="s">
        <v>270</v>
      </c>
    </row>
    <row r="5" customFormat="false" ht="15" hidden="false" customHeight="false" outlineLevel="0" collapsed="false">
      <c r="A5" s="109" t="str">
        <f aca="false">IF('Pós-graduação'!$B10="","","Pós-graduação")</f>
        <v>Pós-graduação</v>
      </c>
      <c r="B5" s="109" t="str">
        <f aca="false">IF('Pós-graduação'!$B10="","",'Pós-graduação'!$B10)</f>
        <v>MBA em Inteligência Artificial (exemplo)</v>
      </c>
      <c r="C5" s="110" t="n">
        <f aca="false">IF(OR('Pós-graduação'!$B10="",'Pós-graduação'!$I10=""),"",'Pós-graduação'!$I10)</f>
        <v>46997</v>
      </c>
      <c r="D5" s="109" t="n">
        <f aca="true">IF(C5="","",C5-TODAY())</f>
        <v>699</v>
      </c>
      <c r="E5" s="109" t="n">
        <f aca="false">IF(C5="","",D5+ROW()/100000)</f>
        <v>699.00005</v>
      </c>
      <c r="F5" s="110" t="n">
        <f aca="false">IF('Pós-graduação'!$B10="","",'Pós-graduação'!$Q10)</f>
        <v>46586</v>
      </c>
      <c r="G5" s="109" t="n">
        <f aca="false">IF(AND(ISNUMBER(C5),ISNUMBER(F5)),C5-F5,"")</f>
        <v>411</v>
      </c>
      <c r="H5" s="109" t="str">
        <f aca="false">IF(ISNUMBER(G5),IF(G5&lt;0,G5+ROW()/100000,""),"")</f>
        <v/>
      </c>
      <c r="I5" s="109"/>
      <c r="J5" s="109" t="n">
        <v>1</v>
      </c>
      <c r="K5" s="109" t="n">
        <f aca="false">IFERROR(SMALL($E$5:$E$164,J5),"")</f>
        <v>270.00045</v>
      </c>
      <c r="L5" s="109" t="n">
        <f aca="false">IF(K5="","",MATCH(K5,$E$5:$E$164,0))</f>
        <v>41</v>
      </c>
      <c r="M5" s="109" t="str">
        <f aca="false">IFERROR(SMALL($H$5:$H$164,J5),"")</f>
        <v/>
      </c>
      <c r="N5" s="109" t="str">
        <f aca="false">IF(M5="","",MATCH(M5,$H$5:$H$164,0))</f>
        <v/>
      </c>
      <c r="O5" s="109"/>
      <c r="P5" s="109" t="str">
        <f aca="false">IF('Pós-graduação'!$B10="","",'Pós-graduação'!$B10)</f>
        <v>MBA em Inteligência Artificial (exemplo)</v>
      </c>
    </row>
    <row r="6" customFormat="false" ht="15" hidden="false" customHeight="false" outlineLevel="0" collapsed="false">
      <c r="A6" s="109" t="str">
        <f aca="false">IF('Pós-graduação'!$B11="","","Pós-graduação")</f>
        <v/>
      </c>
      <c r="B6" s="109" t="str">
        <f aca="false">IF('Pós-graduação'!$B11="","",'Pós-graduação'!$B11)</f>
        <v/>
      </c>
      <c r="C6" s="110" t="str">
        <f aca="false">IF(OR('Pós-graduação'!$B11="",'Pós-graduação'!$I11=""),"",'Pós-graduação'!$I11)</f>
        <v/>
      </c>
      <c r="D6" s="109" t="str">
        <f aca="true">IF(C6="","",C6-TODAY())</f>
        <v/>
      </c>
      <c r="E6" s="109" t="str">
        <f aca="false">IF(C6="","",D6+ROW()/100000)</f>
        <v/>
      </c>
      <c r="F6" s="110" t="str">
        <f aca="false">IF('Pós-graduação'!$B11="","",'Pós-graduação'!$Q11)</f>
        <v/>
      </c>
      <c r="G6" s="109" t="str">
        <f aca="false">IF(AND(ISNUMBER(C6),ISNUMBER(F6)),C6-F6,"")</f>
        <v/>
      </c>
      <c r="H6" s="109" t="str">
        <f aca="false">IF(ISNUMBER(G6),IF(G6&lt;0,G6+ROW()/100000,""),"")</f>
        <v/>
      </c>
      <c r="I6" s="109"/>
      <c r="J6" s="109" t="n">
        <v>2</v>
      </c>
      <c r="K6" s="109" t="n">
        <f aca="false">IFERROR(SMALL($E$5:$E$164,J6),"")</f>
        <v>333.00125</v>
      </c>
      <c r="L6" s="109" t="n">
        <f aca="false">IF(K6="","",MATCH(K6,$E$5:$E$164,0))</f>
        <v>121</v>
      </c>
      <c r="M6" s="109" t="str">
        <f aca="false">IFERROR(SMALL($H$5:$H$164,J6),"")</f>
        <v/>
      </c>
      <c r="N6" s="109" t="str">
        <f aca="false">IF(M6="","",MATCH(M6,$H$5:$H$164,0))</f>
        <v/>
      </c>
      <c r="O6" s="109"/>
      <c r="P6" s="109" t="str">
        <f aca="false">IF('Pós-graduação'!$B11="","",'Pós-graduação'!$B11)</f>
        <v/>
      </c>
    </row>
    <row r="7" customFormat="false" ht="15" hidden="false" customHeight="false" outlineLevel="0" collapsed="false">
      <c r="A7" s="109" t="str">
        <f aca="false">IF('Pós-graduação'!$B12="","","Pós-graduação")</f>
        <v/>
      </c>
      <c r="B7" s="109" t="str">
        <f aca="false">IF('Pós-graduação'!$B12="","",'Pós-graduação'!$B12)</f>
        <v/>
      </c>
      <c r="C7" s="110" t="str">
        <f aca="false">IF(OR('Pós-graduação'!$B12="",'Pós-graduação'!$I12=""),"",'Pós-graduação'!$I12)</f>
        <v/>
      </c>
      <c r="D7" s="109" t="str">
        <f aca="true">IF(C7="","",C7-TODAY())</f>
        <v/>
      </c>
      <c r="E7" s="109" t="str">
        <f aca="false">IF(C7="","",D7+ROW()/100000)</f>
        <v/>
      </c>
      <c r="F7" s="110" t="str">
        <f aca="false">IF('Pós-graduação'!$B12="","",'Pós-graduação'!$Q12)</f>
        <v/>
      </c>
      <c r="G7" s="109" t="str">
        <f aca="false">IF(AND(ISNUMBER(C7),ISNUMBER(F7)),C7-F7,"")</f>
        <v/>
      </c>
      <c r="H7" s="109" t="str">
        <f aca="false">IF(ISNUMBER(G7),IF(G7&lt;0,G7+ROW()/100000,""),"")</f>
        <v/>
      </c>
      <c r="I7" s="109"/>
      <c r="J7" s="109" t="n">
        <v>3</v>
      </c>
      <c r="K7" s="109" t="n">
        <f aca="false">IFERROR(SMALL($E$5:$E$164,J7),"")</f>
        <v>344.00085</v>
      </c>
      <c r="L7" s="109" t="n">
        <f aca="false">IF(K7="","",MATCH(K7,$E$5:$E$164,0))</f>
        <v>81</v>
      </c>
      <c r="M7" s="109" t="str">
        <f aca="false">IFERROR(SMALL($H$5:$H$164,J7),"")</f>
        <v/>
      </c>
      <c r="N7" s="109" t="str">
        <f aca="false">IF(M7="","",MATCH(M7,$H$5:$H$164,0))</f>
        <v/>
      </c>
      <c r="O7" s="109"/>
      <c r="P7" s="109" t="str">
        <f aca="false">IF('Pós-graduação'!$B12="","",'Pós-graduação'!$B12)</f>
        <v/>
      </c>
    </row>
    <row r="8" customFormat="false" ht="15" hidden="false" customHeight="false" outlineLevel="0" collapsed="false">
      <c r="A8" s="109" t="str">
        <f aca="false">IF('Pós-graduação'!$B13="","","Pós-graduação")</f>
        <v/>
      </c>
      <c r="B8" s="109" t="str">
        <f aca="false">IF('Pós-graduação'!$B13="","",'Pós-graduação'!$B13)</f>
        <v/>
      </c>
      <c r="C8" s="110" t="str">
        <f aca="false">IF(OR('Pós-graduação'!$B13="",'Pós-graduação'!$I13=""),"",'Pós-graduação'!$I13)</f>
        <v/>
      </c>
      <c r="D8" s="109" t="str">
        <f aca="true">IF(C8="","",C8-TODAY())</f>
        <v/>
      </c>
      <c r="E8" s="109" t="str">
        <f aca="false">IF(C8="","",D8+ROW()/100000)</f>
        <v/>
      </c>
      <c r="F8" s="110" t="str">
        <f aca="false">IF('Pós-graduação'!$B13="","",'Pós-graduação'!$Q13)</f>
        <v/>
      </c>
      <c r="G8" s="109" t="str">
        <f aca="false">IF(AND(ISNUMBER(C8),ISNUMBER(F8)),C8-F8,"")</f>
        <v/>
      </c>
      <c r="H8" s="109" t="str">
        <f aca="false">IF(ISNUMBER(G8),IF(G8&lt;0,G8+ROW()/100000,""),"")</f>
        <v/>
      </c>
      <c r="I8" s="109"/>
      <c r="J8" s="109" t="n">
        <v>4</v>
      </c>
      <c r="K8" s="109" t="n">
        <f aca="false">IFERROR(SMALL($E$5:$E$164,J8),"")</f>
        <v>699.00005</v>
      </c>
      <c r="L8" s="109" t="n">
        <f aca="false">IF(K8="","",MATCH(K8,$E$5:$E$164,0))</f>
        <v>1</v>
      </c>
      <c r="M8" s="109" t="str">
        <f aca="false">IFERROR(SMALL($H$5:$H$164,J8),"")</f>
        <v/>
      </c>
      <c r="N8" s="109" t="str">
        <f aca="false">IF(M8="","",MATCH(M8,$H$5:$H$164,0))</f>
        <v/>
      </c>
      <c r="O8" s="109"/>
      <c r="P8" s="109" t="str">
        <f aca="false">IF('Pós-graduação'!$B13="","",'Pós-graduação'!$B13)</f>
        <v/>
      </c>
    </row>
    <row r="9" customFormat="false" ht="15" hidden="false" customHeight="false" outlineLevel="0" collapsed="false">
      <c r="A9" s="109" t="str">
        <f aca="false">IF('Pós-graduação'!$B14="","","Pós-graduação")</f>
        <v/>
      </c>
      <c r="B9" s="109" t="str">
        <f aca="false">IF('Pós-graduação'!$B14="","",'Pós-graduação'!$B14)</f>
        <v/>
      </c>
      <c r="C9" s="110" t="str">
        <f aca="false">IF(OR('Pós-graduação'!$B14="",'Pós-graduação'!$I14=""),"",'Pós-graduação'!$I14)</f>
        <v/>
      </c>
      <c r="D9" s="109" t="str">
        <f aca="true">IF(C9="","",C9-TODAY())</f>
        <v/>
      </c>
      <c r="E9" s="109" t="str">
        <f aca="false">IF(C9="","",D9+ROW()/100000)</f>
        <v/>
      </c>
      <c r="F9" s="110" t="str">
        <f aca="false">IF('Pós-graduação'!$B14="","",'Pós-graduação'!$Q14)</f>
        <v/>
      </c>
      <c r="G9" s="109" t="str">
        <f aca="false">IF(AND(ISNUMBER(C9),ISNUMBER(F9)),C9-F9,"")</f>
        <v/>
      </c>
      <c r="H9" s="109" t="str">
        <f aca="false">IF(ISNUMBER(G9),IF(G9&lt;0,G9+ROW()/100000,""),"")</f>
        <v/>
      </c>
      <c r="I9" s="109"/>
      <c r="J9" s="109" t="n">
        <v>5</v>
      </c>
      <c r="K9" s="109" t="str">
        <f aca="false">IFERROR(SMALL($E$5:$E$164,J9),"")</f>
        <v/>
      </c>
      <c r="L9" s="109" t="str">
        <f aca="false">IF(K9="","",MATCH(K9,$E$5:$E$164,0))</f>
        <v/>
      </c>
      <c r="M9" s="109" t="str">
        <f aca="false">IFERROR(SMALL($H$5:$H$164,J9),"")</f>
        <v/>
      </c>
      <c r="N9" s="109" t="str">
        <f aca="false">IF(M9="","",MATCH(M9,$H$5:$H$164,0))</f>
        <v/>
      </c>
      <c r="O9" s="109"/>
      <c r="P9" s="109" t="str">
        <f aca="false">IF('Pós-graduação'!$B14="","",'Pós-graduação'!$B14)</f>
        <v/>
      </c>
    </row>
    <row r="10" customFormat="false" ht="15" hidden="false" customHeight="false" outlineLevel="0" collapsed="false">
      <c r="A10" s="109" t="str">
        <f aca="false">IF('Pós-graduação'!$B15="","","Pós-graduação")</f>
        <v/>
      </c>
      <c r="B10" s="109" t="str">
        <f aca="false">IF('Pós-graduação'!$B15="","",'Pós-graduação'!$B15)</f>
        <v/>
      </c>
      <c r="C10" s="110" t="str">
        <f aca="false">IF(OR('Pós-graduação'!$B15="",'Pós-graduação'!$I15=""),"",'Pós-graduação'!$I15)</f>
        <v/>
      </c>
      <c r="D10" s="109" t="str">
        <f aca="true">IF(C10="","",C10-TODAY())</f>
        <v/>
      </c>
      <c r="E10" s="109" t="str">
        <f aca="false">IF(C10="","",D10+ROW()/100000)</f>
        <v/>
      </c>
      <c r="F10" s="110" t="str">
        <f aca="false">IF('Pós-graduação'!$B15="","",'Pós-graduação'!$Q15)</f>
        <v/>
      </c>
      <c r="G10" s="109" t="str">
        <f aca="false">IF(AND(ISNUMBER(C10),ISNUMBER(F10)),C10-F10,"")</f>
        <v/>
      </c>
      <c r="H10" s="109" t="str">
        <f aca="false">IF(ISNUMBER(G10),IF(G10&lt;0,G10+ROW()/100000,""),"")</f>
        <v/>
      </c>
      <c r="I10" s="109"/>
      <c r="J10" s="109" t="n">
        <v>6</v>
      </c>
      <c r="K10" s="109" t="str">
        <f aca="false">IFERROR(SMALL($E$5:$E$164,J10),"")</f>
        <v/>
      </c>
      <c r="L10" s="109" t="str">
        <f aca="false">IF(K10="","",MATCH(K10,$E$5:$E$164,0))</f>
        <v/>
      </c>
      <c r="M10" s="109" t="str">
        <f aca="false">IFERROR(SMALL($H$5:$H$164,J10),"")</f>
        <v/>
      </c>
      <c r="N10" s="109" t="str">
        <f aca="false">IF(M10="","",MATCH(M10,$H$5:$H$164,0))</f>
        <v/>
      </c>
      <c r="O10" s="109"/>
      <c r="P10" s="109" t="str">
        <f aca="false">IF('Pós-graduação'!$B15="","",'Pós-graduação'!$B15)</f>
        <v/>
      </c>
    </row>
    <row r="11" customFormat="false" ht="15" hidden="false" customHeight="false" outlineLevel="0" collapsed="false">
      <c r="A11" s="109" t="str">
        <f aca="false">IF('Pós-graduação'!$B16="","","Pós-graduação")</f>
        <v/>
      </c>
      <c r="B11" s="109" t="str">
        <f aca="false">IF('Pós-graduação'!$B16="","",'Pós-graduação'!$B16)</f>
        <v/>
      </c>
      <c r="C11" s="110" t="str">
        <f aca="false">IF(OR('Pós-graduação'!$B16="",'Pós-graduação'!$I16=""),"",'Pós-graduação'!$I16)</f>
        <v/>
      </c>
      <c r="D11" s="109" t="str">
        <f aca="true">IF(C11="","",C11-TODAY())</f>
        <v/>
      </c>
      <c r="E11" s="109" t="str">
        <f aca="false">IF(C11="","",D11+ROW()/100000)</f>
        <v/>
      </c>
      <c r="F11" s="110" t="str">
        <f aca="false">IF('Pós-graduação'!$B16="","",'Pós-graduação'!$Q16)</f>
        <v/>
      </c>
      <c r="G11" s="109" t="str">
        <f aca="false">IF(AND(ISNUMBER(C11),ISNUMBER(F11)),C11-F11,"")</f>
        <v/>
      </c>
      <c r="H11" s="109" t="str">
        <f aca="false">IF(ISNUMBER(G11),IF(G11&lt;0,G11+ROW()/100000,""),"")</f>
        <v/>
      </c>
      <c r="I11" s="109"/>
      <c r="J11" s="109" t="n">
        <v>7</v>
      </c>
      <c r="K11" s="109" t="str">
        <f aca="false">IFERROR(SMALL($E$5:$E$164,J11),"")</f>
        <v/>
      </c>
      <c r="L11" s="109" t="str">
        <f aca="false">IF(K11="","",MATCH(K11,$E$5:$E$164,0))</f>
        <v/>
      </c>
      <c r="M11" s="109" t="str">
        <f aca="false">IFERROR(SMALL($H$5:$H$164,J11),"")</f>
        <v/>
      </c>
      <c r="N11" s="109" t="str">
        <f aca="false">IF(M11="","",MATCH(M11,$H$5:$H$164,0))</f>
        <v/>
      </c>
      <c r="O11" s="109"/>
      <c r="P11" s="109" t="str">
        <f aca="false">IF('Pós-graduação'!$B16="","",'Pós-graduação'!$B16)</f>
        <v/>
      </c>
    </row>
    <row r="12" customFormat="false" ht="15" hidden="false" customHeight="false" outlineLevel="0" collapsed="false">
      <c r="A12" s="109" t="str">
        <f aca="false">IF('Pós-graduação'!$B17="","","Pós-graduação")</f>
        <v/>
      </c>
      <c r="B12" s="109" t="str">
        <f aca="false">IF('Pós-graduação'!$B17="","",'Pós-graduação'!$B17)</f>
        <v/>
      </c>
      <c r="C12" s="110" t="str">
        <f aca="false">IF(OR('Pós-graduação'!$B17="",'Pós-graduação'!$I17=""),"",'Pós-graduação'!$I17)</f>
        <v/>
      </c>
      <c r="D12" s="109" t="str">
        <f aca="true">IF(C12="","",C12-TODAY())</f>
        <v/>
      </c>
      <c r="E12" s="109" t="str">
        <f aca="false">IF(C12="","",D12+ROW()/100000)</f>
        <v/>
      </c>
      <c r="F12" s="110" t="str">
        <f aca="false">IF('Pós-graduação'!$B17="","",'Pós-graduação'!$Q17)</f>
        <v/>
      </c>
      <c r="G12" s="109" t="str">
        <f aca="false">IF(AND(ISNUMBER(C12),ISNUMBER(F12)),C12-F12,"")</f>
        <v/>
      </c>
      <c r="H12" s="109" t="str">
        <f aca="false">IF(ISNUMBER(G12),IF(G12&lt;0,G12+ROW()/100000,""),"")</f>
        <v/>
      </c>
      <c r="I12" s="109"/>
      <c r="J12" s="109" t="n">
        <v>8</v>
      </c>
      <c r="K12" s="109" t="str">
        <f aca="false">IFERROR(SMALL($E$5:$E$164,J12),"")</f>
        <v/>
      </c>
      <c r="L12" s="109" t="str">
        <f aca="false">IF(K12="","",MATCH(K12,$E$5:$E$164,0))</f>
        <v/>
      </c>
      <c r="M12" s="109" t="str">
        <f aca="false">IFERROR(SMALL($H$5:$H$164,J12),"")</f>
        <v/>
      </c>
      <c r="N12" s="109" t="str">
        <f aca="false">IF(M12="","",MATCH(M12,$H$5:$H$164,0))</f>
        <v/>
      </c>
      <c r="O12" s="109"/>
      <c r="P12" s="109" t="str">
        <f aca="false">IF('Pós-graduação'!$B17="","",'Pós-graduação'!$B17)</f>
        <v/>
      </c>
    </row>
    <row r="13" customFormat="false" ht="15" hidden="false" customHeight="false" outlineLevel="0" collapsed="false">
      <c r="A13" s="109" t="str">
        <f aca="false">IF('Pós-graduação'!$B18="","","Pós-graduação")</f>
        <v/>
      </c>
      <c r="B13" s="109" t="str">
        <f aca="false">IF('Pós-graduação'!$B18="","",'Pós-graduação'!$B18)</f>
        <v/>
      </c>
      <c r="C13" s="110" t="str">
        <f aca="false">IF(OR('Pós-graduação'!$B18="",'Pós-graduação'!$I18=""),"",'Pós-graduação'!$I18)</f>
        <v/>
      </c>
      <c r="D13" s="109" t="str">
        <f aca="true">IF(C13="","",C13-TODAY())</f>
        <v/>
      </c>
      <c r="E13" s="109" t="str">
        <f aca="false">IF(C13="","",D13+ROW()/100000)</f>
        <v/>
      </c>
      <c r="F13" s="110" t="str">
        <f aca="false">IF('Pós-graduação'!$B18="","",'Pós-graduação'!$Q18)</f>
        <v/>
      </c>
      <c r="G13" s="109" t="str">
        <f aca="false">IF(AND(ISNUMBER(C13),ISNUMBER(F13)),C13-F13,"")</f>
        <v/>
      </c>
      <c r="H13" s="109" t="str">
        <f aca="false">IF(ISNUMBER(G13),IF(G13&lt;0,G13+ROW()/100000,""),"")</f>
        <v/>
      </c>
      <c r="I13" s="109"/>
      <c r="J13" s="109"/>
      <c r="K13" s="109"/>
      <c r="L13" s="109"/>
      <c r="M13" s="109"/>
      <c r="N13" s="109"/>
      <c r="O13" s="109"/>
      <c r="P13" s="109" t="str">
        <f aca="false">IF('Pós-graduação'!$B18="","",'Pós-graduação'!$B18)</f>
        <v/>
      </c>
    </row>
    <row r="14" customFormat="false" ht="15" hidden="false" customHeight="false" outlineLevel="0" collapsed="false">
      <c r="A14" s="109" t="str">
        <f aca="false">IF('Pós-graduação'!$B19="","","Pós-graduação")</f>
        <v/>
      </c>
      <c r="B14" s="109" t="str">
        <f aca="false">IF('Pós-graduação'!$B19="","",'Pós-graduação'!$B19)</f>
        <v/>
      </c>
      <c r="C14" s="110" t="str">
        <f aca="false">IF(OR('Pós-graduação'!$B19="",'Pós-graduação'!$I19=""),"",'Pós-graduação'!$I19)</f>
        <v/>
      </c>
      <c r="D14" s="109" t="str">
        <f aca="true">IF(C14="","",C14-TODAY())</f>
        <v/>
      </c>
      <c r="E14" s="109" t="str">
        <f aca="false">IF(C14="","",D14+ROW()/100000)</f>
        <v/>
      </c>
      <c r="F14" s="110" t="str">
        <f aca="false">IF('Pós-graduação'!$B19="","",'Pós-graduação'!$Q19)</f>
        <v/>
      </c>
      <c r="G14" s="109" t="str">
        <f aca="false">IF(AND(ISNUMBER(C14),ISNUMBER(F14)),C14-F14,"")</f>
        <v/>
      </c>
      <c r="H14" s="109" t="str">
        <f aca="false">IF(ISNUMBER(G14),IF(G14&lt;0,G14+ROW()/100000,""),"")</f>
        <v/>
      </c>
      <c r="I14" s="109"/>
      <c r="J14" s="109"/>
      <c r="K14" s="109"/>
      <c r="L14" s="109"/>
      <c r="M14" s="109"/>
      <c r="N14" s="109"/>
      <c r="O14" s="109"/>
      <c r="P14" s="109" t="str">
        <f aca="false">IF('Pós-graduação'!$B19="","",'Pós-graduação'!$B19)</f>
        <v/>
      </c>
    </row>
    <row r="15" customFormat="false" ht="15" hidden="false" customHeight="false" outlineLevel="0" collapsed="false">
      <c r="A15" s="109" t="str">
        <f aca="false">IF('Pós-graduação'!$B20="","","Pós-graduação")</f>
        <v/>
      </c>
      <c r="B15" s="109" t="str">
        <f aca="false">IF('Pós-graduação'!$B20="","",'Pós-graduação'!$B20)</f>
        <v/>
      </c>
      <c r="C15" s="110" t="str">
        <f aca="false">IF(OR('Pós-graduação'!$B20="",'Pós-graduação'!$I20=""),"",'Pós-graduação'!$I20)</f>
        <v/>
      </c>
      <c r="D15" s="109" t="str">
        <f aca="true">IF(C15="","",C15-TODAY())</f>
        <v/>
      </c>
      <c r="E15" s="109" t="str">
        <f aca="false">IF(C15="","",D15+ROW()/100000)</f>
        <v/>
      </c>
      <c r="F15" s="110" t="str">
        <f aca="false">IF('Pós-graduação'!$B20="","",'Pós-graduação'!$Q20)</f>
        <v/>
      </c>
      <c r="G15" s="109" t="str">
        <f aca="false">IF(AND(ISNUMBER(C15),ISNUMBER(F15)),C15-F15,"")</f>
        <v/>
      </c>
      <c r="H15" s="109" t="str">
        <f aca="false">IF(ISNUMBER(G15),IF(G15&lt;0,G15+ROW()/100000,""),"")</f>
        <v/>
      </c>
      <c r="I15" s="109"/>
      <c r="J15" s="109"/>
      <c r="K15" s="109"/>
      <c r="L15" s="109"/>
      <c r="M15" s="109"/>
      <c r="N15" s="109"/>
      <c r="O15" s="109"/>
      <c r="P15" s="109" t="str">
        <f aca="false">IF('Pós-graduação'!$B20="","",'Pós-graduação'!$B20)</f>
        <v/>
      </c>
    </row>
    <row r="16" customFormat="false" ht="15" hidden="false" customHeight="false" outlineLevel="0" collapsed="false">
      <c r="A16" s="109" t="str">
        <f aca="false">IF('Pós-graduação'!$B21="","","Pós-graduação")</f>
        <v/>
      </c>
      <c r="B16" s="109" t="str">
        <f aca="false">IF('Pós-graduação'!$B21="","",'Pós-graduação'!$B21)</f>
        <v/>
      </c>
      <c r="C16" s="110" t="str">
        <f aca="false">IF(OR('Pós-graduação'!$B21="",'Pós-graduação'!$I21=""),"",'Pós-graduação'!$I21)</f>
        <v/>
      </c>
      <c r="D16" s="109" t="str">
        <f aca="true">IF(C16="","",C16-TODAY())</f>
        <v/>
      </c>
      <c r="E16" s="109" t="str">
        <f aca="false">IF(C16="","",D16+ROW()/100000)</f>
        <v/>
      </c>
      <c r="F16" s="110" t="str">
        <f aca="false">IF('Pós-graduação'!$B21="","",'Pós-graduação'!$Q21)</f>
        <v/>
      </c>
      <c r="G16" s="109" t="str">
        <f aca="false">IF(AND(ISNUMBER(C16),ISNUMBER(F16)),C16-F16,"")</f>
        <v/>
      </c>
      <c r="H16" s="109" t="str">
        <f aca="false">IF(ISNUMBER(G16),IF(G16&lt;0,G16+ROW()/100000,""),"")</f>
        <v/>
      </c>
      <c r="I16" s="109"/>
      <c r="J16" s="109"/>
      <c r="K16" s="109"/>
      <c r="L16" s="109"/>
      <c r="M16" s="109"/>
      <c r="N16" s="109"/>
      <c r="O16" s="109"/>
      <c r="P16" s="109" t="str">
        <f aca="false">IF('Pós-graduação'!$B21="","",'Pós-graduação'!$B21)</f>
        <v/>
      </c>
    </row>
    <row r="17" customFormat="false" ht="15" hidden="false" customHeight="false" outlineLevel="0" collapsed="false">
      <c r="A17" s="109" t="str">
        <f aca="false">IF('Pós-graduação'!$B22="","","Pós-graduação")</f>
        <v/>
      </c>
      <c r="B17" s="109" t="str">
        <f aca="false">IF('Pós-graduação'!$B22="","",'Pós-graduação'!$B22)</f>
        <v/>
      </c>
      <c r="C17" s="110" t="str">
        <f aca="false">IF(OR('Pós-graduação'!$B22="",'Pós-graduação'!$I22=""),"",'Pós-graduação'!$I22)</f>
        <v/>
      </c>
      <c r="D17" s="109" t="str">
        <f aca="true">IF(C17="","",C17-TODAY())</f>
        <v/>
      </c>
      <c r="E17" s="109" t="str">
        <f aca="false">IF(C17="","",D17+ROW()/100000)</f>
        <v/>
      </c>
      <c r="F17" s="110" t="str">
        <f aca="false">IF('Pós-graduação'!$B22="","",'Pós-graduação'!$Q22)</f>
        <v/>
      </c>
      <c r="G17" s="109" t="str">
        <f aca="false">IF(AND(ISNUMBER(C17),ISNUMBER(F17)),C17-F17,"")</f>
        <v/>
      </c>
      <c r="H17" s="109" t="str">
        <f aca="false">IF(ISNUMBER(G17),IF(G17&lt;0,G17+ROW()/100000,""),"")</f>
        <v/>
      </c>
      <c r="I17" s="109"/>
      <c r="J17" s="109"/>
      <c r="K17" s="109"/>
      <c r="L17" s="109"/>
      <c r="M17" s="109"/>
      <c r="N17" s="109"/>
      <c r="O17" s="109"/>
      <c r="P17" s="109" t="str">
        <f aca="false">IF('Pós-graduação'!$B22="","",'Pós-graduação'!$B22)</f>
        <v/>
      </c>
    </row>
    <row r="18" customFormat="false" ht="15" hidden="false" customHeight="false" outlineLevel="0" collapsed="false">
      <c r="A18" s="109" t="str">
        <f aca="false">IF('Pós-graduação'!$B23="","","Pós-graduação")</f>
        <v/>
      </c>
      <c r="B18" s="109" t="str">
        <f aca="false">IF('Pós-graduação'!$B23="","",'Pós-graduação'!$B23)</f>
        <v/>
      </c>
      <c r="C18" s="110" t="str">
        <f aca="false">IF(OR('Pós-graduação'!$B23="",'Pós-graduação'!$I23=""),"",'Pós-graduação'!$I23)</f>
        <v/>
      </c>
      <c r="D18" s="109" t="str">
        <f aca="true">IF(C18="","",C18-TODAY())</f>
        <v/>
      </c>
      <c r="E18" s="109" t="str">
        <f aca="false">IF(C18="","",D18+ROW()/100000)</f>
        <v/>
      </c>
      <c r="F18" s="110" t="str">
        <f aca="false">IF('Pós-graduação'!$B23="","",'Pós-graduação'!$Q23)</f>
        <v/>
      </c>
      <c r="G18" s="109" t="str">
        <f aca="false">IF(AND(ISNUMBER(C18),ISNUMBER(F18)),C18-F18,"")</f>
        <v/>
      </c>
      <c r="H18" s="109" t="str">
        <f aca="false">IF(ISNUMBER(G18),IF(G18&lt;0,G18+ROW()/100000,""),"")</f>
        <v/>
      </c>
      <c r="I18" s="109"/>
      <c r="J18" s="109"/>
      <c r="K18" s="109"/>
      <c r="L18" s="109"/>
      <c r="M18" s="109"/>
      <c r="N18" s="109"/>
      <c r="O18" s="109"/>
      <c r="P18" s="109" t="str">
        <f aca="false">IF('Pós-graduação'!$B23="","",'Pós-graduação'!$B23)</f>
        <v/>
      </c>
    </row>
    <row r="19" customFormat="false" ht="15" hidden="false" customHeight="false" outlineLevel="0" collapsed="false">
      <c r="A19" s="109" t="str">
        <f aca="false">IF('Pós-graduação'!$B24="","","Pós-graduação")</f>
        <v/>
      </c>
      <c r="B19" s="109" t="str">
        <f aca="false">IF('Pós-graduação'!$B24="","",'Pós-graduação'!$B24)</f>
        <v/>
      </c>
      <c r="C19" s="110" t="str">
        <f aca="false">IF(OR('Pós-graduação'!$B24="",'Pós-graduação'!$I24=""),"",'Pós-graduação'!$I24)</f>
        <v/>
      </c>
      <c r="D19" s="109" t="str">
        <f aca="true">IF(C19="","",C19-TODAY())</f>
        <v/>
      </c>
      <c r="E19" s="109" t="str">
        <f aca="false">IF(C19="","",D19+ROW()/100000)</f>
        <v/>
      </c>
      <c r="F19" s="110" t="str">
        <f aca="false">IF('Pós-graduação'!$B24="","",'Pós-graduação'!$Q24)</f>
        <v/>
      </c>
      <c r="G19" s="109" t="str">
        <f aca="false">IF(AND(ISNUMBER(C19),ISNUMBER(F19)),C19-F19,"")</f>
        <v/>
      </c>
      <c r="H19" s="109" t="str">
        <f aca="false">IF(ISNUMBER(G19),IF(G19&lt;0,G19+ROW()/100000,""),"")</f>
        <v/>
      </c>
      <c r="I19" s="109"/>
      <c r="J19" s="109"/>
      <c r="K19" s="109"/>
      <c r="L19" s="109"/>
      <c r="M19" s="109"/>
      <c r="N19" s="109"/>
      <c r="O19" s="109"/>
      <c r="P19" s="109" t="str">
        <f aca="false">IF('Pós-graduação'!$B24="","",'Pós-graduação'!$B24)</f>
        <v/>
      </c>
    </row>
    <row r="20" customFormat="false" ht="15" hidden="false" customHeight="false" outlineLevel="0" collapsed="false">
      <c r="A20" s="109" t="str">
        <f aca="false">IF('Pós-graduação'!$B25="","","Pós-graduação")</f>
        <v/>
      </c>
      <c r="B20" s="109" t="str">
        <f aca="false">IF('Pós-graduação'!$B25="","",'Pós-graduação'!$B25)</f>
        <v/>
      </c>
      <c r="C20" s="110" t="str">
        <f aca="false">IF(OR('Pós-graduação'!$B25="",'Pós-graduação'!$I25=""),"",'Pós-graduação'!$I25)</f>
        <v/>
      </c>
      <c r="D20" s="109" t="str">
        <f aca="true">IF(C20="","",C20-TODAY())</f>
        <v/>
      </c>
      <c r="E20" s="109" t="str">
        <f aca="false">IF(C20="","",D20+ROW()/100000)</f>
        <v/>
      </c>
      <c r="F20" s="110" t="str">
        <f aca="false">IF('Pós-graduação'!$B25="","",'Pós-graduação'!$Q25)</f>
        <v/>
      </c>
      <c r="G20" s="109" t="str">
        <f aca="false">IF(AND(ISNUMBER(C20),ISNUMBER(F20)),C20-F20,"")</f>
        <v/>
      </c>
      <c r="H20" s="109" t="str">
        <f aca="false">IF(ISNUMBER(G20),IF(G20&lt;0,G20+ROW()/100000,""),"")</f>
        <v/>
      </c>
      <c r="I20" s="109"/>
      <c r="J20" s="109"/>
      <c r="K20" s="109"/>
      <c r="L20" s="109"/>
      <c r="M20" s="109"/>
      <c r="N20" s="109"/>
      <c r="O20" s="109"/>
      <c r="P20" s="109" t="str">
        <f aca="false">IF('Pós-graduação'!$B25="","",'Pós-graduação'!$B25)</f>
        <v/>
      </c>
    </row>
    <row r="21" customFormat="false" ht="15" hidden="false" customHeight="false" outlineLevel="0" collapsed="false">
      <c r="A21" s="109" t="str">
        <f aca="false">IF('Pós-graduação'!$B26="","","Pós-graduação")</f>
        <v/>
      </c>
      <c r="B21" s="109" t="str">
        <f aca="false">IF('Pós-graduação'!$B26="","",'Pós-graduação'!$B26)</f>
        <v/>
      </c>
      <c r="C21" s="110" t="str">
        <f aca="false">IF(OR('Pós-graduação'!$B26="",'Pós-graduação'!$I26=""),"",'Pós-graduação'!$I26)</f>
        <v/>
      </c>
      <c r="D21" s="109" t="str">
        <f aca="true">IF(C21="","",C21-TODAY())</f>
        <v/>
      </c>
      <c r="E21" s="109" t="str">
        <f aca="false">IF(C21="","",D21+ROW()/100000)</f>
        <v/>
      </c>
      <c r="F21" s="110" t="str">
        <f aca="false">IF('Pós-graduação'!$B26="","",'Pós-graduação'!$Q26)</f>
        <v/>
      </c>
      <c r="G21" s="109" t="str">
        <f aca="false">IF(AND(ISNUMBER(C21),ISNUMBER(F21)),C21-F21,"")</f>
        <v/>
      </c>
      <c r="H21" s="109" t="str">
        <f aca="false">IF(ISNUMBER(G21),IF(G21&lt;0,G21+ROW()/100000,""),"")</f>
        <v/>
      </c>
      <c r="I21" s="109"/>
      <c r="J21" s="109"/>
      <c r="K21" s="109"/>
      <c r="L21" s="109"/>
      <c r="M21" s="109"/>
      <c r="N21" s="109"/>
      <c r="O21" s="109"/>
      <c r="P21" s="109" t="str">
        <f aca="false">IF('Pós-graduação'!$B26="","",'Pós-graduação'!$B26)</f>
        <v/>
      </c>
    </row>
    <row r="22" customFormat="false" ht="15" hidden="false" customHeight="false" outlineLevel="0" collapsed="false">
      <c r="A22" s="109" t="str">
        <f aca="false">IF('Pós-graduação'!$B27="","","Pós-graduação")</f>
        <v/>
      </c>
      <c r="B22" s="109" t="str">
        <f aca="false">IF('Pós-graduação'!$B27="","",'Pós-graduação'!$B27)</f>
        <v/>
      </c>
      <c r="C22" s="110" t="str">
        <f aca="false">IF(OR('Pós-graduação'!$B27="",'Pós-graduação'!$I27=""),"",'Pós-graduação'!$I27)</f>
        <v/>
      </c>
      <c r="D22" s="109" t="str">
        <f aca="true">IF(C22="","",C22-TODAY())</f>
        <v/>
      </c>
      <c r="E22" s="109" t="str">
        <f aca="false">IF(C22="","",D22+ROW()/100000)</f>
        <v/>
      </c>
      <c r="F22" s="110" t="str">
        <f aca="false">IF('Pós-graduação'!$B27="","",'Pós-graduação'!$Q27)</f>
        <v/>
      </c>
      <c r="G22" s="109" t="str">
        <f aca="false">IF(AND(ISNUMBER(C22),ISNUMBER(F22)),C22-F22,"")</f>
        <v/>
      </c>
      <c r="H22" s="109" t="str">
        <f aca="false">IF(ISNUMBER(G22),IF(G22&lt;0,G22+ROW()/100000,""),"")</f>
        <v/>
      </c>
      <c r="I22" s="109"/>
      <c r="J22" s="109"/>
      <c r="K22" s="109"/>
      <c r="L22" s="109"/>
      <c r="M22" s="109"/>
      <c r="N22" s="109"/>
      <c r="O22" s="109"/>
      <c r="P22" s="109" t="str">
        <f aca="false">IF('Pós-graduação'!$B27="","",'Pós-graduação'!$B27)</f>
        <v/>
      </c>
    </row>
    <row r="23" customFormat="false" ht="15" hidden="false" customHeight="false" outlineLevel="0" collapsed="false">
      <c r="A23" s="109" t="str">
        <f aca="false">IF('Pós-graduação'!$B28="","","Pós-graduação")</f>
        <v/>
      </c>
      <c r="B23" s="109" t="str">
        <f aca="false">IF('Pós-graduação'!$B28="","",'Pós-graduação'!$B28)</f>
        <v/>
      </c>
      <c r="C23" s="110" t="str">
        <f aca="false">IF(OR('Pós-graduação'!$B28="",'Pós-graduação'!$I28=""),"",'Pós-graduação'!$I28)</f>
        <v/>
      </c>
      <c r="D23" s="109" t="str">
        <f aca="true">IF(C23="","",C23-TODAY())</f>
        <v/>
      </c>
      <c r="E23" s="109" t="str">
        <f aca="false">IF(C23="","",D23+ROW()/100000)</f>
        <v/>
      </c>
      <c r="F23" s="110" t="str">
        <f aca="false">IF('Pós-graduação'!$B28="","",'Pós-graduação'!$Q28)</f>
        <v/>
      </c>
      <c r="G23" s="109" t="str">
        <f aca="false">IF(AND(ISNUMBER(C23),ISNUMBER(F23)),C23-F23,"")</f>
        <v/>
      </c>
      <c r="H23" s="109" t="str">
        <f aca="false">IF(ISNUMBER(G23),IF(G23&lt;0,G23+ROW()/100000,""),"")</f>
        <v/>
      </c>
      <c r="I23" s="109"/>
      <c r="J23" s="109"/>
      <c r="K23" s="109"/>
      <c r="L23" s="109"/>
      <c r="M23" s="109"/>
      <c r="N23" s="109"/>
      <c r="O23" s="109"/>
      <c r="P23" s="109" t="str">
        <f aca="false">IF('Pós-graduação'!$B28="","",'Pós-graduação'!$B28)</f>
        <v/>
      </c>
    </row>
    <row r="24" customFormat="false" ht="15" hidden="false" customHeight="false" outlineLevel="0" collapsed="false">
      <c r="A24" s="109" t="str">
        <f aca="false">IF('Pós-graduação'!$B29="","","Pós-graduação")</f>
        <v/>
      </c>
      <c r="B24" s="109" t="str">
        <f aca="false">IF('Pós-graduação'!$B29="","",'Pós-graduação'!$B29)</f>
        <v/>
      </c>
      <c r="C24" s="110" t="str">
        <f aca="false">IF(OR('Pós-graduação'!$B29="",'Pós-graduação'!$I29=""),"",'Pós-graduação'!$I29)</f>
        <v/>
      </c>
      <c r="D24" s="109" t="str">
        <f aca="true">IF(C24="","",C24-TODAY())</f>
        <v/>
      </c>
      <c r="E24" s="109" t="str">
        <f aca="false">IF(C24="","",D24+ROW()/100000)</f>
        <v/>
      </c>
      <c r="F24" s="110" t="str">
        <f aca="false">IF('Pós-graduação'!$B29="","",'Pós-graduação'!$Q29)</f>
        <v/>
      </c>
      <c r="G24" s="109" t="str">
        <f aca="false">IF(AND(ISNUMBER(C24),ISNUMBER(F24)),C24-F24,"")</f>
        <v/>
      </c>
      <c r="H24" s="109" t="str">
        <f aca="false">IF(ISNUMBER(G24),IF(G24&lt;0,G24+ROW()/100000,""),"")</f>
        <v/>
      </c>
      <c r="I24" s="109"/>
      <c r="J24" s="109"/>
      <c r="K24" s="109"/>
      <c r="L24" s="109"/>
      <c r="M24" s="109"/>
      <c r="N24" s="109"/>
      <c r="O24" s="109"/>
      <c r="P24" s="109" t="str">
        <f aca="false">IF('Pós-graduação'!$B29="","",'Pós-graduação'!$B29)</f>
        <v/>
      </c>
    </row>
    <row r="25" customFormat="false" ht="15" hidden="false" customHeight="false" outlineLevel="0" collapsed="false">
      <c r="A25" s="109" t="str">
        <f aca="false">IF('Pós-graduação'!$B30="","","Pós-graduação")</f>
        <v/>
      </c>
      <c r="B25" s="109" t="str">
        <f aca="false">IF('Pós-graduação'!$B30="","",'Pós-graduação'!$B30)</f>
        <v/>
      </c>
      <c r="C25" s="110" t="str">
        <f aca="false">IF(OR('Pós-graduação'!$B30="",'Pós-graduação'!$I30=""),"",'Pós-graduação'!$I30)</f>
        <v/>
      </c>
      <c r="D25" s="109" t="str">
        <f aca="true">IF(C25="","",C25-TODAY())</f>
        <v/>
      </c>
      <c r="E25" s="109" t="str">
        <f aca="false">IF(C25="","",D25+ROW()/100000)</f>
        <v/>
      </c>
      <c r="F25" s="110" t="str">
        <f aca="false">IF('Pós-graduação'!$B30="","",'Pós-graduação'!$Q30)</f>
        <v/>
      </c>
      <c r="G25" s="109" t="str">
        <f aca="false">IF(AND(ISNUMBER(C25),ISNUMBER(F25)),C25-F25,"")</f>
        <v/>
      </c>
      <c r="H25" s="109" t="str">
        <f aca="false">IF(ISNUMBER(G25),IF(G25&lt;0,G25+ROW()/100000,""),"")</f>
        <v/>
      </c>
      <c r="I25" s="109"/>
      <c r="J25" s="109"/>
      <c r="K25" s="109"/>
      <c r="L25" s="109"/>
      <c r="M25" s="109"/>
      <c r="N25" s="109"/>
      <c r="O25" s="109"/>
      <c r="P25" s="109" t="str">
        <f aca="false">IF('Pós-graduação'!$B30="","",'Pós-graduação'!$B30)</f>
        <v/>
      </c>
    </row>
    <row r="26" customFormat="false" ht="15" hidden="false" customHeight="false" outlineLevel="0" collapsed="false">
      <c r="A26" s="109" t="str">
        <f aca="false">IF('Pós-graduação'!$B31="","","Pós-graduação")</f>
        <v/>
      </c>
      <c r="B26" s="109" t="str">
        <f aca="false">IF('Pós-graduação'!$B31="","",'Pós-graduação'!$B31)</f>
        <v/>
      </c>
      <c r="C26" s="110" t="str">
        <f aca="false">IF(OR('Pós-graduação'!$B31="",'Pós-graduação'!$I31=""),"",'Pós-graduação'!$I31)</f>
        <v/>
      </c>
      <c r="D26" s="109" t="str">
        <f aca="true">IF(C26="","",C26-TODAY())</f>
        <v/>
      </c>
      <c r="E26" s="109" t="str">
        <f aca="false">IF(C26="","",D26+ROW()/100000)</f>
        <v/>
      </c>
      <c r="F26" s="110" t="str">
        <f aca="false">IF('Pós-graduação'!$B31="","",'Pós-graduação'!$Q31)</f>
        <v/>
      </c>
      <c r="G26" s="109" t="str">
        <f aca="false">IF(AND(ISNUMBER(C26),ISNUMBER(F26)),C26-F26,"")</f>
        <v/>
      </c>
      <c r="H26" s="109" t="str">
        <f aca="false">IF(ISNUMBER(G26),IF(G26&lt;0,G26+ROW()/100000,""),"")</f>
        <v/>
      </c>
      <c r="I26" s="109"/>
      <c r="J26" s="109"/>
      <c r="K26" s="109"/>
      <c r="L26" s="109"/>
      <c r="M26" s="109"/>
      <c r="N26" s="109"/>
      <c r="O26" s="109"/>
      <c r="P26" s="109" t="str">
        <f aca="false">IF('Pós-graduação'!$B31="","",'Pós-graduação'!$B31)</f>
        <v/>
      </c>
    </row>
    <row r="27" customFormat="false" ht="15" hidden="false" customHeight="false" outlineLevel="0" collapsed="false">
      <c r="A27" s="109" t="str">
        <f aca="false">IF('Pós-graduação'!$B32="","","Pós-graduação")</f>
        <v/>
      </c>
      <c r="B27" s="109" t="str">
        <f aca="false">IF('Pós-graduação'!$B32="","",'Pós-graduação'!$B32)</f>
        <v/>
      </c>
      <c r="C27" s="110" t="str">
        <f aca="false">IF(OR('Pós-graduação'!$B32="",'Pós-graduação'!$I32=""),"",'Pós-graduação'!$I32)</f>
        <v/>
      </c>
      <c r="D27" s="109" t="str">
        <f aca="true">IF(C27="","",C27-TODAY())</f>
        <v/>
      </c>
      <c r="E27" s="109" t="str">
        <f aca="false">IF(C27="","",D27+ROW()/100000)</f>
        <v/>
      </c>
      <c r="F27" s="110" t="str">
        <f aca="false">IF('Pós-graduação'!$B32="","",'Pós-graduação'!$Q32)</f>
        <v/>
      </c>
      <c r="G27" s="109" t="str">
        <f aca="false">IF(AND(ISNUMBER(C27),ISNUMBER(F27)),C27-F27,"")</f>
        <v/>
      </c>
      <c r="H27" s="109" t="str">
        <f aca="false">IF(ISNUMBER(G27),IF(G27&lt;0,G27+ROW()/100000,""),"")</f>
        <v/>
      </c>
      <c r="I27" s="109"/>
      <c r="J27" s="109"/>
      <c r="K27" s="109"/>
      <c r="L27" s="109"/>
      <c r="M27" s="109"/>
      <c r="N27" s="109"/>
      <c r="O27" s="109"/>
      <c r="P27" s="109" t="str">
        <f aca="false">IF('Pós-graduação'!$B32="","",'Pós-graduação'!$B32)</f>
        <v/>
      </c>
    </row>
    <row r="28" customFormat="false" ht="15" hidden="false" customHeight="false" outlineLevel="0" collapsed="false">
      <c r="A28" s="109" t="str">
        <f aca="false">IF('Pós-graduação'!$B33="","","Pós-graduação")</f>
        <v/>
      </c>
      <c r="B28" s="109" t="str">
        <f aca="false">IF('Pós-graduação'!$B33="","",'Pós-graduação'!$B33)</f>
        <v/>
      </c>
      <c r="C28" s="110" t="str">
        <f aca="false">IF(OR('Pós-graduação'!$B33="",'Pós-graduação'!$I33=""),"",'Pós-graduação'!$I33)</f>
        <v/>
      </c>
      <c r="D28" s="109" t="str">
        <f aca="true">IF(C28="","",C28-TODAY())</f>
        <v/>
      </c>
      <c r="E28" s="109" t="str">
        <f aca="false">IF(C28="","",D28+ROW()/100000)</f>
        <v/>
      </c>
      <c r="F28" s="110" t="str">
        <f aca="false">IF('Pós-graduação'!$B33="","",'Pós-graduação'!$Q33)</f>
        <v/>
      </c>
      <c r="G28" s="109" t="str">
        <f aca="false">IF(AND(ISNUMBER(C28),ISNUMBER(F28)),C28-F28,"")</f>
        <v/>
      </c>
      <c r="H28" s="109" t="str">
        <f aca="false">IF(ISNUMBER(G28),IF(G28&lt;0,G28+ROW()/100000,""),"")</f>
        <v/>
      </c>
      <c r="I28" s="109"/>
      <c r="J28" s="109"/>
      <c r="K28" s="109"/>
      <c r="L28" s="109"/>
      <c r="M28" s="109"/>
      <c r="N28" s="109"/>
      <c r="O28" s="109"/>
      <c r="P28" s="109" t="str">
        <f aca="false">IF('Pós-graduação'!$B33="","",'Pós-graduação'!$B33)</f>
        <v/>
      </c>
    </row>
    <row r="29" customFormat="false" ht="15" hidden="false" customHeight="false" outlineLevel="0" collapsed="false">
      <c r="A29" s="109" t="str">
        <f aca="false">IF('Pós-graduação'!$B34="","","Pós-graduação")</f>
        <v/>
      </c>
      <c r="B29" s="109" t="str">
        <f aca="false">IF('Pós-graduação'!$B34="","",'Pós-graduação'!$B34)</f>
        <v/>
      </c>
      <c r="C29" s="110" t="str">
        <f aca="false">IF(OR('Pós-graduação'!$B34="",'Pós-graduação'!$I34=""),"",'Pós-graduação'!$I34)</f>
        <v/>
      </c>
      <c r="D29" s="109" t="str">
        <f aca="true">IF(C29="","",C29-TODAY())</f>
        <v/>
      </c>
      <c r="E29" s="109" t="str">
        <f aca="false">IF(C29="","",D29+ROW()/100000)</f>
        <v/>
      </c>
      <c r="F29" s="110" t="str">
        <f aca="false">IF('Pós-graduação'!$B34="","",'Pós-graduação'!$Q34)</f>
        <v/>
      </c>
      <c r="G29" s="109" t="str">
        <f aca="false">IF(AND(ISNUMBER(C29),ISNUMBER(F29)),C29-F29,"")</f>
        <v/>
      </c>
      <c r="H29" s="109" t="str">
        <f aca="false">IF(ISNUMBER(G29),IF(G29&lt;0,G29+ROW()/100000,""),"")</f>
        <v/>
      </c>
      <c r="I29" s="109"/>
      <c r="J29" s="109"/>
      <c r="K29" s="109"/>
      <c r="L29" s="109"/>
      <c r="M29" s="109"/>
      <c r="N29" s="109"/>
      <c r="O29" s="109"/>
      <c r="P29" s="109" t="str">
        <f aca="false">IF('Pós-graduação'!$B34="","",'Pós-graduação'!$B34)</f>
        <v/>
      </c>
    </row>
    <row r="30" customFormat="false" ht="15" hidden="false" customHeight="false" outlineLevel="0" collapsed="false">
      <c r="A30" s="109" t="str">
        <f aca="false">IF('Pós-graduação'!$B35="","","Pós-graduação")</f>
        <v/>
      </c>
      <c r="B30" s="109" t="str">
        <f aca="false">IF('Pós-graduação'!$B35="","",'Pós-graduação'!$B35)</f>
        <v/>
      </c>
      <c r="C30" s="110" t="str">
        <f aca="false">IF(OR('Pós-graduação'!$B35="",'Pós-graduação'!$I35=""),"",'Pós-graduação'!$I35)</f>
        <v/>
      </c>
      <c r="D30" s="109" t="str">
        <f aca="true">IF(C30="","",C30-TODAY())</f>
        <v/>
      </c>
      <c r="E30" s="109" t="str">
        <f aca="false">IF(C30="","",D30+ROW()/100000)</f>
        <v/>
      </c>
      <c r="F30" s="110" t="str">
        <f aca="false">IF('Pós-graduação'!$B35="","",'Pós-graduação'!$Q35)</f>
        <v/>
      </c>
      <c r="G30" s="109" t="str">
        <f aca="false">IF(AND(ISNUMBER(C30),ISNUMBER(F30)),C30-F30,"")</f>
        <v/>
      </c>
      <c r="H30" s="109" t="str">
        <f aca="false">IF(ISNUMBER(G30),IF(G30&lt;0,G30+ROW()/100000,""),"")</f>
        <v/>
      </c>
      <c r="I30" s="109"/>
      <c r="J30" s="109"/>
      <c r="K30" s="109"/>
      <c r="L30" s="109"/>
      <c r="M30" s="109"/>
      <c r="N30" s="109"/>
      <c r="O30" s="109"/>
      <c r="P30" s="109" t="str">
        <f aca="false">IF('Pós-graduação'!$B35="","",'Pós-graduação'!$B35)</f>
        <v/>
      </c>
    </row>
    <row r="31" customFormat="false" ht="15" hidden="false" customHeight="false" outlineLevel="0" collapsed="false">
      <c r="A31" s="109" t="str">
        <f aca="false">IF('Pós-graduação'!$B36="","","Pós-graduação")</f>
        <v/>
      </c>
      <c r="B31" s="109" t="str">
        <f aca="false">IF('Pós-graduação'!$B36="","",'Pós-graduação'!$B36)</f>
        <v/>
      </c>
      <c r="C31" s="110" t="str">
        <f aca="false">IF(OR('Pós-graduação'!$B36="",'Pós-graduação'!$I36=""),"",'Pós-graduação'!$I36)</f>
        <v/>
      </c>
      <c r="D31" s="109" t="str">
        <f aca="true">IF(C31="","",C31-TODAY())</f>
        <v/>
      </c>
      <c r="E31" s="109" t="str">
        <f aca="false">IF(C31="","",D31+ROW()/100000)</f>
        <v/>
      </c>
      <c r="F31" s="110" t="str">
        <f aca="false">IF('Pós-graduação'!$B36="","",'Pós-graduação'!$Q36)</f>
        <v/>
      </c>
      <c r="G31" s="109" t="str">
        <f aca="false">IF(AND(ISNUMBER(C31),ISNUMBER(F31)),C31-F31,"")</f>
        <v/>
      </c>
      <c r="H31" s="109" t="str">
        <f aca="false">IF(ISNUMBER(G31),IF(G31&lt;0,G31+ROW()/100000,""),"")</f>
        <v/>
      </c>
      <c r="I31" s="109"/>
      <c r="J31" s="109"/>
      <c r="K31" s="109"/>
      <c r="L31" s="109"/>
      <c r="M31" s="109"/>
      <c r="N31" s="109"/>
      <c r="O31" s="109"/>
      <c r="P31" s="109" t="str">
        <f aca="false">IF('Pós-graduação'!$B36="","",'Pós-graduação'!$B36)</f>
        <v/>
      </c>
    </row>
    <row r="32" customFormat="false" ht="15" hidden="false" customHeight="false" outlineLevel="0" collapsed="false">
      <c r="A32" s="109" t="str">
        <f aca="false">IF('Pós-graduação'!$B37="","","Pós-graduação")</f>
        <v/>
      </c>
      <c r="B32" s="109" t="str">
        <f aca="false">IF('Pós-graduação'!$B37="","",'Pós-graduação'!$B37)</f>
        <v/>
      </c>
      <c r="C32" s="110" t="str">
        <f aca="false">IF(OR('Pós-graduação'!$B37="",'Pós-graduação'!$I37=""),"",'Pós-graduação'!$I37)</f>
        <v/>
      </c>
      <c r="D32" s="109" t="str">
        <f aca="true">IF(C32="","",C32-TODAY())</f>
        <v/>
      </c>
      <c r="E32" s="109" t="str">
        <f aca="false">IF(C32="","",D32+ROW()/100000)</f>
        <v/>
      </c>
      <c r="F32" s="110" t="str">
        <f aca="false">IF('Pós-graduação'!$B37="","",'Pós-graduação'!$Q37)</f>
        <v/>
      </c>
      <c r="G32" s="109" t="str">
        <f aca="false">IF(AND(ISNUMBER(C32),ISNUMBER(F32)),C32-F32,"")</f>
        <v/>
      </c>
      <c r="H32" s="109" t="str">
        <f aca="false">IF(ISNUMBER(G32),IF(G32&lt;0,G32+ROW()/100000,""),"")</f>
        <v/>
      </c>
      <c r="I32" s="109"/>
      <c r="J32" s="109"/>
      <c r="K32" s="109"/>
      <c r="L32" s="109"/>
      <c r="M32" s="109"/>
      <c r="N32" s="109"/>
      <c r="O32" s="109"/>
      <c r="P32" s="109" t="str">
        <f aca="false">IF('Pós-graduação'!$B37="","",'Pós-graduação'!$B37)</f>
        <v/>
      </c>
    </row>
    <row r="33" customFormat="false" ht="15" hidden="false" customHeight="false" outlineLevel="0" collapsed="false">
      <c r="A33" s="109" t="str">
        <f aca="false">IF('Pós-graduação'!$B38="","","Pós-graduação")</f>
        <v/>
      </c>
      <c r="B33" s="109" t="str">
        <f aca="false">IF('Pós-graduação'!$B38="","",'Pós-graduação'!$B38)</f>
        <v/>
      </c>
      <c r="C33" s="110" t="str">
        <f aca="false">IF(OR('Pós-graduação'!$B38="",'Pós-graduação'!$I38=""),"",'Pós-graduação'!$I38)</f>
        <v/>
      </c>
      <c r="D33" s="109" t="str">
        <f aca="true">IF(C33="","",C33-TODAY())</f>
        <v/>
      </c>
      <c r="E33" s="109" t="str">
        <f aca="false">IF(C33="","",D33+ROW()/100000)</f>
        <v/>
      </c>
      <c r="F33" s="110" t="str">
        <f aca="false">IF('Pós-graduação'!$B38="","",'Pós-graduação'!$Q38)</f>
        <v/>
      </c>
      <c r="G33" s="109" t="str">
        <f aca="false">IF(AND(ISNUMBER(C33),ISNUMBER(F33)),C33-F33,"")</f>
        <v/>
      </c>
      <c r="H33" s="109" t="str">
        <f aca="false">IF(ISNUMBER(G33),IF(G33&lt;0,G33+ROW()/100000,""),"")</f>
        <v/>
      </c>
      <c r="I33" s="109"/>
      <c r="J33" s="109"/>
      <c r="K33" s="109"/>
      <c r="L33" s="109"/>
      <c r="M33" s="109"/>
      <c r="N33" s="109"/>
      <c r="O33" s="109"/>
      <c r="P33" s="109" t="str">
        <f aca="false">IF('Pós-graduação'!$B38="","",'Pós-graduação'!$B38)</f>
        <v/>
      </c>
    </row>
    <row r="34" customFormat="false" ht="15" hidden="false" customHeight="false" outlineLevel="0" collapsed="false">
      <c r="A34" s="109" t="str">
        <f aca="false">IF('Pós-graduação'!$B39="","","Pós-graduação")</f>
        <v/>
      </c>
      <c r="B34" s="109" t="str">
        <f aca="false">IF('Pós-graduação'!$B39="","",'Pós-graduação'!$B39)</f>
        <v/>
      </c>
      <c r="C34" s="110" t="str">
        <f aca="false">IF(OR('Pós-graduação'!$B39="",'Pós-graduação'!$I39=""),"",'Pós-graduação'!$I39)</f>
        <v/>
      </c>
      <c r="D34" s="109" t="str">
        <f aca="true">IF(C34="","",C34-TODAY())</f>
        <v/>
      </c>
      <c r="E34" s="109" t="str">
        <f aca="false">IF(C34="","",D34+ROW()/100000)</f>
        <v/>
      </c>
      <c r="F34" s="110" t="str">
        <f aca="false">IF('Pós-graduação'!$B39="","",'Pós-graduação'!$Q39)</f>
        <v/>
      </c>
      <c r="G34" s="109" t="str">
        <f aca="false">IF(AND(ISNUMBER(C34),ISNUMBER(F34)),C34-F34,"")</f>
        <v/>
      </c>
      <c r="H34" s="109" t="str">
        <f aca="false">IF(ISNUMBER(G34),IF(G34&lt;0,G34+ROW()/100000,""),"")</f>
        <v/>
      </c>
      <c r="I34" s="109"/>
      <c r="J34" s="109"/>
      <c r="K34" s="109"/>
      <c r="L34" s="109"/>
      <c r="M34" s="109"/>
      <c r="N34" s="109"/>
      <c r="O34" s="109"/>
      <c r="P34" s="109" t="str">
        <f aca="false">IF('Pós-graduação'!$B39="","",'Pós-graduação'!$B39)</f>
        <v/>
      </c>
    </row>
    <row r="35" customFormat="false" ht="15" hidden="false" customHeight="false" outlineLevel="0" collapsed="false">
      <c r="A35" s="109" t="str">
        <f aca="false">IF('Pós-graduação'!$B40="","","Pós-graduação")</f>
        <v/>
      </c>
      <c r="B35" s="109" t="str">
        <f aca="false">IF('Pós-graduação'!$B40="","",'Pós-graduação'!$B40)</f>
        <v/>
      </c>
      <c r="C35" s="110" t="str">
        <f aca="false">IF(OR('Pós-graduação'!$B40="",'Pós-graduação'!$I40=""),"",'Pós-graduação'!$I40)</f>
        <v/>
      </c>
      <c r="D35" s="109" t="str">
        <f aca="true">IF(C35="","",C35-TODAY())</f>
        <v/>
      </c>
      <c r="E35" s="109" t="str">
        <f aca="false">IF(C35="","",D35+ROW()/100000)</f>
        <v/>
      </c>
      <c r="F35" s="110" t="str">
        <f aca="false">IF('Pós-graduação'!$B40="","",'Pós-graduação'!$Q40)</f>
        <v/>
      </c>
      <c r="G35" s="109" t="str">
        <f aca="false">IF(AND(ISNUMBER(C35),ISNUMBER(F35)),C35-F35,"")</f>
        <v/>
      </c>
      <c r="H35" s="109" t="str">
        <f aca="false">IF(ISNUMBER(G35),IF(G35&lt;0,G35+ROW()/100000,""),"")</f>
        <v/>
      </c>
      <c r="I35" s="109"/>
      <c r="J35" s="109"/>
      <c r="K35" s="109"/>
      <c r="L35" s="109"/>
      <c r="M35" s="109"/>
      <c r="N35" s="109"/>
      <c r="O35" s="109"/>
      <c r="P35" s="109" t="str">
        <f aca="false">IF('Pós-graduação'!$B40="","",'Pós-graduação'!$B40)</f>
        <v/>
      </c>
    </row>
    <row r="36" customFormat="false" ht="15" hidden="false" customHeight="false" outlineLevel="0" collapsed="false">
      <c r="A36" s="109" t="str">
        <f aca="false">IF('Pós-graduação'!$B41="","","Pós-graduação")</f>
        <v/>
      </c>
      <c r="B36" s="109" t="str">
        <f aca="false">IF('Pós-graduação'!$B41="","",'Pós-graduação'!$B41)</f>
        <v/>
      </c>
      <c r="C36" s="110" t="str">
        <f aca="false">IF(OR('Pós-graduação'!$B41="",'Pós-graduação'!$I41=""),"",'Pós-graduação'!$I41)</f>
        <v/>
      </c>
      <c r="D36" s="109" t="str">
        <f aca="true">IF(C36="","",C36-TODAY())</f>
        <v/>
      </c>
      <c r="E36" s="109" t="str">
        <f aca="false">IF(C36="","",D36+ROW()/100000)</f>
        <v/>
      </c>
      <c r="F36" s="110" t="str">
        <f aca="false">IF('Pós-graduação'!$B41="","",'Pós-graduação'!$Q41)</f>
        <v/>
      </c>
      <c r="G36" s="109" t="str">
        <f aca="false">IF(AND(ISNUMBER(C36),ISNUMBER(F36)),C36-F36,"")</f>
        <v/>
      </c>
      <c r="H36" s="109" t="str">
        <f aca="false">IF(ISNUMBER(G36),IF(G36&lt;0,G36+ROW()/100000,""),"")</f>
        <v/>
      </c>
      <c r="I36" s="109"/>
      <c r="J36" s="109"/>
      <c r="K36" s="109"/>
      <c r="L36" s="109"/>
      <c r="M36" s="109"/>
      <c r="N36" s="109"/>
      <c r="O36" s="109"/>
      <c r="P36" s="109" t="str">
        <f aca="false">IF('Pós-graduação'!$B41="","",'Pós-graduação'!$B41)</f>
        <v/>
      </c>
    </row>
    <row r="37" customFormat="false" ht="15" hidden="false" customHeight="false" outlineLevel="0" collapsed="false">
      <c r="A37" s="109" t="str">
        <f aca="false">IF('Pós-graduação'!$B42="","","Pós-graduação")</f>
        <v/>
      </c>
      <c r="B37" s="109" t="str">
        <f aca="false">IF('Pós-graduação'!$B42="","",'Pós-graduação'!$B42)</f>
        <v/>
      </c>
      <c r="C37" s="110" t="str">
        <f aca="false">IF(OR('Pós-graduação'!$B42="",'Pós-graduação'!$I42=""),"",'Pós-graduação'!$I42)</f>
        <v/>
      </c>
      <c r="D37" s="109" t="str">
        <f aca="true">IF(C37="","",C37-TODAY())</f>
        <v/>
      </c>
      <c r="E37" s="109" t="str">
        <f aca="false">IF(C37="","",D37+ROW()/100000)</f>
        <v/>
      </c>
      <c r="F37" s="110" t="str">
        <f aca="false">IF('Pós-graduação'!$B42="","",'Pós-graduação'!$Q42)</f>
        <v/>
      </c>
      <c r="G37" s="109" t="str">
        <f aca="false">IF(AND(ISNUMBER(C37),ISNUMBER(F37)),C37-F37,"")</f>
        <v/>
      </c>
      <c r="H37" s="109" t="str">
        <f aca="false">IF(ISNUMBER(G37),IF(G37&lt;0,G37+ROW()/100000,""),"")</f>
        <v/>
      </c>
      <c r="I37" s="109"/>
      <c r="J37" s="109"/>
      <c r="K37" s="109"/>
      <c r="L37" s="109"/>
      <c r="M37" s="109"/>
      <c r="N37" s="109"/>
      <c r="O37" s="109"/>
      <c r="P37" s="109" t="str">
        <f aca="false">IF('Pós-graduação'!$B42="","",'Pós-graduação'!$B42)</f>
        <v/>
      </c>
    </row>
    <row r="38" customFormat="false" ht="15" hidden="false" customHeight="false" outlineLevel="0" collapsed="false">
      <c r="A38" s="109" t="str">
        <f aca="false">IF('Pós-graduação'!$B43="","","Pós-graduação")</f>
        <v/>
      </c>
      <c r="B38" s="109" t="str">
        <f aca="false">IF('Pós-graduação'!$B43="","",'Pós-graduação'!$B43)</f>
        <v/>
      </c>
      <c r="C38" s="110" t="str">
        <f aca="false">IF(OR('Pós-graduação'!$B43="",'Pós-graduação'!$I43=""),"",'Pós-graduação'!$I43)</f>
        <v/>
      </c>
      <c r="D38" s="109" t="str">
        <f aca="true">IF(C38="","",C38-TODAY())</f>
        <v/>
      </c>
      <c r="E38" s="109" t="str">
        <f aca="false">IF(C38="","",D38+ROW()/100000)</f>
        <v/>
      </c>
      <c r="F38" s="110" t="str">
        <f aca="false">IF('Pós-graduação'!$B43="","",'Pós-graduação'!$Q43)</f>
        <v/>
      </c>
      <c r="G38" s="109" t="str">
        <f aca="false">IF(AND(ISNUMBER(C38),ISNUMBER(F38)),C38-F38,"")</f>
        <v/>
      </c>
      <c r="H38" s="109" t="str">
        <f aca="false">IF(ISNUMBER(G38),IF(G38&lt;0,G38+ROW()/100000,""),"")</f>
        <v/>
      </c>
      <c r="I38" s="109"/>
      <c r="J38" s="109"/>
      <c r="K38" s="109"/>
      <c r="L38" s="109"/>
      <c r="M38" s="109"/>
      <c r="N38" s="109"/>
      <c r="O38" s="109"/>
      <c r="P38" s="109" t="str">
        <f aca="false">IF('Pós-graduação'!$B43="","",'Pós-graduação'!$B43)</f>
        <v/>
      </c>
    </row>
    <row r="39" customFormat="false" ht="15" hidden="false" customHeight="false" outlineLevel="0" collapsed="false">
      <c r="A39" s="109" t="str">
        <f aca="false">IF('Pós-graduação'!$B44="","","Pós-graduação")</f>
        <v/>
      </c>
      <c r="B39" s="109" t="str">
        <f aca="false">IF('Pós-graduação'!$B44="","",'Pós-graduação'!$B44)</f>
        <v/>
      </c>
      <c r="C39" s="110" t="str">
        <f aca="false">IF(OR('Pós-graduação'!$B44="",'Pós-graduação'!$I44=""),"",'Pós-graduação'!$I44)</f>
        <v/>
      </c>
      <c r="D39" s="109" t="str">
        <f aca="true">IF(C39="","",C39-TODAY())</f>
        <v/>
      </c>
      <c r="E39" s="109" t="str">
        <f aca="false">IF(C39="","",D39+ROW()/100000)</f>
        <v/>
      </c>
      <c r="F39" s="110" t="str">
        <f aca="false">IF('Pós-graduação'!$B44="","",'Pós-graduação'!$Q44)</f>
        <v/>
      </c>
      <c r="G39" s="109" t="str">
        <f aca="false">IF(AND(ISNUMBER(C39),ISNUMBER(F39)),C39-F39,"")</f>
        <v/>
      </c>
      <c r="H39" s="109" t="str">
        <f aca="false">IF(ISNUMBER(G39),IF(G39&lt;0,G39+ROW()/100000,""),"")</f>
        <v/>
      </c>
      <c r="I39" s="109"/>
      <c r="J39" s="109"/>
      <c r="K39" s="109"/>
      <c r="L39" s="109"/>
      <c r="M39" s="109"/>
      <c r="N39" s="109"/>
      <c r="O39" s="109"/>
      <c r="P39" s="109" t="str">
        <f aca="false">IF('Pós-graduação'!$B44="","",'Pós-graduação'!$B44)</f>
        <v/>
      </c>
    </row>
    <row r="40" customFormat="false" ht="15" hidden="false" customHeight="false" outlineLevel="0" collapsed="false">
      <c r="A40" s="109" t="str">
        <f aca="false">IF('Pós-graduação'!$B45="","","Pós-graduação")</f>
        <v/>
      </c>
      <c r="B40" s="109" t="str">
        <f aca="false">IF('Pós-graduação'!$B45="","",'Pós-graduação'!$B45)</f>
        <v/>
      </c>
      <c r="C40" s="110" t="str">
        <f aca="false">IF(OR('Pós-graduação'!$B45="",'Pós-graduação'!$I45=""),"",'Pós-graduação'!$I45)</f>
        <v/>
      </c>
      <c r="D40" s="109" t="str">
        <f aca="true">IF(C40="","",C40-TODAY())</f>
        <v/>
      </c>
      <c r="E40" s="109" t="str">
        <f aca="false">IF(C40="","",D40+ROW()/100000)</f>
        <v/>
      </c>
      <c r="F40" s="110" t="str">
        <f aca="false">IF('Pós-graduação'!$B45="","",'Pós-graduação'!$Q45)</f>
        <v/>
      </c>
      <c r="G40" s="109" t="str">
        <f aca="false">IF(AND(ISNUMBER(C40),ISNUMBER(F40)),C40-F40,"")</f>
        <v/>
      </c>
      <c r="H40" s="109" t="str">
        <f aca="false">IF(ISNUMBER(G40),IF(G40&lt;0,G40+ROW()/100000,""),"")</f>
        <v/>
      </c>
      <c r="I40" s="109"/>
      <c r="J40" s="109"/>
      <c r="K40" s="109"/>
      <c r="L40" s="109"/>
      <c r="M40" s="109"/>
      <c r="N40" s="109"/>
      <c r="O40" s="109"/>
      <c r="P40" s="109" t="str">
        <f aca="false">IF('Pós-graduação'!$B45="","",'Pós-graduação'!$B45)</f>
        <v/>
      </c>
    </row>
    <row r="41" customFormat="false" ht="15" hidden="false" customHeight="false" outlineLevel="0" collapsed="false">
      <c r="A41" s="109" t="str">
        <f aca="false">IF('Pós-graduação'!$B46="","","Pós-graduação")</f>
        <v/>
      </c>
      <c r="B41" s="109" t="str">
        <f aca="false">IF('Pós-graduação'!$B46="","",'Pós-graduação'!$B46)</f>
        <v/>
      </c>
      <c r="C41" s="110" t="str">
        <f aca="false">IF(OR('Pós-graduação'!$B46="",'Pós-graduação'!$I46=""),"",'Pós-graduação'!$I46)</f>
        <v/>
      </c>
      <c r="D41" s="109" t="str">
        <f aca="true">IF(C41="","",C41-TODAY())</f>
        <v/>
      </c>
      <c r="E41" s="109" t="str">
        <f aca="false">IF(C41="","",D41+ROW()/100000)</f>
        <v/>
      </c>
      <c r="F41" s="110" t="str">
        <f aca="false">IF('Pós-graduação'!$B46="","",'Pós-graduação'!$Q46)</f>
        <v/>
      </c>
      <c r="G41" s="109" t="str">
        <f aca="false">IF(AND(ISNUMBER(C41),ISNUMBER(F41)),C41-F41,"")</f>
        <v/>
      </c>
      <c r="H41" s="109" t="str">
        <f aca="false">IF(ISNUMBER(G41),IF(G41&lt;0,G41+ROW()/100000,""),"")</f>
        <v/>
      </c>
      <c r="I41" s="109"/>
      <c r="J41" s="109"/>
      <c r="K41" s="109"/>
      <c r="L41" s="109"/>
      <c r="M41" s="109"/>
      <c r="N41" s="109"/>
      <c r="O41" s="109"/>
      <c r="P41" s="109" t="str">
        <f aca="false">IF('Pós-graduação'!$B46="","",'Pós-graduação'!$B46)</f>
        <v/>
      </c>
    </row>
    <row r="42" customFormat="false" ht="15" hidden="false" customHeight="false" outlineLevel="0" collapsed="false">
      <c r="A42" s="109" t="str">
        <f aca="false">IF('Pós-graduação'!$B47="","","Pós-graduação")</f>
        <v/>
      </c>
      <c r="B42" s="109" t="str">
        <f aca="false">IF('Pós-graduação'!$B47="","",'Pós-graduação'!$B47)</f>
        <v/>
      </c>
      <c r="C42" s="110" t="str">
        <f aca="false">IF(OR('Pós-graduação'!$B47="",'Pós-graduação'!$I47=""),"",'Pós-graduação'!$I47)</f>
        <v/>
      </c>
      <c r="D42" s="109" t="str">
        <f aca="true">IF(C42="","",C42-TODAY())</f>
        <v/>
      </c>
      <c r="E42" s="109" t="str">
        <f aca="false">IF(C42="","",D42+ROW()/100000)</f>
        <v/>
      </c>
      <c r="F42" s="110" t="str">
        <f aca="false">IF('Pós-graduação'!$B47="","",'Pós-graduação'!$Q47)</f>
        <v/>
      </c>
      <c r="G42" s="109" t="str">
        <f aca="false">IF(AND(ISNUMBER(C42),ISNUMBER(F42)),C42-F42,"")</f>
        <v/>
      </c>
      <c r="H42" s="109" t="str">
        <f aca="false">IF(ISNUMBER(G42),IF(G42&lt;0,G42+ROW()/100000,""),"")</f>
        <v/>
      </c>
      <c r="I42" s="109"/>
      <c r="J42" s="109"/>
      <c r="K42" s="109"/>
      <c r="L42" s="109"/>
      <c r="M42" s="109"/>
      <c r="N42" s="109"/>
      <c r="O42" s="109"/>
      <c r="P42" s="109" t="str">
        <f aca="false">IF('Pós-graduação'!$B47="","",'Pós-graduação'!$B47)</f>
        <v/>
      </c>
    </row>
    <row r="43" customFormat="false" ht="15" hidden="false" customHeight="false" outlineLevel="0" collapsed="false">
      <c r="A43" s="109" t="str">
        <f aca="false">IF('Pós-graduação'!$B48="","","Pós-graduação")</f>
        <v/>
      </c>
      <c r="B43" s="109" t="str">
        <f aca="false">IF('Pós-graduação'!$B48="","",'Pós-graduação'!$B48)</f>
        <v/>
      </c>
      <c r="C43" s="110" t="str">
        <f aca="false">IF(OR('Pós-graduação'!$B48="",'Pós-graduação'!$I48=""),"",'Pós-graduação'!$I48)</f>
        <v/>
      </c>
      <c r="D43" s="109" t="str">
        <f aca="true">IF(C43="","",C43-TODAY())</f>
        <v/>
      </c>
      <c r="E43" s="109" t="str">
        <f aca="false">IF(C43="","",D43+ROW()/100000)</f>
        <v/>
      </c>
      <c r="F43" s="110" t="str">
        <f aca="false">IF('Pós-graduação'!$B48="","",'Pós-graduação'!$Q48)</f>
        <v/>
      </c>
      <c r="G43" s="109" t="str">
        <f aca="false">IF(AND(ISNUMBER(C43),ISNUMBER(F43)),C43-F43,"")</f>
        <v/>
      </c>
      <c r="H43" s="109" t="str">
        <f aca="false">IF(ISNUMBER(G43),IF(G43&lt;0,G43+ROW()/100000,""),"")</f>
        <v/>
      </c>
      <c r="I43" s="109"/>
      <c r="J43" s="109"/>
      <c r="K43" s="109"/>
      <c r="L43" s="109"/>
      <c r="M43" s="109"/>
      <c r="N43" s="109"/>
      <c r="O43" s="109"/>
      <c r="P43" s="109" t="str">
        <f aca="false">IF('Pós-graduação'!$B48="","",'Pós-graduação'!$B48)</f>
        <v/>
      </c>
    </row>
    <row r="44" customFormat="false" ht="15" hidden="false" customHeight="false" outlineLevel="0" collapsed="false">
      <c r="A44" s="109" t="str">
        <f aca="false">IF('Pós-graduação'!$B49="","","Pós-graduação")</f>
        <v/>
      </c>
      <c r="B44" s="109" t="str">
        <f aca="false">IF('Pós-graduação'!$B49="","",'Pós-graduação'!$B49)</f>
        <v/>
      </c>
      <c r="C44" s="110" t="str">
        <f aca="false">IF(OR('Pós-graduação'!$B49="",'Pós-graduação'!$I49=""),"",'Pós-graduação'!$I49)</f>
        <v/>
      </c>
      <c r="D44" s="109" t="str">
        <f aca="true">IF(C44="","",C44-TODAY())</f>
        <v/>
      </c>
      <c r="E44" s="109" t="str">
        <f aca="false">IF(C44="","",D44+ROW()/100000)</f>
        <v/>
      </c>
      <c r="F44" s="110" t="str">
        <f aca="false">IF('Pós-graduação'!$B49="","",'Pós-graduação'!$Q49)</f>
        <v/>
      </c>
      <c r="G44" s="109" t="str">
        <f aca="false">IF(AND(ISNUMBER(C44),ISNUMBER(F44)),C44-F44,"")</f>
        <v/>
      </c>
      <c r="H44" s="109" t="str">
        <f aca="false">IF(ISNUMBER(G44),IF(G44&lt;0,G44+ROW()/100000,""),"")</f>
        <v/>
      </c>
      <c r="I44" s="109"/>
      <c r="J44" s="109"/>
      <c r="K44" s="109"/>
      <c r="L44" s="109"/>
      <c r="M44" s="109"/>
      <c r="N44" s="109"/>
      <c r="O44" s="109"/>
      <c r="P44" s="109" t="str">
        <f aca="false">IF('Pós-graduação'!$B49="","",'Pós-graduação'!$B49)</f>
        <v/>
      </c>
    </row>
    <row r="45" customFormat="false" ht="15" hidden="false" customHeight="false" outlineLevel="0" collapsed="false">
      <c r="A45" s="109" t="str">
        <f aca="false">IF(Concurso!$B10="","","Concurso")</f>
        <v>Concurso</v>
      </c>
      <c r="B45" s="109" t="str">
        <f aca="false">IF(Concurso!$B10="","",Concurso!$B10)</f>
        <v>Curso Preparatório Completo (exemplo)</v>
      </c>
      <c r="C45" s="110" t="n">
        <f aca="false">IF(OR(Concurso!$B10="",Concurso!$K10=""),"",Concurso!$K10)</f>
        <v>46568</v>
      </c>
      <c r="D45" s="109" t="n">
        <f aca="true">IF(C45="","",C45-TODAY())</f>
        <v>270</v>
      </c>
      <c r="E45" s="109" t="n">
        <f aca="false">IF(C45="","",D45+ROW()/100000)</f>
        <v>270.00045</v>
      </c>
      <c r="F45" s="110" t="n">
        <f aca="false">IF(Concurso!$B10="","",Concurso!$S10)</f>
        <v>46352</v>
      </c>
      <c r="G45" s="109" t="n">
        <f aca="false">IF(AND(ISNUMBER(C45),ISNUMBER(F45)),C45-F45,"")</f>
        <v>216</v>
      </c>
      <c r="H45" s="109" t="str">
        <f aca="false">IF(ISNUMBER(G45),IF(G45&lt;0,G45+ROW()/100000,""),"")</f>
        <v/>
      </c>
      <c r="I45" s="109"/>
      <c r="J45" s="109"/>
      <c r="K45" s="109"/>
      <c r="L45" s="109"/>
      <c r="M45" s="109"/>
      <c r="N45" s="109"/>
      <c r="O45" s="109"/>
      <c r="P45" s="109" t="str">
        <f aca="false">IF(Concurso!$B10="","",Concurso!$B10)</f>
        <v>Curso Preparatório Completo (exemplo)</v>
      </c>
    </row>
    <row r="46" customFormat="false" ht="15" hidden="false" customHeight="false" outlineLevel="0" collapsed="false">
      <c r="A46" s="109" t="str">
        <f aca="false">IF(Concurso!$B11="","","Concurso")</f>
        <v/>
      </c>
      <c r="B46" s="109" t="str">
        <f aca="false">IF(Concurso!$B11="","",Concurso!$B11)</f>
        <v/>
      </c>
      <c r="C46" s="110" t="str">
        <f aca="false">IF(OR(Concurso!$B11="",Concurso!$K11=""),"",Concurso!$K11)</f>
        <v/>
      </c>
      <c r="D46" s="109" t="str">
        <f aca="true">IF(C46="","",C46-TODAY())</f>
        <v/>
      </c>
      <c r="E46" s="109" t="str">
        <f aca="false">IF(C46="","",D46+ROW()/100000)</f>
        <v/>
      </c>
      <c r="F46" s="110" t="str">
        <f aca="false">IF(Concurso!$B11="","",Concurso!$S11)</f>
        <v/>
      </c>
      <c r="G46" s="109" t="str">
        <f aca="false">IF(AND(ISNUMBER(C46),ISNUMBER(F46)),C46-F46,"")</f>
        <v/>
      </c>
      <c r="H46" s="109" t="str">
        <f aca="false">IF(ISNUMBER(G46),IF(G46&lt;0,G46+ROW()/100000,""),"")</f>
        <v/>
      </c>
      <c r="I46" s="109"/>
      <c r="J46" s="109"/>
      <c r="K46" s="109"/>
      <c r="L46" s="109"/>
      <c r="M46" s="109"/>
      <c r="N46" s="109"/>
      <c r="O46" s="109"/>
      <c r="P46" s="109" t="str">
        <f aca="false">IF(Concurso!$B11="","",Concurso!$B11)</f>
        <v/>
      </c>
    </row>
    <row r="47" customFormat="false" ht="15" hidden="false" customHeight="false" outlineLevel="0" collapsed="false">
      <c r="A47" s="109" t="str">
        <f aca="false">IF(Concurso!$B12="","","Concurso")</f>
        <v/>
      </c>
      <c r="B47" s="109" t="str">
        <f aca="false">IF(Concurso!$B12="","",Concurso!$B12)</f>
        <v/>
      </c>
      <c r="C47" s="110" t="str">
        <f aca="false">IF(OR(Concurso!$B12="",Concurso!$K12=""),"",Concurso!$K12)</f>
        <v/>
      </c>
      <c r="D47" s="109" t="str">
        <f aca="true">IF(C47="","",C47-TODAY())</f>
        <v/>
      </c>
      <c r="E47" s="109" t="str">
        <f aca="false">IF(C47="","",D47+ROW()/100000)</f>
        <v/>
      </c>
      <c r="F47" s="110" t="str">
        <f aca="false">IF(Concurso!$B12="","",Concurso!$S12)</f>
        <v/>
      </c>
      <c r="G47" s="109" t="str">
        <f aca="false">IF(AND(ISNUMBER(C47),ISNUMBER(F47)),C47-F47,"")</f>
        <v/>
      </c>
      <c r="H47" s="109" t="str">
        <f aca="false">IF(ISNUMBER(G47),IF(G47&lt;0,G47+ROW()/100000,""),"")</f>
        <v/>
      </c>
      <c r="I47" s="109"/>
      <c r="J47" s="109"/>
      <c r="K47" s="109"/>
      <c r="L47" s="109"/>
      <c r="M47" s="109"/>
      <c r="N47" s="109"/>
      <c r="O47" s="109"/>
      <c r="P47" s="109" t="str">
        <f aca="false">IF(Concurso!$B12="","",Concurso!$B12)</f>
        <v/>
      </c>
    </row>
    <row r="48" customFormat="false" ht="15" hidden="false" customHeight="false" outlineLevel="0" collapsed="false">
      <c r="A48" s="109" t="str">
        <f aca="false">IF(Concurso!$B13="","","Concurso")</f>
        <v/>
      </c>
      <c r="B48" s="109" t="str">
        <f aca="false">IF(Concurso!$B13="","",Concurso!$B13)</f>
        <v/>
      </c>
      <c r="C48" s="110" t="str">
        <f aca="false">IF(OR(Concurso!$B13="",Concurso!$K13=""),"",Concurso!$K13)</f>
        <v/>
      </c>
      <c r="D48" s="109" t="str">
        <f aca="true">IF(C48="","",C48-TODAY())</f>
        <v/>
      </c>
      <c r="E48" s="109" t="str">
        <f aca="false">IF(C48="","",D48+ROW()/100000)</f>
        <v/>
      </c>
      <c r="F48" s="110" t="str">
        <f aca="false">IF(Concurso!$B13="","",Concurso!$S13)</f>
        <v/>
      </c>
      <c r="G48" s="109" t="str">
        <f aca="false">IF(AND(ISNUMBER(C48),ISNUMBER(F48)),C48-F48,"")</f>
        <v/>
      </c>
      <c r="H48" s="109" t="str">
        <f aca="false">IF(ISNUMBER(G48),IF(G48&lt;0,G48+ROW()/100000,""),"")</f>
        <v/>
      </c>
      <c r="I48" s="109"/>
      <c r="J48" s="109"/>
      <c r="K48" s="109"/>
      <c r="L48" s="109"/>
      <c r="M48" s="109"/>
      <c r="N48" s="109"/>
      <c r="O48" s="109"/>
      <c r="P48" s="109" t="str">
        <f aca="false">IF(Concurso!$B13="","",Concurso!$B13)</f>
        <v/>
      </c>
    </row>
    <row r="49" customFormat="false" ht="15" hidden="false" customHeight="false" outlineLevel="0" collapsed="false">
      <c r="A49" s="109" t="str">
        <f aca="false">IF(Concurso!$B14="","","Concurso")</f>
        <v/>
      </c>
      <c r="B49" s="109" t="str">
        <f aca="false">IF(Concurso!$B14="","",Concurso!$B14)</f>
        <v/>
      </c>
      <c r="C49" s="110" t="str">
        <f aca="false">IF(OR(Concurso!$B14="",Concurso!$K14=""),"",Concurso!$K14)</f>
        <v/>
      </c>
      <c r="D49" s="109" t="str">
        <f aca="true">IF(C49="","",C49-TODAY())</f>
        <v/>
      </c>
      <c r="E49" s="109" t="str">
        <f aca="false">IF(C49="","",D49+ROW()/100000)</f>
        <v/>
      </c>
      <c r="F49" s="110" t="str">
        <f aca="false">IF(Concurso!$B14="","",Concurso!$S14)</f>
        <v/>
      </c>
      <c r="G49" s="109" t="str">
        <f aca="false">IF(AND(ISNUMBER(C49),ISNUMBER(F49)),C49-F49,"")</f>
        <v/>
      </c>
      <c r="H49" s="109" t="str">
        <f aca="false">IF(ISNUMBER(G49),IF(G49&lt;0,G49+ROW()/100000,""),"")</f>
        <v/>
      </c>
      <c r="I49" s="109"/>
      <c r="J49" s="109"/>
      <c r="K49" s="109"/>
      <c r="L49" s="109"/>
      <c r="M49" s="109"/>
      <c r="N49" s="109"/>
      <c r="O49" s="109"/>
      <c r="P49" s="109" t="str">
        <f aca="false">IF(Concurso!$B14="","",Concurso!$B14)</f>
        <v/>
      </c>
    </row>
    <row r="50" customFormat="false" ht="15" hidden="false" customHeight="false" outlineLevel="0" collapsed="false">
      <c r="A50" s="109" t="str">
        <f aca="false">IF(Concurso!$B15="","","Concurso")</f>
        <v/>
      </c>
      <c r="B50" s="109" t="str">
        <f aca="false">IF(Concurso!$B15="","",Concurso!$B15)</f>
        <v/>
      </c>
      <c r="C50" s="110" t="str">
        <f aca="false">IF(OR(Concurso!$B15="",Concurso!$K15=""),"",Concurso!$K15)</f>
        <v/>
      </c>
      <c r="D50" s="109" t="str">
        <f aca="true">IF(C50="","",C50-TODAY())</f>
        <v/>
      </c>
      <c r="E50" s="109" t="str">
        <f aca="false">IF(C50="","",D50+ROW()/100000)</f>
        <v/>
      </c>
      <c r="F50" s="110" t="str">
        <f aca="false">IF(Concurso!$B15="","",Concurso!$S15)</f>
        <v/>
      </c>
      <c r="G50" s="109" t="str">
        <f aca="false">IF(AND(ISNUMBER(C50),ISNUMBER(F50)),C50-F50,"")</f>
        <v/>
      </c>
      <c r="H50" s="109" t="str">
        <f aca="false">IF(ISNUMBER(G50),IF(G50&lt;0,G50+ROW()/100000,""),"")</f>
        <v/>
      </c>
      <c r="I50" s="109"/>
      <c r="J50" s="109"/>
      <c r="K50" s="109"/>
      <c r="L50" s="109"/>
      <c r="M50" s="109"/>
      <c r="N50" s="109"/>
      <c r="O50" s="109"/>
      <c r="P50" s="109" t="str">
        <f aca="false">IF(Concurso!$B15="","",Concurso!$B15)</f>
        <v/>
      </c>
    </row>
    <row r="51" customFormat="false" ht="15" hidden="false" customHeight="false" outlineLevel="0" collapsed="false">
      <c r="A51" s="109" t="str">
        <f aca="false">IF(Concurso!$B16="","","Concurso")</f>
        <v/>
      </c>
      <c r="B51" s="109" t="str">
        <f aca="false">IF(Concurso!$B16="","",Concurso!$B16)</f>
        <v/>
      </c>
      <c r="C51" s="110" t="str">
        <f aca="false">IF(OR(Concurso!$B16="",Concurso!$K16=""),"",Concurso!$K16)</f>
        <v/>
      </c>
      <c r="D51" s="109" t="str">
        <f aca="true">IF(C51="","",C51-TODAY())</f>
        <v/>
      </c>
      <c r="E51" s="109" t="str">
        <f aca="false">IF(C51="","",D51+ROW()/100000)</f>
        <v/>
      </c>
      <c r="F51" s="110" t="str">
        <f aca="false">IF(Concurso!$B16="","",Concurso!$S16)</f>
        <v/>
      </c>
      <c r="G51" s="109" t="str">
        <f aca="false">IF(AND(ISNUMBER(C51),ISNUMBER(F51)),C51-F51,"")</f>
        <v/>
      </c>
      <c r="H51" s="109" t="str">
        <f aca="false">IF(ISNUMBER(G51),IF(G51&lt;0,G51+ROW()/100000,""),"")</f>
        <v/>
      </c>
      <c r="I51" s="109"/>
      <c r="J51" s="109"/>
      <c r="K51" s="109"/>
      <c r="L51" s="109"/>
      <c r="M51" s="109"/>
      <c r="N51" s="109"/>
      <c r="O51" s="109"/>
      <c r="P51" s="109" t="str">
        <f aca="false">IF(Concurso!$B16="","",Concurso!$B16)</f>
        <v/>
      </c>
    </row>
    <row r="52" customFormat="false" ht="15" hidden="false" customHeight="false" outlineLevel="0" collapsed="false">
      <c r="A52" s="109" t="str">
        <f aca="false">IF(Concurso!$B17="","","Concurso")</f>
        <v/>
      </c>
      <c r="B52" s="109" t="str">
        <f aca="false">IF(Concurso!$B17="","",Concurso!$B17)</f>
        <v/>
      </c>
      <c r="C52" s="110" t="str">
        <f aca="false">IF(OR(Concurso!$B17="",Concurso!$K17=""),"",Concurso!$K17)</f>
        <v/>
      </c>
      <c r="D52" s="109" t="str">
        <f aca="true">IF(C52="","",C52-TODAY())</f>
        <v/>
      </c>
      <c r="E52" s="109" t="str">
        <f aca="false">IF(C52="","",D52+ROW()/100000)</f>
        <v/>
      </c>
      <c r="F52" s="110" t="str">
        <f aca="false">IF(Concurso!$B17="","",Concurso!$S17)</f>
        <v/>
      </c>
      <c r="G52" s="109" t="str">
        <f aca="false">IF(AND(ISNUMBER(C52),ISNUMBER(F52)),C52-F52,"")</f>
        <v/>
      </c>
      <c r="H52" s="109" t="str">
        <f aca="false">IF(ISNUMBER(G52),IF(G52&lt;0,G52+ROW()/100000,""),"")</f>
        <v/>
      </c>
      <c r="I52" s="109"/>
      <c r="J52" s="109"/>
      <c r="K52" s="109"/>
      <c r="L52" s="109"/>
      <c r="M52" s="109"/>
      <c r="N52" s="109"/>
      <c r="O52" s="109"/>
      <c r="P52" s="109" t="str">
        <f aca="false">IF(Concurso!$B17="","",Concurso!$B17)</f>
        <v/>
      </c>
    </row>
    <row r="53" customFormat="false" ht="15" hidden="false" customHeight="false" outlineLevel="0" collapsed="false">
      <c r="A53" s="109" t="str">
        <f aca="false">IF(Concurso!$B18="","","Concurso")</f>
        <v/>
      </c>
      <c r="B53" s="109" t="str">
        <f aca="false">IF(Concurso!$B18="","",Concurso!$B18)</f>
        <v/>
      </c>
      <c r="C53" s="110" t="str">
        <f aca="false">IF(OR(Concurso!$B18="",Concurso!$K18=""),"",Concurso!$K18)</f>
        <v/>
      </c>
      <c r="D53" s="109" t="str">
        <f aca="true">IF(C53="","",C53-TODAY())</f>
        <v/>
      </c>
      <c r="E53" s="109" t="str">
        <f aca="false">IF(C53="","",D53+ROW()/100000)</f>
        <v/>
      </c>
      <c r="F53" s="110" t="str">
        <f aca="false">IF(Concurso!$B18="","",Concurso!$S18)</f>
        <v/>
      </c>
      <c r="G53" s="109" t="str">
        <f aca="false">IF(AND(ISNUMBER(C53),ISNUMBER(F53)),C53-F53,"")</f>
        <v/>
      </c>
      <c r="H53" s="109" t="str">
        <f aca="false">IF(ISNUMBER(G53),IF(G53&lt;0,G53+ROW()/100000,""),"")</f>
        <v/>
      </c>
      <c r="I53" s="109"/>
      <c r="J53" s="109"/>
      <c r="K53" s="109"/>
      <c r="L53" s="109"/>
      <c r="M53" s="109"/>
      <c r="N53" s="109"/>
      <c r="O53" s="109"/>
      <c r="P53" s="109" t="str">
        <f aca="false">IF(Concurso!$B18="","",Concurso!$B18)</f>
        <v/>
      </c>
    </row>
    <row r="54" customFormat="false" ht="15" hidden="false" customHeight="false" outlineLevel="0" collapsed="false">
      <c r="A54" s="109" t="str">
        <f aca="false">IF(Concurso!$B19="","","Concurso")</f>
        <v/>
      </c>
      <c r="B54" s="109" t="str">
        <f aca="false">IF(Concurso!$B19="","",Concurso!$B19)</f>
        <v/>
      </c>
      <c r="C54" s="110" t="str">
        <f aca="false">IF(OR(Concurso!$B19="",Concurso!$K19=""),"",Concurso!$K19)</f>
        <v/>
      </c>
      <c r="D54" s="109" t="str">
        <f aca="true">IF(C54="","",C54-TODAY())</f>
        <v/>
      </c>
      <c r="E54" s="109" t="str">
        <f aca="false">IF(C54="","",D54+ROW()/100000)</f>
        <v/>
      </c>
      <c r="F54" s="110" t="str">
        <f aca="false">IF(Concurso!$B19="","",Concurso!$S19)</f>
        <v/>
      </c>
      <c r="G54" s="109" t="str">
        <f aca="false">IF(AND(ISNUMBER(C54),ISNUMBER(F54)),C54-F54,"")</f>
        <v/>
      </c>
      <c r="H54" s="109" t="str">
        <f aca="false">IF(ISNUMBER(G54),IF(G54&lt;0,G54+ROW()/100000,""),"")</f>
        <v/>
      </c>
      <c r="I54" s="109"/>
      <c r="J54" s="109"/>
      <c r="K54" s="109"/>
      <c r="L54" s="109"/>
      <c r="M54" s="109"/>
      <c r="N54" s="109"/>
      <c r="O54" s="109"/>
      <c r="P54" s="109" t="str">
        <f aca="false">IF(Concurso!$B19="","",Concurso!$B19)</f>
        <v/>
      </c>
    </row>
    <row r="55" customFormat="false" ht="15" hidden="false" customHeight="false" outlineLevel="0" collapsed="false">
      <c r="A55" s="109" t="str">
        <f aca="false">IF(Concurso!$B20="","","Concurso")</f>
        <v/>
      </c>
      <c r="B55" s="109" t="str">
        <f aca="false">IF(Concurso!$B20="","",Concurso!$B20)</f>
        <v/>
      </c>
      <c r="C55" s="110" t="str">
        <f aca="false">IF(OR(Concurso!$B20="",Concurso!$K20=""),"",Concurso!$K20)</f>
        <v/>
      </c>
      <c r="D55" s="109" t="str">
        <f aca="true">IF(C55="","",C55-TODAY())</f>
        <v/>
      </c>
      <c r="E55" s="109" t="str">
        <f aca="false">IF(C55="","",D55+ROW()/100000)</f>
        <v/>
      </c>
      <c r="F55" s="110" t="str">
        <f aca="false">IF(Concurso!$B20="","",Concurso!$S20)</f>
        <v/>
      </c>
      <c r="G55" s="109" t="str">
        <f aca="false">IF(AND(ISNUMBER(C55),ISNUMBER(F55)),C55-F55,"")</f>
        <v/>
      </c>
      <c r="H55" s="109" t="str">
        <f aca="false">IF(ISNUMBER(G55),IF(G55&lt;0,G55+ROW()/100000,""),"")</f>
        <v/>
      </c>
      <c r="I55" s="109"/>
      <c r="J55" s="109"/>
      <c r="K55" s="109"/>
      <c r="L55" s="109"/>
      <c r="M55" s="109"/>
      <c r="N55" s="109"/>
      <c r="O55" s="109"/>
      <c r="P55" s="109" t="str">
        <f aca="false">IF(Concurso!$B20="","",Concurso!$B20)</f>
        <v/>
      </c>
    </row>
    <row r="56" customFormat="false" ht="15" hidden="false" customHeight="false" outlineLevel="0" collapsed="false">
      <c r="A56" s="109" t="str">
        <f aca="false">IF(Concurso!$B21="","","Concurso")</f>
        <v/>
      </c>
      <c r="B56" s="109" t="str">
        <f aca="false">IF(Concurso!$B21="","",Concurso!$B21)</f>
        <v/>
      </c>
      <c r="C56" s="110" t="str">
        <f aca="false">IF(OR(Concurso!$B21="",Concurso!$K21=""),"",Concurso!$K21)</f>
        <v/>
      </c>
      <c r="D56" s="109" t="str">
        <f aca="true">IF(C56="","",C56-TODAY())</f>
        <v/>
      </c>
      <c r="E56" s="109" t="str">
        <f aca="false">IF(C56="","",D56+ROW()/100000)</f>
        <v/>
      </c>
      <c r="F56" s="110" t="str">
        <f aca="false">IF(Concurso!$B21="","",Concurso!$S21)</f>
        <v/>
      </c>
      <c r="G56" s="109" t="str">
        <f aca="false">IF(AND(ISNUMBER(C56),ISNUMBER(F56)),C56-F56,"")</f>
        <v/>
      </c>
      <c r="H56" s="109" t="str">
        <f aca="false">IF(ISNUMBER(G56),IF(G56&lt;0,G56+ROW()/100000,""),"")</f>
        <v/>
      </c>
      <c r="I56" s="109"/>
      <c r="J56" s="109"/>
      <c r="K56" s="109"/>
      <c r="L56" s="109"/>
      <c r="M56" s="109"/>
      <c r="N56" s="109"/>
      <c r="O56" s="109"/>
      <c r="P56" s="109" t="str">
        <f aca="false">IF(Concurso!$B21="","",Concurso!$B21)</f>
        <v/>
      </c>
    </row>
    <row r="57" customFormat="false" ht="15" hidden="false" customHeight="false" outlineLevel="0" collapsed="false">
      <c r="A57" s="109" t="str">
        <f aca="false">IF(Concurso!$B22="","","Concurso")</f>
        <v/>
      </c>
      <c r="B57" s="109" t="str">
        <f aca="false">IF(Concurso!$B22="","",Concurso!$B22)</f>
        <v/>
      </c>
      <c r="C57" s="110" t="str">
        <f aca="false">IF(OR(Concurso!$B22="",Concurso!$K22=""),"",Concurso!$K22)</f>
        <v/>
      </c>
      <c r="D57" s="109" t="str">
        <f aca="true">IF(C57="","",C57-TODAY())</f>
        <v/>
      </c>
      <c r="E57" s="109" t="str">
        <f aca="false">IF(C57="","",D57+ROW()/100000)</f>
        <v/>
      </c>
      <c r="F57" s="110" t="str">
        <f aca="false">IF(Concurso!$B22="","",Concurso!$S22)</f>
        <v/>
      </c>
      <c r="G57" s="109" t="str">
        <f aca="false">IF(AND(ISNUMBER(C57),ISNUMBER(F57)),C57-F57,"")</f>
        <v/>
      </c>
      <c r="H57" s="109" t="str">
        <f aca="false">IF(ISNUMBER(G57),IF(G57&lt;0,G57+ROW()/100000,""),"")</f>
        <v/>
      </c>
      <c r="I57" s="109"/>
      <c r="J57" s="109"/>
      <c r="K57" s="109"/>
      <c r="L57" s="109"/>
      <c r="M57" s="109"/>
      <c r="N57" s="109"/>
      <c r="O57" s="109"/>
      <c r="P57" s="109" t="str">
        <f aca="false">IF(Concurso!$B22="","",Concurso!$B22)</f>
        <v/>
      </c>
    </row>
    <row r="58" customFormat="false" ht="15" hidden="false" customHeight="false" outlineLevel="0" collapsed="false">
      <c r="A58" s="109" t="str">
        <f aca="false">IF(Concurso!$B23="","","Concurso")</f>
        <v/>
      </c>
      <c r="B58" s="109" t="str">
        <f aca="false">IF(Concurso!$B23="","",Concurso!$B23)</f>
        <v/>
      </c>
      <c r="C58" s="110" t="str">
        <f aca="false">IF(OR(Concurso!$B23="",Concurso!$K23=""),"",Concurso!$K23)</f>
        <v/>
      </c>
      <c r="D58" s="109" t="str">
        <f aca="true">IF(C58="","",C58-TODAY())</f>
        <v/>
      </c>
      <c r="E58" s="109" t="str">
        <f aca="false">IF(C58="","",D58+ROW()/100000)</f>
        <v/>
      </c>
      <c r="F58" s="110" t="str">
        <f aca="false">IF(Concurso!$B23="","",Concurso!$S23)</f>
        <v/>
      </c>
      <c r="G58" s="109" t="str">
        <f aca="false">IF(AND(ISNUMBER(C58),ISNUMBER(F58)),C58-F58,"")</f>
        <v/>
      </c>
      <c r="H58" s="109" t="str">
        <f aca="false">IF(ISNUMBER(G58),IF(G58&lt;0,G58+ROW()/100000,""),"")</f>
        <v/>
      </c>
      <c r="I58" s="109"/>
      <c r="J58" s="109"/>
      <c r="K58" s="109"/>
      <c r="L58" s="109"/>
      <c r="M58" s="109"/>
      <c r="N58" s="109"/>
      <c r="O58" s="109"/>
      <c r="P58" s="109" t="str">
        <f aca="false">IF(Concurso!$B23="","",Concurso!$B23)</f>
        <v/>
      </c>
    </row>
    <row r="59" customFormat="false" ht="15" hidden="false" customHeight="false" outlineLevel="0" collapsed="false">
      <c r="A59" s="109" t="str">
        <f aca="false">IF(Concurso!$B24="","","Concurso")</f>
        <v/>
      </c>
      <c r="B59" s="109" t="str">
        <f aca="false">IF(Concurso!$B24="","",Concurso!$B24)</f>
        <v/>
      </c>
      <c r="C59" s="110" t="str">
        <f aca="false">IF(OR(Concurso!$B24="",Concurso!$K24=""),"",Concurso!$K24)</f>
        <v/>
      </c>
      <c r="D59" s="109" t="str">
        <f aca="true">IF(C59="","",C59-TODAY())</f>
        <v/>
      </c>
      <c r="E59" s="109" t="str">
        <f aca="false">IF(C59="","",D59+ROW()/100000)</f>
        <v/>
      </c>
      <c r="F59" s="110" t="str">
        <f aca="false">IF(Concurso!$B24="","",Concurso!$S24)</f>
        <v/>
      </c>
      <c r="G59" s="109" t="str">
        <f aca="false">IF(AND(ISNUMBER(C59),ISNUMBER(F59)),C59-F59,"")</f>
        <v/>
      </c>
      <c r="H59" s="109" t="str">
        <f aca="false">IF(ISNUMBER(G59),IF(G59&lt;0,G59+ROW()/100000,""),"")</f>
        <v/>
      </c>
      <c r="I59" s="109"/>
      <c r="J59" s="109"/>
      <c r="K59" s="109"/>
      <c r="L59" s="109"/>
      <c r="M59" s="109"/>
      <c r="N59" s="109"/>
      <c r="O59" s="109"/>
      <c r="P59" s="109" t="str">
        <f aca="false">IF(Concurso!$B24="","",Concurso!$B24)</f>
        <v/>
      </c>
    </row>
    <row r="60" customFormat="false" ht="15" hidden="false" customHeight="false" outlineLevel="0" collapsed="false">
      <c r="A60" s="109" t="str">
        <f aca="false">IF(Concurso!$B25="","","Concurso")</f>
        <v/>
      </c>
      <c r="B60" s="109" t="str">
        <f aca="false">IF(Concurso!$B25="","",Concurso!$B25)</f>
        <v/>
      </c>
      <c r="C60" s="110" t="str">
        <f aca="false">IF(OR(Concurso!$B25="",Concurso!$K25=""),"",Concurso!$K25)</f>
        <v/>
      </c>
      <c r="D60" s="109" t="str">
        <f aca="true">IF(C60="","",C60-TODAY())</f>
        <v/>
      </c>
      <c r="E60" s="109" t="str">
        <f aca="false">IF(C60="","",D60+ROW()/100000)</f>
        <v/>
      </c>
      <c r="F60" s="110" t="str">
        <f aca="false">IF(Concurso!$B25="","",Concurso!$S25)</f>
        <v/>
      </c>
      <c r="G60" s="109" t="str">
        <f aca="false">IF(AND(ISNUMBER(C60),ISNUMBER(F60)),C60-F60,"")</f>
        <v/>
      </c>
      <c r="H60" s="109" t="str">
        <f aca="false">IF(ISNUMBER(G60),IF(G60&lt;0,G60+ROW()/100000,""),"")</f>
        <v/>
      </c>
      <c r="I60" s="109"/>
      <c r="J60" s="109"/>
      <c r="K60" s="109"/>
      <c r="L60" s="109"/>
      <c r="M60" s="109"/>
      <c r="N60" s="109"/>
      <c r="O60" s="109"/>
      <c r="P60" s="109" t="str">
        <f aca="false">IF(Concurso!$B25="","",Concurso!$B25)</f>
        <v/>
      </c>
    </row>
    <row r="61" customFormat="false" ht="15" hidden="false" customHeight="false" outlineLevel="0" collapsed="false">
      <c r="A61" s="109" t="str">
        <f aca="false">IF(Concurso!$B26="","","Concurso")</f>
        <v/>
      </c>
      <c r="B61" s="109" t="str">
        <f aca="false">IF(Concurso!$B26="","",Concurso!$B26)</f>
        <v/>
      </c>
      <c r="C61" s="110" t="str">
        <f aca="false">IF(OR(Concurso!$B26="",Concurso!$K26=""),"",Concurso!$K26)</f>
        <v/>
      </c>
      <c r="D61" s="109" t="str">
        <f aca="true">IF(C61="","",C61-TODAY())</f>
        <v/>
      </c>
      <c r="E61" s="109" t="str">
        <f aca="false">IF(C61="","",D61+ROW()/100000)</f>
        <v/>
      </c>
      <c r="F61" s="110" t="str">
        <f aca="false">IF(Concurso!$B26="","",Concurso!$S26)</f>
        <v/>
      </c>
      <c r="G61" s="109" t="str">
        <f aca="false">IF(AND(ISNUMBER(C61),ISNUMBER(F61)),C61-F61,"")</f>
        <v/>
      </c>
      <c r="H61" s="109" t="str">
        <f aca="false">IF(ISNUMBER(G61),IF(G61&lt;0,G61+ROW()/100000,""),"")</f>
        <v/>
      </c>
      <c r="I61" s="109"/>
      <c r="J61" s="109"/>
      <c r="K61" s="109"/>
      <c r="L61" s="109"/>
      <c r="M61" s="109"/>
      <c r="N61" s="109"/>
      <c r="O61" s="109"/>
      <c r="P61" s="109" t="str">
        <f aca="false">IF(Concurso!$B26="","",Concurso!$B26)</f>
        <v/>
      </c>
    </row>
    <row r="62" customFormat="false" ht="15" hidden="false" customHeight="false" outlineLevel="0" collapsed="false">
      <c r="A62" s="109" t="str">
        <f aca="false">IF(Concurso!$B27="","","Concurso")</f>
        <v/>
      </c>
      <c r="B62" s="109" t="str">
        <f aca="false">IF(Concurso!$B27="","",Concurso!$B27)</f>
        <v/>
      </c>
      <c r="C62" s="110" t="str">
        <f aca="false">IF(OR(Concurso!$B27="",Concurso!$K27=""),"",Concurso!$K27)</f>
        <v/>
      </c>
      <c r="D62" s="109" t="str">
        <f aca="true">IF(C62="","",C62-TODAY())</f>
        <v/>
      </c>
      <c r="E62" s="109" t="str">
        <f aca="false">IF(C62="","",D62+ROW()/100000)</f>
        <v/>
      </c>
      <c r="F62" s="110" t="str">
        <f aca="false">IF(Concurso!$B27="","",Concurso!$S27)</f>
        <v/>
      </c>
      <c r="G62" s="109" t="str">
        <f aca="false">IF(AND(ISNUMBER(C62),ISNUMBER(F62)),C62-F62,"")</f>
        <v/>
      </c>
      <c r="H62" s="109" t="str">
        <f aca="false">IF(ISNUMBER(G62),IF(G62&lt;0,G62+ROW()/100000,""),"")</f>
        <v/>
      </c>
      <c r="I62" s="109"/>
      <c r="J62" s="109"/>
      <c r="K62" s="109"/>
      <c r="L62" s="109"/>
      <c r="M62" s="109"/>
      <c r="N62" s="109"/>
      <c r="O62" s="109"/>
      <c r="P62" s="109" t="str">
        <f aca="false">IF(Concurso!$B27="","",Concurso!$B27)</f>
        <v/>
      </c>
    </row>
    <row r="63" customFormat="false" ht="15" hidden="false" customHeight="false" outlineLevel="0" collapsed="false">
      <c r="A63" s="109" t="str">
        <f aca="false">IF(Concurso!$B28="","","Concurso")</f>
        <v/>
      </c>
      <c r="B63" s="109" t="str">
        <f aca="false">IF(Concurso!$B28="","",Concurso!$B28)</f>
        <v/>
      </c>
      <c r="C63" s="110" t="str">
        <f aca="false">IF(OR(Concurso!$B28="",Concurso!$K28=""),"",Concurso!$K28)</f>
        <v/>
      </c>
      <c r="D63" s="109" t="str">
        <f aca="true">IF(C63="","",C63-TODAY())</f>
        <v/>
      </c>
      <c r="E63" s="109" t="str">
        <f aca="false">IF(C63="","",D63+ROW()/100000)</f>
        <v/>
      </c>
      <c r="F63" s="110" t="str">
        <f aca="false">IF(Concurso!$B28="","",Concurso!$S28)</f>
        <v/>
      </c>
      <c r="G63" s="109" t="str">
        <f aca="false">IF(AND(ISNUMBER(C63),ISNUMBER(F63)),C63-F63,"")</f>
        <v/>
      </c>
      <c r="H63" s="109" t="str">
        <f aca="false">IF(ISNUMBER(G63),IF(G63&lt;0,G63+ROW()/100000,""),"")</f>
        <v/>
      </c>
      <c r="I63" s="109"/>
      <c r="J63" s="109"/>
      <c r="K63" s="109"/>
      <c r="L63" s="109"/>
      <c r="M63" s="109"/>
      <c r="N63" s="109"/>
      <c r="O63" s="109"/>
      <c r="P63" s="109" t="str">
        <f aca="false">IF(Concurso!$B28="","",Concurso!$B28)</f>
        <v/>
      </c>
    </row>
    <row r="64" customFormat="false" ht="15" hidden="false" customHeight="false" outlineLevel="0" collapsed="false">
      <c r="A64" s="109" t="str">
        <f aca="false">IF(Concurso!$B29="","","Concurso")</f>
        <v/>
      </c>
      <c r="B64" s="109" t="str">
        <f aca="false">IF(Concurso!$B29="","",Concurso!$B29)</f>
        <v/>
      </c>
      <c r="C64" s="110" t="str">
        <f aca="false">IF(OR(Concurso!$B29="",Concurso!$K29=""),"",Concurso!$K29)</f>
        <v/>
      </c>
      <c r="D64" s="109" t="str">
        <f aca="true">IF(C64="","",C64-TODAY())</f>
        <v/>
      </c>
      <c r="E64" s="109" t="str">
        <f aca="false">IF(C64="","",D64+ROW()/100000)</f>
        <v/>
      </c>
      <c r="F64" s="110" t="str">
        <f aca="false">IF(Concurso!$B29="","",Concurso!$S29)</f>
        <v/>
      </c>
      <c r="G64" s="109" t="str">
        <f aca="false">IF(AND(ISNUMBER(C64),ISNUMBER(F64)),C64-F64,"")</f>
        <v/>
      </c>
      <c r="H64" s="109" t="str">
        <f aca="false">IF(ISNUMBER(G64),IF(G64&lt;0,G64+ROW()/100000,""),"")</f>
        <v/>
      </c>
      <c r="I64" s="109"/>
      <c r="J64" s="109"/>
      <c r="K64" s="109"/>
      <c r="L64" s="109"/>
      <c r="M64" s="109"/>
      <c r="N64" s="109"/>
      <c r="O64" s="109"/>
      <c r="P64" s="109" t="str">
        <f aca="false">IF(Concurso!$B29="","",Concurso!$B29)</f>
        <v/>
      </c>
    </row>
    <row r="65" customFormat="false" ht="15" hidden="false" customHeight="false" outlineLevel="0" collapsed="false">
      <c r="A65" s="109" t="str">
        <f aca="false">IF(Concurso!$B30="","","Concurso")</f>
        <v/>
      </c>
      <c r="B65" s="109" t="str">
        <f aca="false">IF(Concurso!$B30="","",Concurso!$B30)</f>
        <v/>
      </c>
      <c r="C65" s="110" t="str">
        <f aca="false">IF(OR(Concurso!$B30="",Concurso!$K30=""),"",Concurso!$K30)</f>
        <v/>
      </c>
      <c r="D65" s="109" t="str">
        <f aca="true">IF(C65="","",C65-TODAY())</f>
        <v/>
      </c>
      <c r="E65" s="109" t="str">
        <f aca="false">IF(C65="","",D65+ROW()/100000)</f>
        <v/>
      </c>
      <c r="F65" s="110" t="str">
        <f aca="false">IF(Concurso!$B30="","",Concurso!$S30)</f>
        <v/>
      </c>
      <c r="G65" s="109" t="str">
        <f aca="false">IF(AND(ISNUMBER(C65),ISNUMBER(F65)),C65-F65,"")</f>
        <v/>
      </c>
      <c r="H65" s="109" t="str">
        <f aca="false">IF(ISNUMBER(G65),IF(G65&lt;0,G65+ROW()/100000,""),"")</f>
        <v/>
      </c>
      <c r="I65" s="109"/>
      <c r="J65" s="109"/>
      <c r="K65" s="109"/>
      <c r="L65" s="109"/>
      <c r="M65" s="109"/>
      <c r="N65" s="109"/>
      <c r="O65" s="109"/>
      <c r="P65" s="109" t="str">
        <f aca="false">IF(Concurso!$B30="","",Concurso!$B30)</f>
        <v/>
      </c>
    </row>
    <row r="66" customFormat="false" ht="15" hidden="false" customHeight="false" outlineLevel="0" collapsed="false">
      <c r="A66" s="109" t="str">
        <f aca="false">IF(Concurso!$B31="","","Concurso")</f>
        <v/>
      </c>
      <c r="B66" s="109" t="str">
        <f aca="false">IF(Concurso!$B31="","",Concurso!$B31)</f>
        <v/>
      </c>
      <c r="C66" s="110" t="str">
        <f aca="false">IF(OR(Concurso!$B31="",Concurso!$K31=""),"",Concurso!$K31)</f>
        <v/>
      </c>
      <c r="D66" s="109" t="str">
        <f aca="true">IF(C66="","",C66-TODAY())</f>
        <v/>
      </c>
      <c r="E66" s="109" t="str">
        <f aca="false">IF(C66="","",D66+ROW()/100000)</f>
        <v/>
      </c>
      <c r="F66" s="110" t="str">
        <f aca="false">IF(Concurso!$B31="","",Concurso!$S31)</f>
        <v/>
      </c>
      <c r="G66" s="109" t="str">
        <f aca="false">IF(AND(ISNUMBER(C66),ISNUMBER(F66)),C66-F66,"")</f>
        <v/>
      </c>
      <c r="H66" s="109" t="str">
        <f aca="false">IF(ISNUMBER(G66),IF(G66&lt;0,G66+ROW()/100000,""),"")</f>
        <v/>
      </c>
      <c r="I66" s="109"/>
      <c r="J66" s="109"/>
      <c r="K66" s="109"/>
      <c r="L66" s="109"/>
      <c r="M66" s="109"/>
      <c r="N66" s="109"/>
      <c r="O66" s="109"/>
      <c r="P66" s="109" t="str">
        <f aca="false">IF(Concurso!$B31="","",Concurso!$B31)</f>
        <v/>
      </c>
    </row>
    <row r="67" customFormat="false" ht="15" hidden="false" customHeight="false" outlineLevel="0" collapsed="false">
      <c r="A67" s="109" t="str">
        <f aca="false">IF(Concurso!$B32="","","Concurso")</f>
        <v/>
      </c>
      <c r="B67" s="109" t="str">
        <f aca="false">IF(Concurso!$B32="","",Concurso!$B32)</f>
        <v/>
      </c>
      <c r="C67" s="110" t="str">
        <f aca="false">IF(OR(Concurso!$B32="",Concurso!$K32=""),"",Concurso!$K32)</f>
        <v/>
      </c>
      <c r="D67" s="109" t="str">
        <f aca="true">IF(C67="","",C67-TODAY())</f>
        <v/>
      </c>
      <c r="E67" s="109" t="str">
        <f aca="false">IF(C67="","",D67+ROW()/100000)</f>
        <v/>
      </c>
      <c r="F67" s="110" t="str">
        <f aca="false">IF(Concurso!$B32="","",Concurso!$S32)</f>
        <v/>
      </c>
      <c r="G67" s="109" t="str">
        <f aca="false">IF(AND(ISNUMBER(C67),ISNUMBER(F67)),C67-F67,"")</f>
        <v/>
      </c>
      <c r="H67" s="109" t="str">
        <f aca="false">IF(ISNUMBER(G67),IF(G67&lt;0,G67+ROW()/100000,""),"")</f>
        <v/>
      </c>
      <c r="I67" s="109"/>
      <c r="J67" s="109"/>
      <c r="K67" s="109"/>
      <c r="L67" s="109"/>
      <c r="M67" s="109"/>
      <c r="N67" s="109"/>
      <c r="O67" s="109"/>
      <c r="P67" s="109" t="str">
        <f aca="false">IF(Concurso!$B32="","",Concurso!$B32)</f>
        <v/>
      </c>
    </row>
    <row r="68" customFormat="false" ht="15" hidden="false" customHeight="false" outlineLevel="0" collapsed="false">
      <c r="A68" s="109" t="str">
        <f aca="false">IF(Concurso!$B33="","","Concurso")</f>
        <v/>
      </c>
      <c r="B68" s="109" t="str">
        <f aca="false">IF(Concurso!$B33="","",Concurso!$B33)</f>
        <v/>
      </c>
      <c r="C68" s="110" t="str">
        <f aca="false">IF(OR(Concurso!$B33="",Concurso!$K33=""),"",Concurso!$K33)</f>
        <v/>
      </c>
      <c r="D68" s="109" t="str">
        <f aca="true">IF(C68="","",C68-TODAY())</f>
        <v/>
      </c>
      <c r="E68" s="109" t="str">
        <f aca="false">IF(C68="","",D68+ROW()/100000)</f>
        <v/>
      </c>
      <c r="F68" s="110" t="str">
        <f aca="false">IF(Concurso!$B33="","",Concurso!$S33)</f>
        <v/>
      </c>
      <c r="G68" s="109" t="str">
        <f aca="false">IF(AND(ISNUMBER(C68),ISNUMBER(F68)),C68-F68,"")</f>
        <v/>
      </c>
      <c r="H68" s="109" t="str">
        <f aca="false">IF(ISNUMBER(G68),IF(G68&lt;0,G68+ROW()/100000,""),"")</f>
        <v/>
      </c>
      <c r="I68" s="109"/>
      <c r="J68" s="109"/>
      <c r="K68" s="109"/>
      <c r="L68" s="109"/>
      <c r="M68" s="109"/>
      <c r="N68" s="109"/>
      <c r="O68" s="109"/>
      <c r="P68" s="109" t="str">
        <f aca="false">IF(Concurso!$B33="","",Concurso!$B33)</f>
        <v/>
      </c>
    </row>
    <row r="69" customFormat="false" ht="15" hidden="false" customHeight="false" outlineLevel="0" collapsed="false">
      <c r="A69" s="109" t="str">
        <f aca="false">IF(Concurso!$B34="","","Concurso")</f>
        <v/>
      </c>
      <c r="B69" s="109" t="str">
        <f aca="false">IF(Concurso!$B34="","",Concurso!$B34)</f>
        <v/>
      </c>
      <c r="C69" s="110" t="str">
        <f aca="false">IF(OR(Concurso!$B34="",Concurso!$K34=""),"",Concurso!$K34)</f>
        <v/>
      </c>
      <c r="D69" s="109" t="str">
        <f aca="true">IF(C69="","",C69-TODAY())</f>
        <v/>
      </c>
      <c r="E69" s="109" t="str">
        <f aca="false">IF(C69="","",D69+ROW()/100000)</f>
        <v/>
      </c>
      <c r="F69" s="110" t="str">
        <f aca="false">IF(Concurso!$B34="","",Concurso!$S34)</f>
        <v/>
      </c>
      <c r="G69" s="109" t="str">
        <f aca="false">IF(AND(ISNUMBER(C69),ISNUMBER(F69)),C69-F69,"")</f>
        <v/>
      </c>
      <c r="H69" s="109" t="str">
        <f aca="false">IF(ISNUMBER(G69),IF(G69&lt;0,G69+ROW()/100000,""),"")</f>
        <v/>
      </c>
      <c r="I69" s="109"/>
      <c r="J69" s="109"/>
      <c r="K69" s="109"/>
      <c r="L69" s="109"/>
      <c r="M69" s="109"/>
      <c r="N69" s="109"/>
      <c r="O69" s="109"/>
      <c r="P69" s="109" t="str">
        <f aca="false">IF(Concurso!$B34="","",Concurso!$B34)</f>
        <v/>
      </c>
    </row>
    <row r="70" customFormat="false" ht="15" hidden="false" customHeight="false" outlineLevel="0" collapsed="false">
      <c r="A70" s="109" t="str">
        <f aca="false">IF(Concurso!$B35="","","Concurso")</f>
        <v/>
      </c>
      <c r="B70" s="109" t="str">
        <f aca="false">IF(Concurso!$B35="","",Concurso!$B35)</f>
        <v/>
      </c>
      <c r="C70" s="110" t="str">
        <f aca="false">IF(OR(Concurso!$B35="",Concurso!$K35=""),"",Concurso!$K35)</f>
        <v/>
      </c>
      <c r="D70" s="109" t="str">
        <f aca="true">IF(C70="","",C70-TODAY())</f>
        <v/>
      </c>
      <c r="E70" s="109" t="str">
        <f aca="false">IF(C70="","",D70+ROW()/100000)</f>
        <v/>
      </c>
      <c r="F70" s="110" t="str">
        <f aca="false">IF(Concurso!$B35="","",Concurso!$S35)</f>
        <v/>
      </c>
      <c r="G70" s="109" t="str">
        <f aca="false">IF(AND(ISNUMBER(C70),ISNUMBER(F70)),C70-F70,"")</f>
        <v/>
      </c>
      <c r="H70" s="109" t="str">
        <f aca="false">IF(ISNUMBER(G70),IF(G70&lt;0,G70+ROW()/100000,""),"")</f>
        <v/>
      </c>
      <c r="I70" s="109"/>
      <c r="J70" s="109"/>
      <c r="K70" s="109"/>
      <c r="L70" s="109"/>
      <c r="M70" s="109"/>
      <c r="N70" s="109"/>
      <c r="O70" s="109"/>
      <c r="P70" s="109" t="str">
        <f aca="false">IF(Concurso!$B35="","",Concurso!$B35)</f>
        <v/>
      </c>
    </row>
    <row r="71" customFormat="false" ht="15" hidden="false" customHeight="false" outlineLevel="0" collapsed="false">
      <c r="A71" s="109" t="str">
        <f aca="false">IF(Concurso!$B36="","","Concurso")</f>
        <v/>
      </c>
      <c r="B71" s="109" t="str">
        <f aca="false">IF(Concurso!$B36="","",Concurso!$B36)</f>
        <v/>
      </c>
      <c r="C71" s="110" t="str">
        <f aca="false">IF(OR(Concurso!$B36="",Concurso!$K36=""),"",Concurso!$K36)</f>
        <v/>
      </c>
      <c r="D71" s="109" t="str">
        <f aca="true">IF(C71="","",C71-TODAY())</f>
        <v/>
      </c>
      <c r="E71" s="109" t="str">
        <f aca="false">IF(C71="","",D71+ROW()/100000)</f>
        <v/>
      </c>
      <c r="F71" s="110" t="str">
        <f aca="false">IF(Concurso!$B36="","",Concurso!$S36)</f>
        <v/>
      </c>
      <c r="G71" s="109" t="str">
        <f aca="false">IF(AND(ISNUMBER(C71),ISNUMBER(F71)),C71-F71,"")</f>
        <v/>
      </c>
      <c r="H71" s="109" t="str">
        <f aca="false">IF(ISNUMBER(G71),IF(G71&lt;0,G71+ROW()/100000,""),"")</f>
        <v/>
      </c>
      <c r="I71" s="109"/>
      <c r="J71" s="109"/>
      <c r="K71" s="109"/>
      <c r="L71" s="109"/>
      <c r="M71" s="109"/>
      <c r="N71" s="109"/>
      <c r="O71" s="109"/>
      <c r="P71" s="109" t="str">
        <f aca="false">IF(Concurso!$B36="","",Concurso!$B36)</f>
        <v/>
      </c>
    </row>
    <row r="72" customFormat="false" ht="15" hidden="false" customHeight="false" outlineLevel="0" collapsed="false">
      <c r="A72" s="109" t="str">
        <f aca="false">IF(Concurso!$B37="","","Concurso")</f>
        <v/>
      </c>
      <c r="B72" s="109" t="str">
        <f aca="false">IF(Concurso!$B37="","",Concurso!$B37)</f>
        <v/>
      </c>
      <c r="C72" s="110" t="str">
        <f aca="false">IF(OR(Concurso!$B37="",Concurso!$K37=""),"",Concurso!$K37)</f>
        <v/>
      </c>
      <c r="D72" s="109" t="str">
        <f aca="true">IF(C72="","",C72-TODAY())</f>
        <v/>
      </c>
      <c r="E72" s="109" t="str">
        <f aca="false">IF(C72="","",D72+ROW()/100000)</f>
        <v/>
      </c>
      <c r="F72" s="110" t="str">
        <f aca="false">IF(Concurso!$B37="","",Concurso!$S37)</f>
        <v/>
      </c>
      <c r="G72" s="109" t="str">
        <f aca="false">IF(AND(ISNUMBER(C72),ISNUMBER(F72)),C72-F72,"")</f>
        <v/>
      </c>
      <c r="H72" s="109" t="str">
        <f aca="false">IF(ISNUMBER(G72),IF(G72&lt;0,G72+ROW()/100000,""),"")</f>
        <v/>
      </c>
      <c r="I72" s="109"/>
      <c r="J72" s="109"/>
      <c r="K72" s="109"/>
      <c r="L72" s="109"/>
      <c r="M72" s="109"/>
      <c r="N72" s="109"/>
      <c r="O72" s="109"/>
      <c r="P72" s="109" t="str">
        <f aca="false">IF(Concurso!$B37="","",Concurso!$B37)</f>
        <v/>
      </c>
    </row>
    <row r="73" customFormat="false" ht="15" hidden="false" customHeight="false" outlineLevel="0" collapsed="false">
      <c r="A73" s="109" t="str">
        <f aca="false">IF(Concurso!$B38="","","Concurso")</f>
        <v/>
      </c>
      <c r="B73" s="109" t="str">
        <f aca="false">IF(Concurso!$B38="","",Concurso!$B38)</f>
        <v/>
      </c>
      <c r="C73" s="110" t="str">
        <f aca="false">IF(OR(Concurso!$B38="",Concurso!$K38=""),"",Concurso!$K38)</f>
        <v/>
      </c>
      <c r="D73" s="109" t="str">
        <f aca="true">IF(C73="","",C73-TODAY())</f>
        <v/>
      </c>
      <c r="E73" s="109" t="str">
        <f aca="false">IF(C73="","",D73+ROW()/100000)</f>
        <v/>
      </c>
      <c r="F73" s="110" t="str">
        <f aca="false">IF(Concurso!$B38="","",Concurso!$S38)</f>
        <v/>
      </c>
      <c r="G73" s="109" t="str">
        <f aca="false">IF(AND(ISNUMBER(C73),ISNUMBER(F73)),C73-F73,"")</f>
        <v/>
      </c>
      <c r="H73" s="109" t="str">
        <f aca="false">IF(ISNUMBER(G73),IF(G73&lt;0,G73+ROW()/100000,""),"")</f>
        <v/>
      </c>
      <c r="I73" s="109"/>
      <c r="J73" s="109"/>
      <c r="K73" s="109"/>
      <c r="L73" s="109"/>
      <c r="M73" s="109"/>
      <c r="N73" s="109"/>
      <c r="O73" s="109"/>
      <c r="P73" s="109" t="str">
        <f aca="false">IF(Concurso!$B38="","",Concurso!$B38)</f>
        <v/>
      </c>
    </row>
    <row r="74" customFormat="false" ht="15" hidden="false" customHeight="false" outlineLevel="0" collapsed="false">
      <c r="A74" s="109" t="str">
        <f aca="false">IF(Concurso!$B39="","","Concurso")</f>
        <v/>
      </c>
      <c r="B74" s="109" t="str">
        <f aca="false">IF(Concurso!$B39="","",Concurso!$B39)</f>
        <v/>
      </c>
      <c r="C74" s="110" t="str">
        <f aca="false">IF(OR(Concurso!$B39="",Concurso!$K39=""),"",Concurso!$K39)</f>
        <v/>
      </c>
      <c r="D74" s="109" t="str">
        <f aca="true">IF(C74="","",C74-TODAY())</f>
        <v/>
      </c>
      <c r="E74" s="109" t="str">
        <f aca="false">IF(C74="","",D74+ROW()/100000)</f>
        <v/>
      </c>
      <c r="F74" s="110" t="str">
        <f aca="false">IF(Concurso!$B39="","",Concurso!$S39)</f>
        <v/>
      </c>
      <c r="G74" s="109" t="str">
        <f aca="false">IF(AND(ISNUMBER(C74),ISNUMBER(F74)),C74-F74,"")</f>
        <v/>
      </c>
      <c r="H74" s="109" t="str">
        <f aca="false">IF(ISNUMBER(G74),IF(G74&lt;0,G74+ROW()/100000,""),"")</f>
        <v/>
      </c>
      <c r="I74" s="109"/>
      <c r="J74" s="109"/>
      <c r="K74" s="109"/>
      <c r="L74" s="109"/>
      <c r="M74" s="109"/>
      <c r="N74" s="109"/>
      <c r="O74" s="109"/>
      <c r="P74" s="109" t="str">
        <f aca="false">IF(Concurso!$B39="","",Concurso!$B39)</f>
        <v/>
      </c>
    </row>
    <row r="75" customFormat="false" ht="15" hidden="false" customHeight="false" outlineLevel="0" collapsed="false">
      <c r="A75" s="109" t="str">
        <f aca="false">IF(Concurso!$B40="","","Concurso")</f>
        <v/>
      </c>
      <c r="B75" s="109" t="str">
        <f aca="false">IF(Concurso!$B40="","",Concurso!$B40)</f>
        <v/>
      </c>
      <c r="C75" s="110" t="str">
        <f aca="false">IF(OR(Concurso!$B40="",Concurso!$K40=""),"",Concurso!$K40)</f>
        <v/>
      </c>
      <c r="D75" s="109" t="str">
        <f aca="true">IF(C75="","",C75-TODAY())</f>
        <v/>
      </c>
      <c r="E75" s="109" t="str">
        <f aca="false">IF(C75="","",D75+ROW()/100000)</f>
        <v/>
      </c>
      <c r="F75" s="110" t="str">
        <f aca="false">IF(Concurso!$B40="","",Concurso!$S40)</f>
        <v/>
      </c>
      <c r="G75" s="109" t="str">
        <f aca="false">IF(AND(ISNUMBER(C75),ISNUMBER(F75)),C75-F75,"")</f>
        <v/>
      </c>
      <c r="H75" s="109" t="str">
        <f aca="false">IF(ISNUMBER(G75),IF(G75&lt;0,G75+ROW()/100000,""),"")</f>
        <v/>
      </c>
      <c r="I75" s="109"/>
      <c r="J75" s="109"/>
      <c r="K75" s="109"/>
      <c r="L75" s="109"/>
      <c r="M75" s="109"/>
      <c r="N75" s="109"/>
      <c r="O75" s="109"/>
      <c r="P75" s="109" t="str">
        <f aca="false">IF(Concurso!$B40="","",Concurso!$B40)</f>
        <v/>
      </c>
    </row>
    <row r="76" customFormat="false" ht="15" hidden="false" customHeight="false" outlineLevel="0" collapsed="false">
      <c r="A76" s="109" t="str">
        <f aca="false">IF(Concurso!$B41="","","Concurso")</f>
        <v/>
      </c>
      <c r="B76" s="109" t="str">
        <f aca="false">IF(Concurso!$B41="","",Concurso!$B41)</f>
        <v/>
      </c>
      <c r="C76" s="110" t="str">
        <f aca="false">IF(OR(Concurso!$B41="",Concurso!$K41=""),"",Concurso!$K41)</f>
        <v/>
      </c>
      <c r="D76" s="109" t="str">
        <f aca="true">IF(C76="","",C76-TODAY())</f>
        <v/>
      </c>
      <c r="E76" s="109" t="str">
        <f aca="false">IF(C76="","",D76+ROW()/100000)</f>
        <v/>
      </c>
      <c r="F76" s="110" t="str">
        <f aca="false">IF(Concurso!$B41="","",Concurso!$S41)</f>
        <v/>
      </c>
      <c r="G76" s="109" t="str">
        <f aca="false">IF(AND(ISNUMBER(C76),ISNUMBER(F76)),C76-F76,"")</f>
        <v/>
      </c>
      <c r="H76" s="109" t="str">
        <f aca="false">IF(ISNUMBER(G76),IF(G76&lt;0,G76+ROW()/100000,""),"")</f>
        <v/>
      </c>
      <c r="I76" s="109"/>
      <c r="J76" s="109"/>
      <c r="K76" s="109"/>
      <c r="L76" s="109"/>
      <c r="M76" s="109"/>
      <c r="N76" s="109"/>
      <c r="O76" s="109"/>
      <c r="P76" s="109" t="str">
        <f aca="false">IF(Concurso!$B41="","",Concurso!$B41)</f>
        <v/>
      </c>
    </row>
    <row r="77" customFormat="false" ht="15" hidden="false" customHeight="false" outlineLevel="0" collapsed="false">
      <c r="A77" s="109" t="str">
        <f aca="false">IF(Concurso!$B42="","","Concurso")</f>
        <v/>
      </c>
      <c r="B77" s="109" t="str">
        <f aca="false">IF(Concurso!$B42="","",Concurso!$B42)</f>
        <v/>
      </c>
      <c r="C77" s="110" t="str">
        <f aca="false">IF(OR(Concurso!$B42="",Concurso!$K42=""),"",Concurso!$K42)</f>
        <v/>
      </c>
      <c r="D77" s="109" t="str">
        <f aca="true">IF(C77="","",C77-TODAY())</f>
        <v/>
      </c>
      <c r="E77" s="109" t="str">
        <f aca="false">IF(C77="","",D77+ROW()/100000)</f>
        <v/>
      </c>
      <c r="F77" s="110" t="str">
        <f aca="false">IF(Concurso!$B42="","",Concurso!$S42)</f>
        <v/>
      </c>
      <c r="G77" s="109" t="str">
        <f aca="false">IF(AND(ISNUMBER(C77),ISNUMBER(F77)),C77-F77,"")</f>
        <v/>
      </c>
      <c r="H77" s="109" t="str">
        <f aca="false">IF(ISNUMBER(G77),IF(G77&lt;0,G77+ROW()/100000,""),"")</f>
        <v/>
      </c>
      <c r="I77" s="109"/>
      <c r="J77" s="109"/>
      <c r="K77" s="109"/>
      <c r="L77" s="109"/>
      <c r="M77" s="109"/>
      <c r="N77" s="109"/>
      <c r="O77" s="109"/>
      <c r="P77" s="109" t="str">
        <f aca="false">IF(Concurso!$B42="","",Concurso!$B42)</f>
        <v/>
      </c>
    </row>
    <row r="78" customFormat="false" ht="15" hidden="false" customHeight="false" outlineLevel="0" collapsed="false">
      <c r="A78" s="109" t="str">
        <f aca="false">IF(Concurso!$B43="","","Concurso")</f>
        <v/>
      </c>
      <c r="B78" s="109" t="str">
        <f aca="false">IF(Concurso!$B43="","",Concurso!$B43)</f>
        <v/>
      </c>
      <c r="C78" s="110" t="str">
        <f aca="false">IF(OR(Concurso!$B43="",Concurso!$K43=""),"",Concurso!$K43)</f>
        <v/>
      </c>
      <c r="D78" s="109" t="str">
        <f aca="true">IF(C78="","",C78-TODAY())</f>
        <v/>
      </c>
      <c r="E78" s="109" t="str">
        <f aca="false">IF(C78="","",D78+ROW()/100000)</f>
        <v/>
      </c>
      <c r="F78" s="110" t="str">
        <f aca="false">IF(Concurso!$B43="","",Concurso!$S43)</f>
        <v/>
      </c>
      <c r="G78" s="109" t="str">
        <f aca="false">IF(AND(ISNUMBER(C78),ISNUMBER(F78)),C78-F78,"")</f>
        <v/>
      </c>
      <c r="H78" s="109" t="str">
        <f aca="false">IF(ISNUMBER(G78),IF(G78&lt;0,G78+ROW()/100000,""),"")</f>
        <v/>
      </c>
      <c r="I78" s="109"/>
      <c r="J78" s="109"/>
      <c r="K78" s="109"/>
      <c r="L78" s="109"/>
      <c r="M78" s="109"/>
      <c r="N78" s="109"/>
      <c r="O78" s="109"/>
      <c r="P78" s="109" t="str">
        <f aca="false">IF(Concurso!$B43="","",Concurso!$B43)</f>
        <v/>
      </c>
    </row>
    <row r="79" customFormat="false" ht="15" hidden="false" customHeight="false" outlineLevel="0" collapsed="false">
      <c r="A79" s="109" t="str">
        <f aca="false">IF(Concurso!$B44="","","Concurso")</f>
        <v/>
      </c>
      <c r="B79" s="109" t="str">
        <f aca="false">IF(Concurso!$B44="","",Concurso!$B44)</f>
        <v/>
      </c>
      <c r="C79" s="110" t="str">
        <f aca="false">IF(OR(Concurso!$B44="",Concurso!$K44=""),"",Concurso!$K44)</f>
        <v/>
      </c>
      <c r="D79" s="109" t="str">
        <f aca="true">IF(C79="","",C79-TODAY())</f>
        <v/>
      </c>
      <c r="E79" s="109" t="str">
        <f aca="false">IF(C79="","",D79+ROW()/100000)</f>
        <v/>
      </c>
      <c r="F79" s="110" t="str">
        <f aca="false">IF(Concurso!$B44="","",Concurso!$S44)</f>
        <v/>
      </c>
      <c r="G79" s="109" t="str">
        <f aca="false">IF(AND(ISNUMBER(C79),ISNUMBER(F79)),C79-F79,"")</f>
        <v/>
      </c>
      <c r="H79" s="109" t="str">
        <f aca="false">IF(ISNUMBER(G79),IF(G79&lt;0,G79+ROW()/100000,""),"")</f>
        <v/>
      </c>
      <c r="I79" s="109"/>
      <c r="J79" s="109"/>
      <c r="K79" s="109"/>
      <c r="L79" s="109"/>
      <c r="M79" s="109"/>
      <c r="N79" s="109"/>
      <c r="O79" s="109"/>
      <c r="P79" s="109" t="str">
        <f aca="false">IF(Concurso!$B44="","",Concurso!$B44)</f>
        <v/>
      </c>
    </row>
    <row r="80" customFormat="false" ht="15" hidden="false" customHeight="false" outlineLevel="0" collapsed="false">
      <c r="A80" s="109" t="str">
        <f aca="false">IF(Concurso!$B45="","","Concurso")</f>
        <v/>
      </c>
      <c r="B80" s="109" t="str">
        <f aca="false">IF(Concurso!$B45="","",Concurso!$B45)</f>
        <v/>
      </c>
      <c r="C80" s="110" t="str">
        <f aca="false">IF(OR(Concurso!$B45="",Concurso!$K45=""),"",Concurso!$K45)</f>
        <v/>
      </c>
      <c r="D80" s="109" t="str">
        <f aca="true">IF(C80="","",C80-TODAY())</f>
        <v/>
      </c>
      <c r="E80" s="109" t="str">
        <f aca="false">IF(C80="","",D80+ROW()/100000)</f>
        <v/>
      </c>
      <c r="F80" s="110" t="str">
        <f aca="false">IF(Concurso!$B45="","",Concurso!$S45)</f>
        <v/>
      </c>
      <c r="G80" s="109" t="str">
        <f aca="false">IF(AND(ISNUMBER(C80),ISNUMBER(F80)),C80-F80,"")</f>
        <v/>
      </c>
      <c r="H80" s="109" t="str">
        <f aca="false">IF(ISNUMBER(G80),IF(G80&lt;0,G80+ROW()/100000,""),"")</f>
        <v/>
      </c>
      <c r="I80" s="109"/>
      <c r="J80" s="109"/>
      <c r="K80" s="109"/>
      <c r="L80" s="109"/>
      <c r="M80" s="109"/>
      <c r="N80" s="109"/>
      <c r="O80" s="109"/>
      <c r="P80" s="109" t="str">
        <f aca="false">IF(Concurso!$B45="","",Concurso!$B45)</f>
        <v/>
      </c>
    </row>
    <row r="81" customFormat="false" ht="15" hidden="false" customHeight="false" outlineLevel="0" collapsed="false">
      <c r="A81" s="109" t="str">
        <f aca="false">IF(Concurso!$B46="","","Concurso")</f>
        <v/>
      </c>
      <c r="B81" s="109" t="str">
        <f aca="false">IF(Concurso!$B46="","",Concurso!$B46)</f>
        <v/>
      </c>
      <c r="C81" s="110" t="str">
        <f aca="false">IF(OR(Concurso!$B46="",Concurso!$K46=""),"",Concurso!$K46)</f>
        <v/>
      </c>
      <c r="D81" s="109" t="str">
        <f aca="true">IF(C81="","",C81-TODAY())</f>
        <v/>
      </c>
      <c r="E81" s="109" t="str">
        <f aca="false">IF(C81="","",D81+ROW()/100000)</f>
        <v/>
      </c>
      <c r="F81" s="110" t="str">
        <f aca="false">IF(Concurso!$B46="","",Concurso!$S46)</f>
        <v/>
      </c>
      <c r="G81" s="109" t="str">
        <f aca="false">IF(AND(ISNUMBER(C81),ISNUMBER(F81)),C81-F81,"")</f>
        <v/>
      </c>
      <c r="H81" s="109" t="str">
        <f aca="false">IF(ISNUMBER(G81),IF(G81&lt;0,G81+ROW()/100000,""),"")</f>
        <v/>
      </c>
      <c r="I81" s="109"/>
      <c r="J81" s="109"/>
      <c r="K81" s="109"/>
      <c r="L81" s="109"/>
      <c r="M81" s="109"/>
      <c r="N81" s="109"/>
      <c r="O81" s="109"/>
      <c r="P81" s="109" t="str">
        <f aca="false">IF(Concurso!$B46="","",Concurso!$B46)</f>
        <v/>
      </c>
    </row>
    <row r="82" customFormat="false" ht="15" hidden="false" customHeight="false" outlineLevel="0" collapsed="false">
      <c r="A82" s="109" t="str">
        <f aca="false">IF(Concurso!$B47="","","Concurso")</f>
        <v/>
      </c>
      <c r="B82" s="109" t="str">
        <f aca="false">IF(Concurso!$B47="","",Concurso!$B47)</f>
        <v/>
      </c>
      <c r="C82" s="110" t="str">
        <f aca="false">IF(OR(Concurso!$B47="",Concurso!$K47=""),"",Concurso!$K47)</f>
        <v/>
      </c>
      <c r="D82" s="109" t="str">
        <f aca="true">IF(C82="","",C82-TODAY())</f>
        <v/>
      </c>
      <c r="E82" s="109" t="str">
        <f aca="false">IF(C82="","",D82+ROW()/100000)</f>
        <v/>
      </c>
      <c r="F82" s="110" t="str">
        <f aca="false">IF(Concurso!$B47="","",Concurso!$S47)</f>
        <v/>
      </c>
      <c r="G82" s="109" t="str">
        <f aca="false">IF(AND(ISNUMBER(C82),ISNUMBER(F82)),C82-F82,"")</f>
        <v/>
      </c>
      <c r="H82" s="109" t="str">
        <f aca="false">IF(ISNUMBER(G82),IF(G82&lt;0,G82+ROW()/100000,""),"")</f>
        <v/>
      </c>
      <c r="I82" s="109"/>
      <c r="J82" s="109"/>
      <c r="K82" s="109"/>
      <c r="L82" s="109"/>
      <c r="M82" s="109"/>
      <c r="N82" s="109"/>
      <c r="O82" s="109"/>
      <c r="P82" s="109" t="str">
        <f aca="false">IF(Concurso!$B47="","",Concurso!$B47)</f>
        <v/>
      </c>
    </row>
    <row r="83" customFormat="false" ht="15" hidden="false" customHeight="false" outlineLevel="0" collapsed="false">
      <c r="A83" s="109" t="str">
        <f aca="false">IF(Concurso!$B48="","","Concurso")</f>
        <v/>
      </c>
      <c r="B83" s="109" t="str">
        <f aca="false">IF(Concurso!$B48="","",Concurso!$B48)</f>
        <v/>
      </c>
      <c r="C83" s="110" t="str">
        <f aca="false">IF(OR(Concurso!$B48="",Concurso!$K48=""),"",Concurso!$K48)</f>
        <v/>
      </c>
      <c r="D83" s="109" t="str">
        <f aca="true">IF(C83="","",C83-TODAY())</f>
        <v/>
      </c>
      <c r="E83" s="109" t="str">
        <f aca="false">IF(C83="","",D83+ROW()/100000)</f>
        <v/>
      </c>
      <c r="F83" s="110" t="str">
        <f aca="false">IF(Concurso!$B48="","",Concurso!$S48)</f>
        <v/>
      </c>
      <c r="G83" s="109" t="str">
        <f aca="false">IF(AND(ISNUMBER(C83),ISNUMBER(F83)),C83-F83,"")</f>
        <v/>
      </c>
      <c r="H83" s="109" t="str">
        <f aca="false">IF(ISNUMBER(G83),IF(G83&lt;0,G83+ROW()/100000,""),"")</f>
        <v/>
      </c>
      <c r="I83" s="109"/>
      <c r="J83" s="109"/>
      <c r="K83" s="109"/>
      <c r="L83" s="109"/>
      <c r="M83" s="109"/>
      <c r="N83" s="109"/>
      <c r="O83" s="109"/>
      <c r="P83" s="109" t="str">
        <f aca="false">IF(Concurso!$B48="","",Concurso!$B48)</f>
        <v/>
      </c>
    </row>
    <row r="84" customFormat="false" ht="15" hidden="false" customHeight="false" outlineLevel="0" collapsed="false">
      <c r="A84" s="109" t="str">
        <f aca="false">IF(Concurso!$B49="","","Concurso")</f>
        <v/>
      </c>
      <c r="B84" s="109" t="str">
        <f aca="false">IF(Concurso!$B49="","",Concurso!$B49)</f>
        <v/>
      </c>
      <c r="C84" s="110" t="str">
        <f aca="false">IF(OR(Concurso!$B49="",Concurso!$K49=""),"",Concurso!$K49)</f>
        <v/>
      </c>
      <c r="D84" s="109" t="str">
        <f aca="true">IF(C84="","",C84-TODAY())</f>
        <v/>
      </c>
      <c r="E84" s="109" t="str">
        <f aca="false">IF(C84="","",D84+ROW()/100000)</f>
        <v/>
      </c>
      <c r="F84" s="110" t="str">
        <f aca="false">IF(Concurso!$B49="","",Concurso!$S49)</f>
        <v/>
      </c>
      <c r="G84" s="109" t="str">
        <f aca="false">IF(AND(ISNUMBER(C84),ISNUMBER(F84)),C84-F84,"")</f>
        <v/>
      </c>
      <c r="H84" s="109" t="str">
        <f aca="false">IF(ISNUMBER(G84),IF(G84&lt;0,G84+ROW()/100000,""),"")</f>
        <v/>
      </c>
      <c r="I84" s="109"/>
      <c r="J84" s="109"/>
      <c r="K84" s="109"/>
      <c r="L84" s="109"/>
      <c r="M84" s="109"/>
      <c r="N84" s="109"/>
      <c r="O84" s="109"/>
      <c r="P84" s="109" t="str">
        <f aca="false">IF(Concurso!$B49="","",Concurso!$B49)</f>
        <v/>
      </c>
    </row>
    <row r="85" customFormat="false" ht="15" hidden="false" customHeight="false" outlineLevel="0" collapsed="false">
      <c r="A85" s="109" t="str">
        <f aca="false">IF('Cursos IA'!$B10="","","Cursos IA")</f>
        <v>Cursos IA</v>
      </c>
      <c r="B85" s="109" t="str">
        <f aca="false">IF('Cursos IA'!$B10="","",'Cursos IA'!$B10)</f>
        <v>Agentes de IA na Prática (exemplo)</v>
      </c>
      <c r="C85" s="110" t="n">
        <f aca="false">IF(OR('Cursos IA'!$B10="",'Cursos IA'!$I10=""),"",'Cursos IA'!$I10)</f>
        <v>46642</v>
      </c>
      <c r="D85" s="109" t="n">
        <f aca="true">IF(C85="","",C85-TODAY())</f>
        <v>344</v>
      </c>
      <c r="E85" s="109" t="n">
        <f aca="false">IF(C85="","",D85+ROW()/100000)</f>
        <v>344.00085</v>
      </c>
      <c r="F85" s="110" t="n">
        <f aca="false">IF('Cursos IA'!$B10="","",'Cursos IA'!$Q10)</f>
        <v>46329</v>
      </c>
      <c r="G85" s="109" t="n">
        <f aca="false">IF(AND(ISNUMBER(C85),ISNUMBER(F85)),C85-F85,"")</f>
        <v>313</v>
      </c>
      <c r="H85" s="109" t="str">
        <f aca="false">IF(ISNUMBER(G85),IF(G85&lt;0,G85+ROW()/100000,""),"")</f>
        <v/>
      </c>
      <c r="I85" s="109"/>
      <c r="J85" s="109"/>
      <c r="K85" s="109"/>
      <c r="L85" s="109"/>
      <c r="M85" s="109"/>
      <c r="N85" s="109"/>
      <c r="O85" s="109"/>
      <c r="P85" s="109" t="str">
        <f aca="false">IF(Livros!$B10="","",Livros!$B10)</f>
        <v>Hábitos Atômicos (exemplo)</v>
      </c>
    </row>
    <row r="86" customFormat="false" ht="15" hidden="false" customHeight="false" outlineLevel="0" collapsed="false">
      <c r="A86" s="109" t="str">
        <f aca="false">IF('Cursos IA'!$B11="","","Cursos IA")</f>
        <v/>
      </c>
      <c r="B86" s="109" t="str">
        <f aca="false">IF('Cursos IA'!$B11="","",'Cursos IA'!$B11)</f>
        <v/>
      </c>
      <c r="C86" s="110" t="str">
        <f aca="false">IF(OR('Cursos IA'!$B11="",'Cursos IA'!$I11=""),"",'Cursos IA'!$I11)</f>
        <v/>
      </c>
      <c r="D86" s="109" t="str">
        <f aca="true">IF(C86="","",C86-TODAY())</f>
        <v/>
      </c>
      <c r="E86" s="109" t="str">
        <f aca="false">IF(C86="","",D86+ROW()/100000)</f>
        <v/>
      </c>
      <c r="F86" s="110" t="str">
        <f aca="false">IF('Cursos IA'!$B11="","",'Cursos IA'!$Q11)</f>
        <v/>
      </c>
      <c r="G86" s="109" t="str">
        <f aca="false">IF(AND(ISNUMBER(C86),ISNUMBER(F86)),C86-F86,"")</f>
        <v/>
      </c>
      <c r="H86" s="109" t="str">
        <f aca="false">IF(ISNUMBER(G86),IF(G86&lt;0,G86+ROW()/100000,""),"")</f>
        <v/>
      </c>
      <c r="I86" s="109"/>
      <c r="J86" s="109"/>
      <c r="K86" s="109"/>
      <c r="L86" s="109"/>
      <c r="M86" s="109"/>
      <c r="N86" s="109"/>
      <c r="O86" s="109"/>
      <c r="P86" s="109" t="str">
        <f aca="false">IF(Livros!$B11="","",Livros!$B11)</f>
        <v/>
      </c>
    </row>
    <row r="87" customFormat="false" ht="15" hidden="false" customHeight="false" outlineLevel="0" collapsed="false">
      <c r="A87" s="109" t="str">
        <f aca="false">IF('Cursos IA'!$B12="","","Cursos IA")</f>
        <v/>
      </c>
      <c r="B87" s="109" t="str">
        <f aca="false">IF('Cursos IA'!$B12="","",'Cursos IA'!$B12)</f>
        <v/>
      </c>
      <c r="C87" s="110" t="str">
        <f aca="false">IF(OR('Cursos IA'!$B12="",'Cursos IA'!$I12=""),"",'Cursos IA'!$I12)</f>
        <v/>
      </c>
      <c r="D87" s="109" t="str">
        <f aca="true">IF(C87="","",C87-TODAY())</f>
        <v/>
      </c>
      <c r="E87" s="109" t="str">
        <f aca="false">IF(C87="","",D87+ROW()/100000)</f>
        <v/>
      </c>
      <c r="F87" s="110" t="str">
        <f aca="false">IF('Cursos IA'!$B12="","",'Cursos IA'!$Q12)</f>
        <v/>
      </c>
      <c r="G87" s="109" t="str">
        <f aca="false">IF(AND(ISNUMBER(C87),ISNUMBER(F87)),C87-F87,"")</f>
        <v/>
      </c>
      <c r="H87" s="109" t="str">
        <f aca="false">IF(ISNUMBER(G87),IF(G87&lt;0,G87+ROW()/100000,""),"")</f>
        <v/>
      </c>
      <c r="I87" s="109"/>
      <c r="J87" s="109"/>
      <c r="K87" s="109"/>
      <c r="L87" s="109"/>
      <c r="M87" s="109"/>
      <c r="N87" s="109"/>
      <c r="O87" s="109"/>
      <c r="P87" s="109" t="str">
        <f aca="false">IF(Livros!$B12="","",Livros!$B12)</f>
        <v/>
      </c>
    </row>
    <row r="88" customFormat="false" ht="15" hidden="false" customHeight="false" outlineLevel="0" collapsed="false">
      <c r="A88" s="109" t="str">
        <f aca="false">IF('Cursos IA'!$B13="","","Cursos IA")</f>
        <v/>
      </c>
      <c r="B88" s="109" t="str">
        <f aca="false">IF('Cursos IA'!$B13="","",'Cursos IA'!$B13)</f>
        <v/>
      </c>
      <c r="C88" s="110" t="str">
        <f aca="false">IF(OR('Cursos IA'!$B13="",'Cursos IA'!$I13=""),"",'Cursos IA'!$I13)</f>
        <v/>
      </c>
      <c r="D88" s="109" t="str">
        <f aca="true">IF(C88="","",C88-TODAY())</f>
        <v/>
      </c>
      <c r="E88" s="109" t="str">
        <f aca="false">IF(C88="","",D88+ROW()/100000)</f>
        <v/>
      </c>
      <c r="F88" s="110" t="str">
        <f aca="false">IF('Cursos IA'!$B13="","",'Cursos IA'!$Q13)</f>
        <v/>
      </c>
      <c r="G88" s="109" t="str">
        <f aca="false">IF(AND(ISNUMBER(C88),ISNUMBER(F88)),C88-F88,"")</f>
        <v/>
      </c>
      <c r="H88" s="109" t="str">
        <f aca="false">IF(ISNUMBER(G88),IF(G88&lt;0,G88+ROW()/100000,""),"")</f>
        <v/>
      </c>
      <c r="I88" s="109"/>
      <c r="J88" s="109"/>
      <c r="K88" s="109"/>
      <c r="L88" s="109"/>
      <c r="M88" s="109"/>
      <c r="N88" s="109"/>
      <c r="O88" s="109"/>
      <c r="P88" s="109" t="str">
        <f aca="false">IF(Livros!$B13="","",Livros!$B13)</f>
        <v/>
      </c>
    </row>
    <row r="89" customFormat="false" ht="15" hidden="false" customHeight="false" outlineLevel="0" collapsed="false">
      <c r="A89" s="109" t="str">
        <f aca="false">IF('Cursos IA'!$B14="","","Cursos IA")</f>
        <v/>
      </c>
      <c r="B89" s="109" t="str">
        <f aca="false">IF('Cursos IA'!$B14="","",'Cursos IA'!$B14)</f>
        <v/>
      </c>
      <c r="C89" s="110" t="str">
        <f aca="false">IF(OR('Cursos IA'!$B14="",'Cursos IA'!$I14=""),"",'Cursos IA'!$I14)</f>
        <v/>
      </c>
      <c r="D89" s="109" t="str">
        <f aca="true">IF(C89="","",C89-TODAY())</f>
        <v/>
      </c>
      <c r="E89" s="109" t="str">
        <f aca="false">IF(C89="","",D89+ROW()/100000)</f>
        <v/>
      </c>
      <c r="F89" s="110" t="str">
        <f aca="false">IF('Cursos IA'!$B14="","",'Cursos IA'!$Q14)</f>
        <v/>
      </c>
      <c r="G89" s="109" t="str">
        <f aca="false">IF(AND(ISNUMBER(C89),ISNUMBER(F89)),C89-F89,"")</f>
        <v/>
      </c>
      <c r="H89" s="109" t="str">
        <f aca="false">IF(ISNUMBER(G89),IF(G89&lt;0,G89+ROW()/100000,""),"")</f>
        <v/>
      </c>
      <c r="I89" s="109"/>
      <c r="J89" s="109"/>
      <c r="K89" s="109"/>
      <c r="L89" s="109"/>
      <c r="M89" s="109"/>
      <c r="N89" s="109"/>
      <c r="O89" s="109"/>
      <c r="P89" s="109" t="str">
        <f aca="false">IF(Livros!$B14="","",Livros!$B14)</f>
        <v/>
      </c>
    </row>
    <row r="90" customFormat="false" ht="15" hidden="false" customHeight="false" outlineLevel="0" collapsed="false">
      <c r="A90" s="109" t="str">
        <f aca="false">IF('Cursos IA'!$B15="","","Cursos IA")</f>
        <v/>
      </c>
      <c r="B90" s="109" t="str">
        <f aca="false">IF('Cursos IA'!$B15="","",'Cursos IA'!$B15)</f>
        <v/>
      </c>
      <c r="C90" s="110" t="str">
        <f aca="false">IF(OR('Cursos IA'!$B15="",'Cursos IA'!$I15=""),"",'Cursos IA'!$I15)</f>
        <v/>
      </c>
      <c r="D90" s="109" t="str">
        <f aca="true">IF(C90="","",C90-TODAY())</f>
        <v/>
      </c>
      <c r="E90" s="109" t="str">
        <f aca="false">IF(C90="","",D90+ROW()/100000)</f>
        <v/>
      </c>
      <c r="F90" s="110" t="str">
        <f aca="false">IF('Cursos IA'!$B15="","",'Cursos IA'!$Q15)</f>
        <v/>
      </c>
      <c r="G90" s="109" t="str">
        <f aca="false">IF(AND(ISNUMBER(C90),ISNUMBER(F90)),C90-F90,"")</f>
        <v/>
      </c>
      <c r="H90" s="109" t="str">
        <f aca="false">IF(ISNUMBER(G90),IF(G90&lt;0,G90+ROW()/100000,""),"")</f>
        <v/>
      </c>
      <c r="I90" s="109"/>
      <c r="J90" s="109"/>
      <c r="K90" s="109"/>
      <c r="L90" s="109"/>
      <c r="M90" s="109"/>
      <c r="N90" s="109"/>
      <c r="O90" s="109"/>
      <c r="P90" s="109" t="str">
        <f aca="false">IF(Livros!$B15="","",Livros!$B15)</f>
        <v/>
      </c>
    </row>
    <row r="91" customFormat="false" ht="15" hidden="false" customHeight="false" outlineLevel="0" collapsed="false">
      <c r="A91" s="109" t="str">
        <f aca="false">IF('Cursos IA'!$B16="","","Cursos IA")</f>
        <v/>
      </c>
      <c r="B91" s="109" t="str">
        <f aca="false">IF('Cursos IA'!$B16="","",'Cursos IA'!$B16)</f>
        <v/>
      </c>
      <c r="C91" s="110" t="str">
        <f aca="false">IF(OR('Cursos IA'!$B16="",'Cursos IA'!$I16=""),"",'Cursos IA'!$I16)</f>
        <v/>
      </c>
      <c r="D91" s="109" t="str">
        <f aca="true">IF(C91="","",C91-TODAY())</f>
        <v/>
      </c>
      <c r="E91" s="109" t="str">
        <f aca="false">IF(C91="","",D91+ROW()/100000)</f>
        <v/>
      </c>
      <c r="F91" s="110" t="str">
        <f aca="false">IF('Cursos IA'!$B16="","",'Cursos IA'!$Q16)</f>
        <v/>
      </c>
      <c r="G91" s="109" t="str">
        <f aca="false">IF(AND(ISNUMBER(C91),ISNUMBER(F91)),C91-F91,"")</f>
        <v/>
      </c>
      <c r="H91" s="109" t="str">
        <f aca="false">IF(ISNUMBER(G91),IF(G91&lt;0,G91+ROW()/100000,""),"")</f>
        <v/>
      </c>
      <c r="I91" s="109"/>
      <c r="J91" s="109"/>
      <c r="K91" s="109"/>
      <c r="L91" s="109"/>
      <c r="M91" s="109"/>
      <c r="N91" s="109"/>
      <c r="O91" s="109"/>
      <c r="P91" s="109" t="str">
        <f aca="false">IF(Livros!$B16="","",Livros!$B16)</f>
        <v/>
      </c>
    </row>
    <row r="92" customFormat="false" ht="15" hidden="false" customHeight="false" outlineLevel="0" collapsed="false">
      <c r="A92" s="109" t="str">
        <f aca="false">IF('Cursos IA'!$B17="","","Cursos IA")</f>
        <v/>
      </c>
      <c r="B92" s="109" t="str">
        <f aca="false">IF('Cursos IA'!$B17="","",'Cursos IA'!$B17)</f>
        <v/>
      </c>
      <c r="C92" s="110" t="str">
        <f aca="false">IF(OR('Cursos IA'!$B17="",'Cursos IA'!$I17=""),"",'Cursos IA'!$I17)</f>
        <v/>
      </c>
      <c r="D92" s="109" t="str">
        <f aca="true">IF(C92="","",C92-TODAY())</f>
        <v/>
      </c>
      <c r="E92" s="109" t="str">
        <f aca="false">IF(C92="","",D92+ROW()/100000)</f>
        <v/>
      </c>
      <c r="F92" s="110" t="str">
        <f aca="false">IF('Cursos IA'!$B17="","",'Cursos IA'!$Q17)</f>
        <v/>
      </c>
      <c r="G92" s="109" t="str">
        <f aca="false">IF(AND(ISNUMBER(C92),ISNUMBER(F92)),C92-F92,"")</f>
        <v/>
      </c>
      <c r="H92" s="109" t="str">
        <f aca="false">IF(ISNUMBER(G92),IF(G92&lt;0,G92+ROW()/100000,""),"")</f>
        <v/>
      </c>
      <c r="I92" s="109"/>
      <c r="J92" s="109"/>
      <c r="K92" s="109"/>
      <c r="L92" s="109"/>
      <c r="M92" s="109"/>
      <c r="N92" s="109"/>
      <c r="O92" s="109"/>
      <c r="P92" s="109" t="str">
        <f aca="false">IF(Livros!$B17="","",Livros!$B17)</f>
        <v/>
      </c>
    </row>
    <row r="93" customFormat="false" ht="15" hidden="false" customHeight="false" outlineLevel="0" collapsed="false">
      <c r="A93" s="109" t="str">
        <f aca="false">IF('Cursos IA'!$B18="","","Cursos IA")</f>
        <v/>
      </c>
      <c r="B93" s="109" t="str">
        <f aca="false">IF('Cursos IA'!$B18="","",'Cursos IA'!$B18)</f>
        <v/>
      </c>
      <c r="C93" s="110" t="str">
        <f aca="false">IF(OR('Cursos IA'!$B18="",'Cursos IA'!$I18=""),"",'Cursos IA'!$I18)</f>
        <v/>
      </c>
      <c r="D93" s="109" t="str">
        <f aca="true">IF(C93="","",C93-TODAY())</f>
        <v/>
      </c>
      <c r="E93" s="109" t="str">
        <f aca="false">IF(C93="","",D93+ROW()/100000)</f>
        <v/>
      </c>
      <c r="F93" s="110" t="str">
        <f aca="false">IF('Cursos IA'!$B18="","",'Cursos IA'!$Q18)</f>
        <v/>
      </c>
      <c r="G93" s="109" t="str">
        <f aca="false">IF(AND(ISNUMBER(C93),ISNUMBER(F93)),C93-F93,"")</f>
        <v/>
      </c>
      <c r="H93" s="109" t="str">
        <f aca="false">IF(ISNUMBER(G93),IF(G93&lt;0,G93+ROW()/100000,""),"")</f>
        <v/>
      </c>
      <c r="I93" s="109"/>
      <c r="J93" s="109"/>
      <c r="K93" s="109"/>
      <c r="L93" s="109"/>
      <c r="M93" s="109"/>
      <c r="N93" s="109"/>
      <c r="O93" s="109"/>
      <c r="P93" s="109" t="str">
        <f aca="false">IF(Livros!$B18="","",Livros!$B18)</f>
        <v/>
      </c>
    </row>
    <row r="94" customFormat="false" ht="15" hidden="false" customHeight="false" outlineLevel="0" collapsed="false">
      <c r="A94" s="109" t="str">
        <f aca="false">IF('Cursos IA'!$B19="","","Cursos IA")</f>
        <v/>
      </c>
      <c r="B94" s="109" t="str">
        <f aca="false">IF('Cursos IA'!$B19="","",'Cursos IA'!$B19)</f>
        <v/>
      </c>
      <c r="C94" s="110" t="str">
        <f aca="false">IF(OR('Cursos IA'!$B19="",'Cursos IA'!$I19=""),"",'Cursos IA'!$I19)</f>
        <v/>
      </c>
      <c r="D94" s="109" t="str">
        <f aca="true">IF(C94="","",C94-TODAY())</f>
        <v/>
      </c>
      <c r="E94" s="109" t="str">
        <f aca="false">IF(C94="","",D94+ROW()/100000)</f>
        <v/>
      </c>
      <c r="F94" s="110" t="str">
        <f aca="false">IF('Cursos IA'!$B19="","",'Cursos IA'!$Q19)</f>
        <v/>
      </c>
      <c r="G94" s="109" t="str">
        <f aca="false">IF(AND(ISNUMBER(C94),ISNUMBER(F94)),C94-F94,"")</f>
        <v/>
      </c>
      <c r="H94" s="109" t="str">
        <f aca="false">IF(ISNUMBER(G94),IF(G94&lt;0,G94+ROW()/100000,""),"")</f>
        <v/>
      </c>
      <c r="I94" s="109"/>
      <c r="J94" s="109"/>
      <c r="K94" s="109"/>
      <c r="L94" s="109"/>
      <c r="M94" s="109"/>
      <c r="N94" s="109"/>
      <c r="O94" s="109"/>
      <c r="P94" s="109" t="str">
        <f aca="false">IF(Livros!$B19="","",Livros!$B19)</f>
        <v/>
      </c>
    </row>
    <row r="95" customFormat="false" ht="15" hidden="false" customHeight="false" outlineLevel="0" collapsed="false">
      <c r="A95" s="109" t="str">
        <f aca="false">IF('Cursos IA'!$B20="","","Cursos IA")</f>
        <v/>
      </c>
      <c r="B95" s="109" t="str">
        <f aca="false">IF('Cursos IA'!$B20="","",'Cursos IA'!$B20)</f>
        <v/>
      </c>
      <c r="C95" s="110" t="str">
        <f aca="false">IF(OR('Cursos IA'!$B20="",'Cursos IA'!$I20=""),"",'Cursos IA'!$I20)</f>
        <v/>
      </c>
      <c r="D95" s="109" t="str">
        <f aca="true">IF(C95="","",C95-TODAY())</f>
        <v/>
      </c>
      <c r="E95" s="109" t="str">
        <f aca="false">IF(C95="","",D95+ROW()/100000)</f>
        <v/>
      </c>
      <c r="F95" s="110" t="str">
        <f aca="false">IF('Cursos IA'!$B20="","",'Cursos IA'!$Q20)</f>
        <v/>
      </c>
      <c r="G95" s="109" t="str">
        <f aca="false">IF(AND(ISNUMBER(C95),ISNUMBER(F95)),C95-F95,"")</f>
        <v/>
      </c>
      <c r="H95" s="109" t="str">
        <f aca="false">IF(ISNUMBER(G95),IF(G95&lt;0,G95+ROW()/100000,""),"")</f>
        <v/>
      </c>
      <c r="I95" s="109"/>
      <c r="J95" s="109"/>
      <c r="K95" s="109"/>
      <c r="L95" s="109"/>
      <c r="M95" s="109"/>
      <c r="N95" s="109"/>
      <c r="O95" s="109"/>
      <c r="P95" s="109" t="str">
        <f aca="false">IF(Livros!$B20="","",Livros!$B20)</f>
        <v/>
      </c>
    </row>
    <row r="96" customFormat="false" ht="15" hidden="false" customHeight="false" outlineLevel="0" collapsed="false">
      <c r="A96" s="109" t="str">
        <f aca="false">IF('Cursos IA'!$B21="","","Cursos IA")</f>
        <v/>
      </c>
      <c r="B96" s="109" t="str">
        <f aca="false">IF('Cursos IA'!$B21="","",'Cursos IA'!$B21)</f>
        <v/>
      </c>
      <c r="C96" s="110" t="str">
        <f aca="false">IF(OR('Cursos IA'!$B21="",'Cursos IA'!$I21=""),"",'Cursos IA'!$I21)</f>
        <v/>
      </c>
      <c r="D96" s="109" t="str">
        <f aca="true">IF(C96="","",C96-TODAY())</f>
        <v/>
      </c>
      <c r="E96" s="109" t="str">
        <f aca="false">IF(C96="","",D96+ROW()/100000)</f>
        <v/>
      </c>
      <c r="F96" s="110" t="str">
        <f aca="false">IF('Cursos IA'!$B21="","",'Cursos IA'!$Q21)</f>
        <v/>
      </c>
      <c r="G96" s="109" t="str">
        <f aca="false">IF(AND(ISNUMBER(C96),ISNUMBER(F96)),C96-F96,"")</f>
        <v/>
      </c>
      <c r="H96" s="109" t="str">
        <f aca="false">IF(ISNUMBER(G96),IF(G96&lt;0,G96+ROW()/100000,""),"")</f>
        <v/>
      </c>
      <c r="I96" s="109"/>
      <c r="J96" s="109"/>
      <c r="K96" s="109"/>
      <c r="L96" s="109"/>
      <c r="M96" s="109"/>
      <c r="N96" s="109"/>
      <c r="O96" s="109"/>
      <c r="P96" s="109" t="str">
        <f aca="false">IF(Livros!$B21="","",Livros!$B21)</f>
        <v/>
      </c>
    </row>
    <row r="97" customFormat="false" ht="15" hidden="false" customHeight="false" outlineLevel="0" collapsed="false">
      <c r="A97" s="109" t="str">
        <f aca="false">IF('Cursos IA'!$B22="","","Cursos IA")</f>
        <v/>
      </c>
      <c r="B97" s="109" t="str">
        <f aca="false">IF('Cursos IA'!$B22="","",'Cursos IA'!$B22)</f>
        <v/>
      </c>
      <c r="C97" s="110" t="str">
        <f aca="false">IF(OR('Cursos IA'!$B22="",'Cursos IA'!$I22=""),"",'Cursos IA'!$I22)</f>
        <v/>
      </c>
      <c r="D97" s="109" t="str">
        <f aca="true">IF(C97="","",C97-TODAY())</f>
        <v/>
      </c>
      <c r="E97" s="109" t="str">
        <f aca="false">IF(C97="","",D97+ROW()/100000)</f>
        <v/>
      </c>
      <c r="F97" s="110" t="str">
        <f aca="false">IF('Cursos IA'!$B22="","",'Cursos IA'!$Q22)</f>
        <v/>
      </c>
      <c r="G97" s="109" t="str">
        <f aca="false">IF(AND(ISNUMBER(C97),ISNUMBER(F97)),C97-F97,"")</f>
        <v/>
      </c>
      <c r="H97" s="109" t="str">
        <f aca="false">IF(ISNUMBER(G97),IF(G97&lt;0,G97+ROW()/100000,""),"")</f>
        <v/>
      </c>
      <c r="I97" s="109"/>
      <c r="J97" s="109"/>
      <c r="K97" s="109"/>
      <c r="L97" s="109"/>
      <c r="M97" s="109"/>
      <c r="N97" s="109"/>
      <c r="O97" s="109"/>
      <c r="P97" s="109" t="str">
        <f aca="false">IF(Livros!$B22="","",Livros!$B22)</f>
        <v/>
      </c>
    </row>
    <row r="98" customFormat="false" ht="15" hidden="false" customHeight="false" outlineLevel="0" collapsed="false">
      <c r="A98" s="109" t="str">
        <f aca="false">IF('Cursos IA'!$B23="","","Cursos IA")</f>
        <v/>
      </c>
      <c r="B98" s="109" t="str">
        <f aca="false">IF('Cursos IA'!$B23="","",'Cursos IA'!$B23)</f>
        <v/>
      </c>
      <c r="C98" s="110" t="str">
        <f aca="false">IF(OR('Cursos IA'!$B23="",'Cursos IA'!$I23=""),"",'Cursos IA'!$I23)</f>
        <v/>
      </c>
      <c r="D98" s="109" t="str">
        <f aca="true">IF(C98="","",C98-TODAY())</f>
        <v/>
      </c>
      <c r="E98" s="109" t="str">
        <f aca="false">IF(C98="","",D98+ROW()/100000)</f>
        <v/>
      </c>
      <c r="F98" s="110" t="str">
        <f aca="false">IF('Cursos IA'!$B23="","",'Cursos IA'!$Q23)</f>
        <v/>
      </c>
      <c r="G98" s="109" t="str">
        <f aca="false">IF(AND(ISNUMBER(C98),ISNUMBER(F98)),C98-F98,"")</f>
        <v/>
      </c>
      <c r="H98" s="109" t="str">
        <f aca="false">IF(ISNUMBER(G98),IF(G98&lt;0,G98+ROW()/100000,""),"")</f>
        <v/>
      </c>
      <c r="I98" s="109"/>
      <c r="J98" s="109"/>
      <c r="K98" s="109"/>
      <c r="L98" s="109"/>
      <c r="M98" s="109"/>
      <c r="N98" s="109"/>
      <c r="O98" s="109"/>
      <c r="P98" s="109" t="str">
        <f aca="false">IF(Livros!$B23="","",Livros!$B23)</f>
        <v/>
      </c>
    </row>
    <row r="99" customFormat="false" ht="15" hidden="false" customHeight="false" outlineLevel="0" collapsed="false">
      <c r="A99" s="109" t="str">
        <f aca="false">IF('Cursos IA'!$B24="","","Cursos IA")</f>
        <v/>
      </c>
      <c r="B99" s="109" t="str">
        <f aca="false">IF('Cursos IA'!$B24="","",'Cursos IA'!$B24)</f>
        <v/>
      </c>
      <c r="C99" s="110" t="str">
        <f aca="false">IF(OR('Cursos IA'!$B24="",'Cursos IA'!$I24=""),"",'Cursos IA'!$I24)</f>
        <v/>
      </c>
      <c r="D99" s="109" t="str">
        <f aca="true">IF(C99="","",C99-TODAY())</f>
        <v/>
      </c>
      <c r="E99" s="109" t="str">
        <f aca="false">IF(C99="","",D99+ROW()/100000)</f>
        <v/>
      </c>
      <c r="F99" s="110" t="str">
        <f aca="false">IF('Cursos IA'!$B24="","",'Cursos IA'!$Q24)</f>
        <v/>
      </c>
      <c r="G99" s="109" t="str">
        <f aca="false">IF(AND(ISNUMBER(C99),ISNUMBER(F99)),C99-F99,"")</f>
        <v/>
      </c>
      <c r="H99" s="109" t="str">
        <f aca="false">IF(ISNUMBER(G99),IF(G99&lt;0,G99+ROW()/100000,""),"")</f>
        <v/>
      </c>
      <c r="I99" s="109"/>
      <c r="J99" s="109"/>
      <c r="K99" s="109"/>
      <c r="L99" s="109"/>
      <c r="M99" s="109"/>
      <c r="N99" s="109"/>
      <c r="O99" s="109"/>
      <c r="P99" s="109" t="str">
        <f aca="false">IF(Livros!$B24="","",Livros!$B24)</f>
        <v/>
      </c>
    </row>
    <row r="100" customFormat="false" ht="15" hidden="false" customHeight="false" outlineLevel="0" collapsed="false">
      <c r="A100" s="109" t="str">
        <f aca="false">IF('Cursos IA'!$B25="","","Cursos IA")</f>
        <v/>
      </c>
      <c r="B100" s="109" t="str">
        <f aca="false">IF('Cursos IA'!$B25="","",'Cursos IA'!$B25)</f>
        <v/>
      </c>
      <c r="C100" s="110" t="str">
        <f aca="false">IF(OR('Cursos IA'!$B25="",'Cursos IA'!$I25=""),"",'Cursos IA'!$I25)</f>
        <v/>
      </c>
      <c r="D100" s="109" t="str">
        <f aca="true">IF(C100="","",C100-TODAY())</f>
        <v/>
      </c>
      <c r="E100" s="109" t="str">
        <f aca="false">IF(C100="","",D100+ROW()/100000)</f>
        <v/>
      </c>
      <c r="F100" s="110" t="str">
        <f aca="false">IF('Cursos IA'!$B25="","",'Cursos IA'!$Q25)</f>
        <v/>
      </c>
      <c r="G100" s="109" t="str">
        <f aca="false">IF(AND(ISNUMBER(C100),ISNUMBER(F100)),C100-F100,"")</f>
        <v/>
      </c>
      <c r="H100" s="109" t="str">
        <f aca="false">IF(ISNUMBER(G100),IF(G100&lt;0,G100+ROW()/100000,""),"")</f>
        <v/>
      </c>
      <c r="I100" s="109"/>
      <c r="J100" s="109"/>
      <c r="K100" s="109"/>
      <c r="L100" s="109"/>
      <c r="M100" s="109"/>
      <c r="N100" s="109"/>
      <c r="O100" s="109"/>
      <c r="P100" s="109" t="str">
        <f aca="false">IF(Livros!$B25="","",Livros!$B25)</f>
        <v/>
      </c>
    </row>
    <row r="101" customFormat="false" ht="15" hidden="false" customHeight="false" outlineLevel="0" collapsed="false">
      <c r="A101" s="109" t="str">
        <f aca="false">IF('Cursos IA'!$B26="","","Cursos IA")</f>
        <v/>
      </c>
      <c r="B101" s="109" t="str">
        <f aca="false">IF('Cursos IA'!$B26="","",'Cursos IA'!$B26)</f>
        <v/>
      </c>
      <c r="C101" s="110" t="str">
        <f aca="false">IF(OR('Cursos IA'!$B26="",'Cursos IA'!$I26=""),"",'Cursos IA'!$I26)</f>
        <v/>
      </c>
      <c r="D101" s="109" t="str">
        <f aca="true">IF(C101="","",C101-TODAY())</f>
        <v/>
      </c>
      <c r="E101" s="109" t="str">
        <f aca="false">IF(C101="","",D101+ROW()/100000)</f>
        <v/>
      </c>
      <c r="F101" s="110" t="str">
        <f aca="false">IF('Cursos IA'!$B26="","",'Cursos IA'!$Q26)</f>
        <v/>
      </c>
      <c r="G101" s="109" t="str">
        <f aca="false">IF(AND(ISNUMBER(C101),ISNUMBER(F101)),C101-F101,"")</f>
        <v/>
      </c>
      <c r="H101" s="109" t="str">
        <f aca="false">IF(ISNUMBER(G101),IF(G101&lt;0,G101+ROW()/100000,""),"")</f>
        <v/>
      </c>
      <c r="I101" s="109"/>
      <c r="J101" s="109"/>
      <c r="K101" s="109"/>
      <c r="L101" s="109"/>
      <c r="M101" s="109"/>
      <c r="N101" s="109"/>
      <c r="O101" s="109"/>
      <c r="P101" s="109" t="str">
        <f aca="false">IF(Livros!$B26="","",Livros!$B26)</f>
        <v/>
      </c>
    </row>
    <row r="102" customFormat="false" ht="15" hidden="false" customHeight="false" outlineLevel="0" collapsed="false">
      <c r="A102" s="109" t="str">
        <f aca="false">IF('Cursos IA'!$B27="","","Cursos IA")</f>
        <v/>
      </c>
      <c r="B102" s="109" t="str">
        <f aca="false">IF('Cursos IA'!$B27="","",'Cursos IA'!$B27)</f>
        <v/>
      </c>
      <c r="C102" s="110" t="str">
        <f aca="false">IF(OR('Cursos IA'!$B27="",'Cursos IA'!$I27=""),"",'Cursos IA'!$I27)</f>
        <v/>
      </c>
      <c r="D102" s="109" t="str">
        <f aca="true">IF(C102="","",C102-TODAY())</f>
        <v/>
      </c>
      <c r="E102" s="109" t="str">
        <f aca="false">IF(C102="","",D102+ROW()/100000)</f>
        <v/>
      </c>
      <c r="F102" s="110" t="str">
        <f aca="false">IF('Cursos IA'!$B27="","",'Cursos IA'!$Q27)</f>
        <v/>
      </c>
      <c r="G102" s="109" t="str">
        <f aca="false">IF(AND(ISNUMBER(C102),ISNUMBER(F102)),C102-F102,"")</f>
        <v/>
      </c>
      <c r="H102" s="109" t="str">
        <f aca="false">IF(ISNUMBER(G102),IF(G102&lt;0,G102+ROW()/100000,""),"")</f>
        <v/>
      </c>
      <c r="I102" s="109"/>
      <c r="J102" s="109"/>
      <c r="K102" s="109"/>
      <c r="L102" s="109"/>
      <c r="M102" s="109"/>
      <c r="N102" s="109"/>
      <c r="O102" s="109"/>
      <c r="P102" s="109" t="str">
        <f aca="false">IF(Livros!$B27="","",Livros!$B27)</f>
        <v/>
      </c>
    </row>
    <row r="103" customFormat="false" ht="15" hidden="false" customHeight="false" outlineLevel="0" collapsed="false">
      <c r="A103" s="109" t="str">
        <f aca="false">IF('Cursos IA'!$B28="","","Cursos IA")</f>
        <v/>
      </c>
      <c r="B103" s="109" t="str">
        <f aca="false">IF('Cursos IA'!$B28="","",'Cursos IA'!$B28)</f>
        <v/>
      </c>
      <c r="C103" s="110" t="str">
        <f aca="false">IF(OR('Cursos IA'!$B28="",'Cursos IA'!$I28=""),"",'Cursos IA'!$I28)</f>
        <v/>
      </c>
      <c r="D103" s="109" t="str">
        <f aca="true">IF(C103="","",C103-TODAY())</f>
        <v/>
      </c>
      <c r="E103" s="109" t="str">
        <f aca="false">IF(C103="","",D103+ROW()/100000)</f>
        <v/>
      </c>
      <c r="F103" s="110" t="str">
        <f aca="false">IF('Cursos IA'!$B28="","",'Cursos IA'!$Q28)</f>
        <v/>
      </c>
      <c r="G103" s="109" t="str">
        <f aca="false">IF(AND(ISNUMBER(C103),ISNUMBER(F103)),C103-F103,"")</f>
        <v/>
      </c>
      <c r="H103" s="109" t="str">
        <f aca="false">IF(ISNUMBER(G103),IF(G103&lt;0,G103+ROW()/100000,""),"")</f>
        <v/>
      </c>
      <c r="I103" s="109"/>
      <c r="J103" s="109"/>
      <c r="K103" s="109"/>
      <c r="L103" s="109"/>
      <c r="M103" s="109"/>
      <c r="N103" s="109"/>
      <c r="O103" s="109"/>
      <c r="P103" s="109" t="str">
        <f aca="false">IF(Livros!$B28="","",Livros!$B28)</f>
        <v/>
      </c>
    </row>
    <row r="104" customFormat="false" ht="15" hidden="false" customHeight="false" outlineLevel="0" collapsed="false">
      <c r="A104" s="109" t="str">
        <f aca="false">IF('Cursos IA'!$B29="","","Cursos IA")</f>
        <v/>
      </c>
      <c r="B104" s="109" t="str">
        <f aca="false">IF('Cursos IA'!$B29="","",'Cursos IA'!$B29)</f>
        <v/>
      </c>
      <c r="C104" s="110" t="str">
        <f aca="false">IF(OR('Cursos IA'!$B29="",'Cursos IA'!$I29=""),"",'Cursos IA'!$I29)</f>
        <v/>
      </c>
      <c r="D104" s="109" t="str">
        <f aca="true">IF(C104="","",C104-TODAY())</f>
        <v/>
      </c>
      <c r="E104" s="109" t="str">
        <f aca="false">IF(C104="","",D104+ROW()/100000)</f>
        <v/>
      </c>
      <c r="F104" s="110" t="str">
        <f aca="false">IF('Cursos IA'!$B29="","",'Cursos IA'!$Q29)</f>
        <v/>
      </c>
      <c r="G104" s="109" t="str">
        <f aca="false">IF(AND(ISNUMBER(C104),ISNUMBER(F104)),C104-F104,"")</f>
        <v/>
      </c>
      <c r="H104" s="109" t="str">
        <f aca="false">IF(ISNUMBER(G104),IF(G104&lt;0,G104+ROW()/100000,""),"")</f>
        <v/>
      </c>
      <c r="I104" s="109"/>
      <c r="J104" s="109"/>
      <c r="K104" s="109"/>
      <c r="L104" s="109"/>
      <c r="M104" s="109"/>
      <c r="N104" s="109"/>
      <c r="O104" s="109"/>
      <c r="P104" s="109" t="str">
        <f aca="false">IF(Livros!$B29="","",Livros!$B29)</f>
        <v/>
      </c>
    </row>
    <row r="105" customFormat="false" ht="15" hidden="false" customHeight="false" outlineLevel="0" collapsed="false">
      <c r="A105" s="109" t="str">
        <f aca="false">IF('Cursos IA'!$B30="","","Cursos IA")</f>
        <v/>
      </c>
      <c r="B105" s="109" t="str">
        <f aca="false">IF('Cursos IA'!$B30="","",'Cursos IA'!$B30)</f>
        <v/>
      </c>
      <c r="C105" s="110" t="str">
        <f aca="false">IF(OR('Cursos IA'!$B30="",'Cursos IA'!$I30=""),"",'Cursos IA'!$I30)</f>
        <v/>
      </c>
      <c r="D105" s="109" t="str">
        <f aca="true">IF(C105="","",C105-TODAY())</f>
        <v/>
      </c>
      <c r="E105" s="109" t="str">
        <f aca="false">IF(C105="","",D105+ROW()/100000)</f>
        <v/>
      </c>
      <c r="F105" s="110" t="str">
        <f aca="false">IF('Cursos IA'!$B30="","",'Cursos IA'!$Q30)</f>
        <v/>
      </c>
      <c r="G105" s="109" t="str">
        <f aca="false">IF(AND(ISNUMBER(C105),ISNUMBER(F105)),C105-F105,"")</f>
        <v/>
      </c>
      <c r="H105" s="109" t="str">
        <f aca="false">IF(ISNUMBER(G105),IF(G105&lt;0,G105+ROW()/100000,""),"")</f>
        <v/>
      </c>
      <c r="I105" s="109"/>
      <c r="J105" s="109"/>
      <c r="K105" s="109"/>
      <c r="L105" s="109"/>
      <c r="M105" s="109"/>
      <c r="N105" s="109"/>
      <c r="O105" s="109"/>
      <c r="P105" s="109" t="str">
        <f aca="false">IF(Livros!$B30="","",Livros!$B30)</f>
        <v/>
      </c>
    </row>
    <row r="106" customFormat="false" ht="15" hidden="false" customHeight="false" outlineLevel="0" collapsed="false">
      <c r="A106" s="109" t="str">
        <f aca="false">IF('Cursos IA'!$B31="","","Cursos IA")</f>
        <v/>
      </c>
      <c r="B106" s="109" t="str">
        <f aca="false">IF('Cursos IA'!$B31="","",'Cursos IA'!$B31)</f>
        <v/>
      </c>
      <c r="C106" s="110" t="str">
        <f aca="false">IF(OR('Cursos IA'!$B31="",'Cursos IA'!$I31=""),"",'Cursos IA'!$I31)</f>
        <v/>
      </c>
      <c r="D106" s="109" t="str">
        <f aca="true">IF(C106="","",C106-TODAY())</f>
        <v/>
      </c>
      <c r="E106" s="109" t="str">
        <f aca="false">IF(C106="","",D106+ROW()/100000)</f>
        <v/>
      </c>
      <c r="F106" s="110" t="str">
        <f aca="false">IF('Cursos IA'!$B31="","",'Cursos IA'!$Q31)</f>
        <v/>
      </c>
      <c r="G106" s="109" t="str">
        <f aca="false">IF(AND(ISNUMBER(C106),ISNUMBER(F106)),C106-F106,"")</f>
        <v/>
      </c>
      <c r="H106" s="109" t="str">
        <f aca="false">IF(ISNUMBER(G106),IF(G106&lt;0,G106+ROW()/100000,""),"")</f>
        <v/>
      </c>
      <c r="I106" s="109"/>
      <c r="J106" s="109"/>
      <c r="K106" s="109"/>
      <c r="L106" s="109"/>
      <c r="M106" s="109"/>
      <c r="N106" s="109"/>
      <c r="O106" s="109"/>
      <c r="P106" s="109" t="str">
        <f aca="false">IF(Livros!$B31="","",Livros!$B31)</f>
        <v/>
      </c>
    </row>
    <row r="107" customFormat="false" ht="15" hidden="false" customHeight="false" outlineLevel="0" collapsed="false">
      <c r="A107" s="109" t="str">
        <f aca="false">IF('Cursos IA'!$B32="","","Cursos IA")</f>
        <v/>
      </c>
      <c r="B107" s="109" t="str">
        <f aca="false">IF('Cursos IA'!$B32="","",'Cursos IA'!$B32)</f>
        <v/>
      </c>
      <c r="C107" s="110" t="str">
        <f aca="false">IF(OR('Cursos IA'!$B32="",'Cursos IA'!$I32=""),"",'Cursos IA'!$I32)</f>
        <v/>
      </c>
      <c r="D107" s="109" t="str">
        <f aca="true">IF(C107="","",C107-TODAY())</f>
        <v/>
      </c>
      <c r="E107" s="109" t="str">
        <f aca="false">IF(C107="","",D107+ROW()/100000)</f>
        <v/>
      </c>
      <c r="F107" s="110" t="str">
        <f aca="false">IF('Cursos IA'!$B32="","",'Cursos IA'!$Q32)</f>
        <v/>
      </c>
      <c r="G107" s="109" t="str">
        <f aca="false">IF(AND(ISNUMBER(C107),ISNUMBER(F107)),C107-F107,"")</f>
        <v/>
      </c>
      <c r="H107" s="109" t="str">
        <f aca="false">IF(ISNUMBER(G107),IF(G107&lt;0,G107+ROW()/100000,""),"")</f>
        <v/>
      </c>
      <c r="I107" s="109"/>
      <c r="J107" s="109"/>
      <c r="K107" s="109"/>
      <c r="L107" s="109"/>
      <c r="M107" s="109"/>
      <c r="N107" s="109"/>
      <c r="O107" s="109"/>
      <c r="P107" s="109" t="str">
        <f aca="false">IF(Livros!$B32="","",Livros!$B32)</f>
        <v/>
      </c>
    </row>
    <row r="108" customFormat="false" ht="15" hidden="false" customHeight="false" outlineLevel="0" collapsed="false">
      <c r="A108" s="109" t="str">
        <f aca="false">IF('Cursos IA'!$B33="","","Cursos IA")</f>
        <v/>
      </c>
      <c r="B108" s="109" t="str">
        <f aca="false">IF('Cursos IA'!$B33="","",'Cursos IA'!$B33)</f>
        <v/>
      </c>
      <c r="C108" s="110" t="str">
        <f aca="false">IF(OR('Cursos IA'!$B33="",'Cursos IA'!$I33=""),"",'Cursos IA'!$I33)</f>
        <v/>
      </c>
      <c r="D108" s="109" t="str">
        <f aca="true">IF(C108="","",C108-TODAY())</f>
        <v/>
      </c>
      <c r="E108" s="109" t="str">
        <f aca="false">IF(C108="","",D108+ROW()/100000)</f>
        <v/>
      </c>
      <c r="F108" s="110" t="str">
        <f aca="false">IF('Cursos IA'!$B33="","",'Cursos IA'!$Q33)</f>
        <v/>
      </c>
      <c r="G108" s="109" t="str">
        <f aca="false">IF(AND(ISNUMBER(C108),ISNUMBER(F108)),C108-F108,"")</f>
        <v/>
      </c>
      <c r="H108" s="109" t="str">
        <f aca="false">IF(ISNUMBER(G108),IF(G108&lt;0,G108+ROW()/100000,""),"")</f>
        <v/>
      </c>
      <c r="I108" s="109"/>
      <c r="J108" s="109"/>
      <c r="K108" s="109"/>
      <c r="L108" s="109"/>
      <c r="M108" s="109"/>
      <c r="N108" s="109"/>
      <c r="O108" s="109"/>
      <c r="P108" s="109" t="str">
        <f aca="false">IF(Livros!$B33="","",Livros!$B33)</f>
        <v/>
      </c>
    </row>
    <row r="109" customFormat="false" ht="15" hidden="false" customHeight="false" outlineLevel="0" collapsed="false">
      <c r="A109" s="109" t="str">
        <f aca="false">IF('Cursos IA'!$B34="","","Cursos IA")</f>
        <v/>
      </c>
      <c r="B109" s="109" t="str">
        <f aca="false">IF('Cursos IA'!$B34="","",'Cursos IA'!$B34)</f>
        <v/>
      </c>
      <c r="C109" s="110" t="str">
        <f aca="false">IF(OR('Cursos IA'!$B34="",'Cursos IA'!$I34=""),"",'Cursos IA'!$I34)</f>
        <v/>
      </c>
      <c r="D109" s="109" t="str">
        <f aca="true">IF(C109="","",C109-TODAY())</f>
        <v/>
      </c>
      <c r="E109" s="109" t="str">
        <f aca="false">IF(C109="","",D109+ROW()/100000)</f>
        <v/>
      </c>
      <c r="F109" s="110" t="str">
        <f aca="false">IF('Cursos IA'!$B34="","",'Cursos IA'!$Q34)</f>
        <v/>
      </c>
      <c r="G109" s="109" t="str">
        <f aca="false">IF(AND(ISNUMBER(C109),ISNUMBER(F109)),C109-F109,"")</f>
        <v/>
      </c>
      <c r="H109" s="109" t="str">
        <f aca="false">IF(ISNUMBER(G109),IF(G109&lt;0,G109+ROW()/100000,""),"")</f>
        <v/>
      </c>
      <c r="I109" s="109"/>
      <c r="J109" s="109"/>
      <c r="K109" s="109"/>
      <c r="L109" s="109"/>
      <c r="M109" s="109"/>
      <c r="N109" s="109"/>
      <c r="O109" s="109"/>
      <c r="P109" s="109" t="str">
        <f aca="false">IF(Livros!$B34="","",Livros!$B34)</f>
        <v/>
      </c>
    </row>
    <row r="110" customFormat="false" ht="15" hidden="false" customHeight="false" outlineLevel="0" collapsed="false">
      <c r="A110" s="109" t="str">
        <f aca="false">IF('Cursos IA'!$B35="","","Cursos IA")</f>
        <v/>
      </c>
      <c r="B110" s="109" t="str">
        <f aca="false">IF('Cursos IA'!$B35="","",'Cursos IA'!$B35)</f>
        <v/>
      </c>
      <c r="C110" s="110" t="str">
        <f aca="false">IF(OR('Cursos IA'!$B35="",'Cursos IA'!$I35=""),"",'Cursos IA'!$I35)</f>
        <v/>
      </c>
      <c r="D110" s="109" t="str">
        <f aca="true">IF(C110="","",C110-TODAY())</f>
        <v/>
      </c>
      <c r="E110" s="109" t="str">
        <f aca="false">IF(C110="","",D110+ROW()/100000)</f>
        <v/>
      </c>
      <c r="F110" s="110" t="str">
        <f aca="false">IF('Cursos IA'!$B35="","",'Cursos IA'!$Q35)</f>
        <v/>
      </c>
      <c r="G110" s="109" t="str">
        <f aca="false">IF(AND(ISNUMBER(C110),ISNUMBER(F110)),C110-F110,"")</f>
        <v/>
      </c>
      <c r="H110" s="109" t="str">
        <f aca="false">IF(ISNUMBER(G110),IF(G110&lt;0,G110+ROW()/100000,""),"")</f>
        <v/>
      </c>
      <c r="I110" s="109"/>
      <c r="J110" s="109"/>
      <c r="K110" s="109"/>
      <c r="L110" s="109"/>
      <c r="M110" s="109"/>
      <c r="N110" s="109"/>
      <c r="O110" s="109"/>
      <c r="P110" s="109" t="str">
        <f aca="false">IF(Livros!$B35="","",Livros!$B35)</f>
        <v/>
      </c>
    </row>
    <row r="111" customFormat="false" ht="15" hidden="false" customHeight="false" outlineLevel="0" collapsed="false">
      <c r="A111" s="109" t="str">
        <f aca="false">IF('Cursos IA'!$B36="","","Cursos IA")</f>
        <v/>
      </c>
      <c r="B111" s="109" t="str">
        <f aca="false">IF('Cursos IA'!$B36="","",'Cursos IA'!$B36)</f>
        <v/>
      </c>
      <c r="C111" s="110" t="str">
        <f aca="false">IF(OR('Cursos IA'!$B36="",'Cursos IA'!$I36=""),"",'Cursos IA'!$I36)</f>
        <v/>
      </c>
      <c r="D111" s="109" t="str">
        <f aca="true">IF(C111="","",C111-TODAY())</f>
        <v/>
      </c>
      <c r="E111" s="109" t="str">
        <f aca="false">IF(C111="","",D111+ROW()/100000)</f>
        <v/>
      </c>
      <c r="F111" s="110" t="str">
        <f aca="false">IF('Cursos IA'!$B36="","",'Cursos IA'!$Q36)</f>
        <v/>
      </c>
      <c r="G111" s="109" t="str">
        <f aca="false">IF(AND(ISNUMBER(C111),ISNUMBER(F111)),C111-F111,"")</f>
        <v/>
      </c>
      <c r="H111" s="109" t="str">
        <f aca="false">IF(ISNUMBER(G111),IF(G111&lt;0,G111+ROW()/100000,""),"")</f>
        <v/>
      </c>
      <c r="I111" s="109"/>
      <c r="J111" s="109"/>
      <c r="K111" s="109"/>
      <c r="L111" s="109"/>
      <c r="M111" s="109"/>
      <c r="N111" s="109"/>
      <c r="O111" s="109"/>
      <c r="P111" s="109" t="str">
        <f aca="false">IF(Livros!$B36="","",Livros!$B36)</f>
        <v/>
      </c>
    </row>
    <row r="112" customFormat="false" ht="15" hidden="false" customHeight="false" outlineLevel="0" collapsed="false">
      <c r="A112" s="109" t="str">
        <f aca="false">IF('Cursos IA'!$B37="","","Cursos IA")</f>
        <v/>
      </c>
      <c r="B112" s="109" t="str">
        <f aca="false">IF('Cursos IA'!$B37="","",'Cursos IA'!$B37)</f>
        <v/>
      </c>
      <c r="C112" s="110" t="str">
        <f aca="false">IF(OR('Cursos IA'!$B37="",'Cursos IA'!$I37=""),"",'Cursos IA'!$I37)</f>
        <v/>
      </c>
      <c r="D112" s="109" t="str">
        <f aca="true">IF(C112="","",C112-TODAY())</f>
        <v/>
      </c>
      <c r="E112" s="109" t="str">
        <f aca="false">IF(C112="","",D112+ROW()/100000)</f>
        <v/>
      </c>
      <c r="F112" s="110" t="str">
        <f aca="false">IF('Cursos IA'!$B37="","",'Cursos IA'!$Q37)</f>
        <v/>
      </c>
      <c r="G112" s="109" t="str">
        <f aca="false">IF(AND(ISNUMBER(C112),ISNUMBER(F112)),C112-F112,"")</f>
        <v/>
      </c>
      <c r="H112" s="109" t="str">
        <f aca="false">IF(ISNUMBER(G112),IF(G112&lt;0,G112+ROW()/100000,""),"")</f>
        <v/>
      </c>
      <c r="I112" s="109"/>
      <c r="J112" s="109"/>
      <c r="K112" s="109"/>
      <c r="L112" s="109"/>
      <c r="M112" s="109"/>
      <c r="N112" s="109"/>
      <c r="O112" s="109"/>
      <c r="P112" s="109" t="str">
        <f aca="false">IF(Livros!$B37="","",Livros!$B37)</f>
        <v/>
      </c>
    </row>
    <row r="113" customFormat="false" ht="15" hidden="false" customHeight="false" outlineLevel="0" collapsed="false">
      <c r="A113" s="109" t="str">
        <f aca="false">IF('Cursos IA'!$B38="","","Cursos IA")</f>
        <v/>
      </c>
      <c r="B113" s="109" t="str">
        <f aca="false">IF('Cursos IA'!$B38="","",'Cursos IA'!$B38)</f>
        <v/>
      </c>
      <c r="C113" s="110" t="str">
        <f aca="false">IF(OR('Cursos IA'!$B38="",'Cursos IA'!$I38=""),"",'Cursos IA'!$I38)</f>
        <v/>
      </c>
      <c r="D113" s="109" t="str">
        <f aca="true">IF(C113="","",C113-TODAY())</f>
        <v/>
      </c>
      <c r="E113" s="109" t="str">
        <f aca="false">IF(C113="","",D113+ROW()/100000)</f>
        <v/>
      </c>
      <c r="F113" s="110" t="str">
        <f aca="false">IF('Cursos IA'!$B38="","",'Cursos IA'!$Q38)</f>
        <v/>
      </c>
      <c r="G113" s="109" t="str">
        <f aca="false">IF(AND(ISNUMBER(C113),ISNUMBER(F113)),C113-F113,"")</f>
        <v/>
      </c>
      <c r="H113" s="109" t="str">
        <f aca="false">IF(ISNUMBER(G113),IF(G113&lt;0,G113+ROW()/100000,""),"")</f>
        <v/>
      </c>
      <c r="I113" s="109"/>
      <c r="J113" s="109"/>
      <c r="K113" s="109"/>
      <c r="L113" s="109"/>
      <c r="M113" s="109"/>
      <c r="N113" s="109"/>
      <c r="O113" s="109"/>
      <c r="P113" s="109" t="str">
        <f aca="false">IF(Livros!$B38="","",Livros!$B38)</f>
        <v/>
      </c>
    </row>
    <row r="114" customFormat="false" ht="15" hidden="false" customHeight="false" outlineLevel="0" collapsed="false">
      <c r="A114" s="109" t="str">
        <f aca="false">IF('Cursos IA'!$B39="","","Cursos IA")</f>
        <v/>
      </c>
      <c r="B114" s="109" t="str">
        <f aca="false">IF('Cursos IA'!$B39="","",'Cursos IA'!$B39)</f>
        <v/>
      </c>
      <c r="C114" s="110" t="str">
        <f aca="false">IF(OR('Cursos IA'!$B39="",'Cursos IA'!$I39=""),"",'Cursos IA'!$I39)</f>
        <v/>
      </c>
      <c r="D114" s="109" t="str">
        <f aca="true">IF(C114="","",C114-TODAY())</f>
        <v/>
      </c>
      <c r="E114" s="109" t="str">
        <f aca="false">IF(C114="","",D114+ROW()/100000)</f>
        <v/>
      </c>
      <c r="F114" s="110" t="str">
        <f aca="false">IF('Cursos IA'!$B39="","",'Cursos IA'!$Q39)</f>
        <v/>
      </c>
      <c r="G114" s="109" t="str">
        <f aca="false">IF(AND(ISNUMBER(C114),ISNUMBER(F114)),C114-F114,"")</f>
        <v/>
      </c>
      <c r="H114" s="109" t="str">
        <f aca="false">IF(ISNUMBER(G114),IF(G114&lt;0,G114+ROW()/100000,""),"")</f>
        <v/>
      </c>
      <c r="I114" s="109"/>
      <c r="J114" s="109"/>
      <c r="K114" s="109"/>
      <c r="L114" s="109"/>
      <c r="M114" s="109"/>
      <c r="N114" s="109"/>
      <c r="O114" s="109"/>
      <c r="P114" s="109" t="str">
        <f aca="false">IF(Livros!$B39="","",Livros!$B39)</f>
        <v/>
      </c>
    </row>
    <row r="115" customFormat="false" ht="15" hidden="false" customHeight="false" outlineLevel="0" collapsed="false">
      <c r="A115" s="109" t="str">
        <f aca="false">IF('Cursos IA'!$B40="","","Cursos IA")</f>
        <v/>
      </c>
      <c r="B115" s="109" t="str">
        <f aca="false">IF('Cursos IA'!$B40="","",'Cursos IA'!$B40)</f>
        <v/>
      </c>
      <c r="C115" s="110" t="str">
        <f aca="false">IF(OR('Cursos IA'!$B40="",'Cursos IA'!$I40=""),"",'Cursos IA'!$I40)</f>
        <v/>
      </c>
      <c r="D115" s="109" t="str">
        <f aca="true">IF(C115="","",C115-TODAY())</f>
        <v/>
      </c>
      <c r="E115" s="109" t="str">
        <f aca="false">IF(C115="","",D115+ROW()/100000)</f>
        <v/>
      </c>
      <c r="F115" s="110" t="str">
        <f aca="false">IF('Cursos IA'!$B40="","",'Cursos IA'!$Q40)</f>
        <v/>
      </c>
      <c r="G115" s="109" t="str">
        <f aca="false">IF(AND(ISNUMBER(C115),ISNUMBER(F115)),C115-F115,"")</f>
        <v/>
      </c>
      <c r="H115" s="109" t="str">
        <f aca="false">IF(ISNUMBER(G115),IF(G115&lt;0,G115+ROW()/100000,""),"")</f>
        <v/>
      </c>
      <c r="I115" s="109"/>
      <c r="J115" s="109"/>
      <c r="K115" s="109"/>
      <c r="L115" s="109"/>
      <c r="M115" s="109"/>
      <c r="N115" s="109"/>
      <c r="O115" s="109"/>
      <c r="P115" s="109" t="str">
        <f aca="false">IF(Livros!$B40="","",Livros!$B40)</f>
        <v/>
      </c>
    </row>
    <row r="116" customFormat="false" ht="15" hidden="false" customHeight="false" outlineLevel="0" collapsed="false">
      <c r="A116" s="109" t="str">
        <f aca="false">IF('Cursos IA'!$B41="","","Cursos IA")</f>
        <v/>
      </c>
      <c r="B116" s="109" t="str">
        <f aca="false">IF('Cursos IA'!$B41="","",'Cursos IA'!$B41)</f>
        <v/>
      </c>
      <c r="C116" s="110" t="str">
        <f aca="false">IF(OR('Cursos IA'!$B41="",'Cursos IA'!$I41=""),"",'Cursos IA'!$I41)</f>
        <v/>
      </c>
      <c r="D116" s="109" t="str">
        <f aca="true">IF(C116="","",C116-TODAY())</f>
        <v/>
      </c>
      <c r="E116" s="109" t="str">
        <f aca="false">IF(C116="","",D116+ROW()/100000)</f>
        <v/>
      </c>
      <c r="F116" s="110" t="str">
        <f aca="false">IF('Cursos IA'!$B41="","",'Cursos IA'!$Q41)</f>
        <v/>
      </c>
      <c r="G116" s="109" t="str">
        <f aca="false">IF(AND(ISNUMBER(C116),ISNUMBER(F116)),C116-F116,"")</f>
        <v/>
      </c>
      <c r="H116" s="109" t="str">
        <f aca="false">IF(ISNUMBER(G116),IF(G116&lt;0,G116+ROW()/100000,""),"")</f>
        <v/>
      </c>
      <c r="I116" s="109"/>
      <c r="J116" s="109"/>
      <c r="K116" s="109"/>
      <c r="L116" s="109"/>
      <c r="M116" s="109"/>
      <c r="N116" s="109"/>
      <c r="O116" s="109"/>
      <c r="P116" s="109" t="str">
        <f aca="false">IF(Livros!$B41="","",Livros!$B41)</f>
        <v/>
      </c>
    </row>
    <row r="117" customFormat="false" ht="15" hidden="false" customHeight="false" outlineLevel="0" collapsed="false">
      <c r="A117" s="109" t="str">
        <f aca="false">IF('Cursos IA'!$B42="","","Cursos IA")</f>
        <v/>
      </c>
      <c r="B117" s="109" t="str">
        <f aca="false">IF('Cursos IA'!$B42="","",'Cursos IA'!$B42)</f>
        <v/>
      </c>
      <c r="C117" s="110" t="str">
        <f aca="false">IF(OR('Cursos IA'!$B42="",'Cursos IA'!$I42=""),"",'Cursos IA'!$I42)</f>
        <v/>
      </c>
      <c r="D117" s="109" t="str">
        <f aca="true">IF(C117="","",C117-TODAY())</f>
        <v/>
      </c>
      <c r="E117" s="109" t="str">
        <f aca="false">IF(C117="","",D117+ROW()/100000)</f>
        <v/>
      </c>
      <c r="F117" s="110" t="str">
        <f aca="false">IF('Cursos IA'!$B42="","",'Cursos IA'!$Q42)</f>
        <v/>
      </c>
      <c r="G117" s="109" t="str">
        <f aca="false">IF(AND(ISNUMBER(C117),ISNUMBER(F117)),C117-F117,"")</f>
        <v/>
      </c>
      <c r="H117" s="109" t="str">
        <f aca="false">IF(ISNUMBER(G117),IF(G117&lt;0,G117+ROW()/100000,""),"")</f>
        <v/>
      </c>
      <c r="I117" s="109"/>
      <c r="J117" s="109"/>
      <c r="K117" s="109"/>
      <c r="L117" s="109"/>
      <c r="M117" s="109"/>
      <c r="N117" s="109"/>
      <c r="O117" s="109"/>
      <c r="P117" s="109" t="str">
        <f aca="false">IF(Livros!$B42="","",Livros!$B42)</f>
        <v/>
      </c>
    </row>
    <row r="118" customFormat="false" ht="15" hidden="false" customHeight="false" outlineLevel="0" collapsed="false">
      <c r="A118" s="109" t="str">
        <f aca="false">IF('Cursos IA'!$B43="","","Cursos IA")</f>
        <v/>
      </c>
      <c r="B118" s="109" t="str">
        <f aca="false">IF('Cursos IA'!$B43="","",'Cursos IA'!$B43)</f>
        <v/>
      </c>
      <c r="C118" s="110" t="str">
        <f aca="false">IF(OR('Cursos IA'!$B43="",'Cursos IA'!$I43=""),"",'Cursos IA'!$I43)</f>
        <v/>
      </c>
      <c r="D118" s="109" t="str">
        <f aca="true">IF(C118="","",C118-TODAY())</f>
        <v/>
      </c>
      <c r="E118" s="109" t="str">
        <f aca="false">IF(C118="","",D118+ROW()/100000)</f>
        <v/>
      </c>
      <c r="F118" s="110" t="str">
        <f aca="false">IF('Cursos IA'!$B43="","",'Cursos IA'!$Q43)</f>
        <v/>
      </c>
      <c r="G118" s="109" t="str">
        <f aca="false">IF(AND(ISNUMBER(C118),ISNUMBER(F118)),C118-F118,"")</f>
        <v/>
      </c>
      <c r="H118" s="109" t="str">
        <f aca="false">IF(ISNUMBER(G118),IF(G118&lt;0,G118+ROW()/100000,""),"")</f>
        <v/>
      </c>
      <c r="I118" s="109"/>
      <c r="J118" s="109"/>
      <c r="K118" s="109"/>
      <c r="L118" s="109"/>
      <c r="M118" s="109"/>
      <c r="N118" s="109"/>
      <c r="O118" s="109"/>
      <c r="P118" s="109" t="str">
        <f aca="false">IF(Livros!$B43="","",Livros!$B43)</f>
        <v/>
      </c>
    </row>
    <row r="119" customFormat="false" ht="15" hidden="false" customHeight="false" outlineLevel="0" collapsed="false">
      <c r="A119" s="109" t="str">
        <f aca="false">IF('Cursos IA'!$B44="","","Cursos IA")</f>
        <v/>
      </c>
      <c r="B119" s="109" t="str">
        <f aca="false">IF('Cursos IA'!$B44="","",'Cursos IA'!$B44)</f>
        <v/>
      </c>
      <c r="C119" s="110" t="str">
        <f aca="false">IF(OR('Cursos IA'!$B44="",'Cursos IA'!$I44=""),"",'Cursos IA'!$I44)</f>
        <v/>
      </c>
      <c r="D119" s="109" t="str">
        <f aca="true">IF(C119="","",C119-TODAY())</f>
        <v/>
      </c>
      <c r="E119" s="109" t="str">
        <f aca="false">IF(C119="","",D119+ROW()/100000)</f>
        <v/>
      </c>
      <c r="F119" s="110" t="str">
        <f aca="false">IF('Cursos IA'!$B44="","",'Cursos IA'!$Q44)</f>
        <v/>
      </c>
      <c r="G119" s="109" t="str">
        <f aca="false">IF(AND(ISNUMBER(C119),ISNUMBER(F119)),C119-F119,"")</f>
        <v/>
      </c>
      <c r="H119" s="109" t="str">
        <f aca="false">IF(ISNUMBER(G119),IF(G119&lt;0,G119+ROW()/100000,""),"")</f>
        <v/>
      </c>
      <c r="I119" s="109"/>
      <c r="J119" s="109"/>
      <c r="K119" s="109"/>
      <c r="L119" s="109"/>
      <c r="M119" s="109"/>
      <c r="N119" s="109"/>
      <c r="O119" s="109"/>
      <c r="P119" s="109" t="str">
        <f aca="false">IF(Livros!$B44="","",Livros!$B44)</f>
        <v/>
      </c>
    </row>
    <row r="120" customFormat="false" ht="15" hidden="false" customHeight="false" outlineLevel="0" collapsed="false">
      <c r="A120" s="109" t="str">
        <f aca="false">IF('Cursos IA'!$B45="","","Cursos IA")</f>
        <v/>
      </c>
      <c r="B120" s="109" t="str">
        <f aca="false">IF('Cursos IA'!$B45="","",'Cursos IA'!$B45)</f>
        <v/>
      </c>
      <c r="C120" s="110" t="str">
        <f aca="false">IF(OR('Cursos IA'!$B45="",'Cursos IA'!$I45=""),"",'Cursos IA'!$I45)</f>
        <v/>
      </c>
      <c r="D120" s="109" t="str">
        <f aca="true">IF(C120="","",C120-TODAY())</f>
        <v/>
      </c>
      <c r="E120" s="109" t="str">
        <f aca="false">IF(C120="","",D120+ROW()/100000)</f>
        <v/>
      </c>
      <c r="F120" s="110" t="str">
        <f aca="false">IF('Cursos IA'!$B45="","",'Cursos IA'!$Q45)</f>
        <v/>
      </c>
      <c r="G120" s="109" t="str">
        <f aca="false">IF(AND(ISNUMBER(C120),ISNUMBER(F120)),C120-F120,"")</f>
        <v/>
      </c>
      <c r="H120" s="109" t="str">
        <f aca="false">IF(ISNUMBER(G120),IF(G120&lt;0,G120+ROW()/100000,""),"")</f>
        <v/>
      </c>
      <c r="I120" s="109"/>
      <c r="J120" s="109"/>
      <c r="K120" s="109"/>
      <c r="L120" s="109"/>
      <c r="M120" s="109"/>
      <c r="N120" s="109"/>
      <c r="O120" s="109"/>
      <c r="P120" s="109" t="str">
        <f aca="false">IF(Livros!$B45="","",Livros!$B45)</f>
        <v/>
      </c>
    </row>
    <row r="121" customFormat="false" ht="15" hidden="false" customHeight="false" outlineLevel="0" collapsed="false">
      <c r="A121" s="109" t="str">
        <f aca="false">IF('Cursos IA'!$B46="","","Cursos IA")</f>
        <v/>
      </c>
      <c r="B121" s="109" t="str">
        <f aca="false">IF('Cursos IA'!$B46="","",'Cursos IA'!$B46)</f>
        <v/>
      </c>
      <c r="C121" s="110" t="str">
        <f aca="false">IF(OR('Cursos IA'!$B46="",'Cursos IA'!$I46=""),"",'Cursos IA'!$I46)</f>
        <v/>
      </c>
      <c r="D121" s="109" t="str">
        <f aca="true">IF(C121="","",C121-TODAY())</f>
        <v/>
      </c>
      <c r="E121" s="109" t="str">
        <f aca="false">IF(C121="","",D121+ROW()/100000)</f>
        <v/>
      </c>
      <c r="F121" s="110" t="str">
        <f aca="false">IF('Cursos IA'!$B46="","",'Cursos IA'!$Q46)</f>
        <v/>
      </c>
      <c r="G121" s="109" t="str">
        <f aca="false">IF(AND(ISNUMBER(C121),ISNUMBER(F121)),C121-F121,"")</f>
        <v/>
      </c>
      <c r="H121" s="109" t="str">
        <f aca="false">IF(ISNUMBER(G121),IF(G121&lt;0,G121+ROW()/100000,""),"")</f>
        <v/>
      </c>
      <c r="I121" s="109"/>
      <c r="J121" s="109"/>
      <c r="K121" s="109"/>
      <c r="L121" s="109"/>
      <c r="M121" s="109"/>
      <c r="N121" s="109"/>
      <c r="O121" s="109"/>
      <c r="P121" s="109" t="str">
        <f aca="false">IF(Livros!$B46="","",Livros!$B46)</f>
        <v/>
      </c>
    </row>
    <row r="122" customFormat="false" ht="15" hidden="false" customHeight="false" outlineLevel="0" collapsed="false">
      <c r="A122" s="109" t="str">
        <f aca="false">IF('Cursos IA'!$B47="","","Cursos IA")</f>
        <v/>
      </c>
      <c r="B122" s="109" t="str">
        <f aca="false">IF('Cursos IA'!$B47="","",'Cursos IA'!$B47)</f>
        <v/>
      </c>
      <c r="C122" s="110" t="str">
        <f aca="false">IF(OR('Cursos IA'!$B47="",'Cursos IA'!$I47=""),"",'Cursos IA'!$I47)</f>
        <v/>
      </c>
      <c r="D122" s="109" t="str">
        <f aca="true">IF(C122="","",C122-TODAY())</f>
        <v/>
      </c>
      <c r="E122" s="109" t="str">
        <f aca="false">IF(C122="","",D122+ROW()/100000)</f>
        <v/>
      </c>
      <c r="F122" s="110" t="str">
        <f aca="false">IF('Cursos IA'!$B47="","",'Cursos IA'!$Q47)</f>
        <v/>
      </c>
      <c r="G122" s="109" t="str">
        <f aca="false">IF(AND(ISNUMBER(C122),ISNUMBER(F122)),C122-F122,"")</f>
        <v/>
      </c>
      <c r="H122" s="109" t="str">
        <f aca="false">IF(ISNUMBER(G122),IF(G122&lt;0,G122+ROW()/100000,""),"")</f>
        <v/>
      </c>
      <c r="I122" s="109"/>
      <c r="J122" s="109"/>
      <c r="K122" s="109"/>
      <c r="L122" s="109"/>
      <c r="M122" s="109"/>
      <c r="N122" s="109"/>
      <c r="O122" s="109"/>
      <c r="P122" s="109" t="str">
        <f aca="false">IF(Livros!$B47="","",Livros!$B47)</f>
        <v/>
      </c>
    </row>
    <row r="123" customFormat="false" ht="15" hidden="false" customHeight="false" outlineLevel="0" collapsed="false">
      <c r="A123" s="109" t="str">
        <f aca="false">IF('Cursos IA'!$B48="","","Cursos IA")</f>
        <v/>
      </c>
      <c r="B123" s="109" t="str">
        <f aca="false">IF('Cursos IA'!$B48="","",'Cursos IA'!$B48)</f>
        <v/>
      </c>
      <c r="C123" s="110" t="str">
        <f aca="false">IF(OR('Cursos IA'!$B48="",'Cursos IA'!$I48=""),"",'Cursos IA'!$I48)</f>
        <v/>
      </c>
      <c r="D123" s="109" t="str">
        <f aca="true">IF(C123="","",C123-TODAY())</f>
        <v/>
      </c>
      <c r="E123" s="109" t="str">
        <f aca="false">IF(C123="","",D123+ROW()/100000)</f>
        <v/>
      </c>
      <c r="F123" s="110" t="str">
        <f aca="false">IF('Cursos IA'!$B48="","",'Cursos IA'!$Q48)</f>
        <v/>
      </c>
      <c r="G123" s="109" t="str">
        <f aca="false">IF(AND(ISNUMBER(C123),ISNUMBER(F123)),C123-F123,"")</f>
        <v/>
      </c>
      <c r="H123" s="109" t="str">
        <f aca="false">IF(ISNUMBER(G123),IF(G123&lt;0,G123+ROW()/100000,""),"")</f>
        <v/>
      </c>
      <c r="I123" s="109"/>
      <c r="J123" s="109"/>
      <c r="K123" s="109"/>
      <c r="L123" s="109"/>
      <c r="M123" s="109"/>
      <c r="N123" s="109"/>
      <c r="O123" s="109"/>
      <c r="P123" s="109" t="str">
        <f aca="false">IF(Livros!$B48="","",Livros!$B48)</f>
        <v/>
      </c>
    </row>
    <row r="124" customFormat="false" ht="15" hidden="false" customHeight="false" outlineLevel="0" collapsed="false">
      <c r="A124" s="109" t="str">
        <f aca="false">IF('Cursos IA'!$B49="","","Cursos IA")</f>
        <v/>
      </c>
      <c r="B124" s="109" t="str">
        <f aca="false">IF('Cursos IA'!$B49="","",'Cursos IA'!$B49)</f>
        <v/>
      </c>
      <c r="C124" s="110" t="str">
        <f aca="false">IF(OR('Cursos IA'!$B49="",'Cursos IA'!$I49=""),"",'Cursos IA'!$I49)</f>
        <v/>
      </c>
      <c r="D124" s="109" t="str">
        <f aca="true">IF(C124="","",C124-TODAY())</f>
        <v/>
      </c>
      <c r="E124" s="109" t="str">
        <f aca="false">IF(C124="","",D124+ROW()/100000)</f>
        <v/>
      </c>
      <c r="F124" s="110" t="str">
        <f aca="false">IF('Cursos IA'!$B49="","",'Cursos IA'!$Q49)</f>
        <v/>
      </c>
      <c r="G124" s="109" t="str">
        <f aca="false">IF(AND(ISNUMBER(C124),ISNUMBER(F124)),C124-F124,"")</f>
        <v/>
      </c>
      <c r="H124" s="109" t="str">
        <f aca="false">IF(ISNUMBER(G124),IF(G124&lt;0,G124+ROW()/100000,""),"")</f>
        <v/>
      </c>
      <c r="I124" s="109"/>
      <c r="J124" s="109"/>
      <c r="K124" s="109"/>
      <c r="L124" s="109"/>
      <c r="M124" s="109"/>
      <c r="N124" s="109"/>
      <c r="O124" s="109"/>
      <c r="P124" s="109" t="str">
        <f aca="false">IF(Livros!$B49="","",Livros!$B49)</f>
        <v/>
      </c>
    </row>
    <row r="125" customFormat="false" ht="15" hidden="false" customHeight="false" outlineLevel="0" collapsed="false">
      <c r="A125" s="109" t="str">
        <f aca="false">IF('Renda Extra'!$B10="","","Renda Extra")</f>
        <v>Renda Extra</v>
      </c>
      <c r="B125" s="109" t="str">
        <f aca="false">IF('Renda Extra'!$B10="","",'Renda Extra'!$B10)</f>
        <v>Marketing de Afiliados do Zero (exemplo)</v>
      </c>
      <c r="C125" s="110" t="n">
        <f aca="false">IF(OR('Renda Extra'!$B10="",'Renda Extra'!$I10=""),"",'Renda Extra'!$I10)</f>
        <v>46631</v>
      </c>
      <c r="D125" s="109" t="n">
        <f aca="true">IF(C125="","",C125-TODAY())</f>
        <v>333</v>
      </c>
      <c r="E125" s="109" t="n">
        <f aca="false">IF(C125="","",D125+ROW()/100000)</f>
        <v>333.00125</v>
      </c>
      <c r="F125" s="110" t="n">
        <f aca="false">IF('Renda Extra'!$B10="","",'Renda Extra'!$Q10)</f>
        <v>46403</v>
      </c>
      <c r="G125" s="109" t="n">
        <f aca="false">IF(AND(ISNUMBER(C125),ISNUMBER(F125)),C125-F125,"")</f>
        <v>228</v>
      </c>
      <c r="H125" s="109" t="str">
        <f aca="false">IF(ISNUMBER(G125),IF(G125&lt;0,G125+ROW()/100000,""),"")</f>
        <v/>
      </c>
      <c r="I125" s="109"/>
      <c r="J125" s="109"/>
      <c r="K125" s="109"/>
      <c r="L125" s="109"/>
      <c r="M125" s="109"/>
      <c r="N125" s="109"/>
      <c r="O125" s="109"/>
      <c r="P125" s="109" t="str">
        <f aca="false">IF('Cursos IA'!$B10="","",'Cursos IA'!$B10)</f>
        <v>Agentes de IA na Prática (exemplo)</v>
      </c>
    </row>
    <row r="126" customFormat="false" ht="15" hidden="false" customHeight="false" outlineLevel="0" collapsed="false">
      <c r="A126" s="109" t="str">
        <f aca="false">IF('Renda Extra'!$B11="","","Renda Extra")</f>
        <v/>
      </c>
      <c r="B126" s="109" t="str">
        <f aca="false">IF('Renda Extra'!$B11="","",'Renda Extra'!$B11)</f>
        <v/>
      </c>
      <c r="C126" s="110" t="str">
        <f aca="false">IF(OR('Renda Extra'!$B11="",'Renda Extra'!$I11=""),"",'Renda Extra'!$I11)</f>
        <v/>
      </c>
      <c r="D126" s="109" t="str">
        <f aca="true">IF(C126="","",C126-TODAY())</f>
        <v/>
      </c>
      <c r="E126" s="109" t="str">
        <f aca="false">IF(C126="","",D126+ROW()/100000)</f>
        <v/>
      </c>
      <c r="F126" s="110" t="str">
        <f aca="false">IF('Renda Extra'!$B11="","",'Renda Extra'!$Q11)</f>
        <v/>
      </c>
      <c r="G126" s="109" t="str">
        <f aca="false">IF(AND(ISNUMBER(C126),ISNUMBER(F126)),C126-F126,"")</f>
        <v/>
      </c>
      <c r="H126" s="109" t="str">
        <f aca="false">IF(ISNUMBER(G126),IF(G126&lt;0,G126+ROW()/100000,""),"")</f>
        <v/>
      </c>
      <c r="I126" s="109"/>
      <c r="J126" s="109"/>
      <c r="K126" s="109"/>
      <c r="L126" s="109"/>
      <c r="M126" s="109"/>
      <c r="N126" s="109"/>
      <c r="O126" s="109"/>
      <c r="P126" s="109" t="str">
        <f aca="false">IF('Cursos IA'!$B11="","",'Cursos IA'!$B11)</f>
        <v/>
      </c>
    </row>
    <row r="127" customFormat="false" ht="15" hidden="false" customHeight="false" outlineLevel="0" collapsed="false">
      <c r="A127" s="109" t="str">
        <f aca="false">IF('Renda Extra'!$B12="","","Renda Extra")</f>
        <v/>
      </c>
      <c r="B127" s="109" t="str">
        <f aca="false">IF('Renda Extra'!$B12="","",'Renda Extra'!$B12)</f>
        <v/>
      </c>
      <c r="C127" s="110" t="str">
        <f aca="false">IF(OR('Renda Extra'!$B12="",'Renda Extra'!$I12=""),"",'Renda Extra'!$I12)</f>
        <v/>
      </c>
      <c r="D127" s="109" t="str">
        <f aca="true">IF(C127="","",C127-TODAY())</f>
        <v/>
      </c>
      <c r="E127" s="109" t="str">
        <f aca="false">IF(C127="","",D127+ROW()/100000)</f>
        <v/>
      </c>
      <c r="F127" s="110" t="str">
        <f aca="false">IF('Renda Extra'!$B12="","",'Renda Extra'!$Q12)</f>
        <v/>
      </c>
      <c r="G127" s="109" t="str">
        <f aca="false">IF(AND(ISNUMBER(C127),ISNUMBER(F127)),C127-F127,"")</f>
        <v/>
      </c>
      <c r="H127" s="109" t="str">
        <f aca="false">IF(ISNUMBER(G127),IF(G127&lt;0,G127+ROW()/100000,""),"")</f>
        <v/>
      </c>
      <c r="I127" s="109"/>
      <c r="J127" s="109"/>
      <c r="K127" s="109"/>
      <c r="L127" s="109"/>
      <c r="M127" s="109"/>
      <c r="N127" s="109"/>
      <c r="O127" s="109"/>
      <c r="P127" s="109" t="str">
        <f aca="false">IF('Cursos IA'!$B12="","",'Cursos IA'!$B12)</f>
        <v/>
      </c>
    </row>
    <row r="128" customFormat="false" ht="15" hidden="false" customHeight="false" outlineLevel="0" collapsed="false">
      <c r="A128" s="109" t="str">
        <f aca="false">IF('Renda Extra'!$B13="","","Renda Extra")</f>
        <v/>
      </c>
      <c r="B128" s="109" t="str">
        <f aca="false">IF('Renda Extra'!$B13="","",'Renda Extra'!$B13)</f>
        <v/>
      </c>
      <c r="C128" s="110" t="str">
        <f aca="false">IF(OR('Renda Extra'!$B13="",'Renda Extra'!$I13=""),"",'Renda Extra'!$I13)</f>
        <v/>
      </c>
      <c r="D128" s="109" t="str">
        <f aca="true">IF(C128="","",C128-TODAY())</f>
        <v/>
      </c>
      <c r="E128" s="109" t="str">
        <f aca="false">IF(C128="","",D128+ROW()/100000)</f>
        <v/>
      </c>
      <c r="F128" s="110" t="str">
        <f aca="false">IF('Renda Extra'!$B13="","",'Renda Extra'!$Q13)</f>
        <v/>
      </c>
      <c r="G128" s="109" t="str">
        <f aca="false">IF(AND(ISNUMBER(C128),ISNUMBER(F128)),C128-F128,"")</f>
        <v/>
      </c>
      <c r="H128" s="109" t="str">
        <f aca="false">IF(ISNUMBER(G128),IF(G128&lt;0,G128+ROW()/100000,""),"")</f>
        <v/>
      </c>
      <c r="I128" s="109"/>
      <c r="J128" s="109"/>
      <c r="K128" s="109"/>
      <c r="L128" s="109"/>
      <c r="M128" s="109"/>
      <c r="N128" s="109"/>
      <c r="O128" s="109"/>
      <c r="P128" s="109" t="str">
        <f aca="false">IF('Cursos IA'!$B13="","",'Cursos IA'!$B13)</f>
        <v/>
      </c>
    </row>
    <row r="129" customFormat="false" ht="15" hidden="false" customHeight="false" outlineLevel="0" collapsed="false">
      <c r="A129" s="109" t="str">
        <f aca="false">IF('Renda Extra'!$B14="","","Renda Extra")</f>
        <v/>
      </c>
      <c r="B129" s="109" t="str">
        <f aca="false">IF('Renda Extra'!$B14="","",'Renda Extra'!$B14)</f>
        <v/>
      </c>
      <c r="C129" s="110" t="str">
        <f aca="false">IF(OR('Renda Extra'!$B14="",'Renda Extra'!$I14=""),"",'Renda Extra'!$I14)</f>
        <v/>
      </c>
      <c r="D129" s="109" t="str">
        <f aca="true">IF(C129="","",C129-TODAY())</f>
        <v/>
      </c>
      <c r="E129" s="109" t="str">
        <f aca="false">IF(C129="","",D129+ROW()/100000)</f>
        <v/>
      </c>
      <c r="F129" s="110" t="str">
        <f aca="false">IF('Renda Extra'!$B14="","",'Renda Extra'!$Q14)</f>
        <v/>
      </c>
      <c r="G129" s="109" t="str">
        <f aca="false">IF(AND(ISNUMBER(C129),ISNUMBER(F129)),C129-F129,"")</f>
        <v/>
      </c>
      <c r="H129" s="109" t="str">
        <f aca="false">IF(ISNUMBER(G129),IF(G129&lt;0,G129+ROW()/100000,""),"")</f>
        <v/>
      </c>
      <c r="I129" s="109"/>
      <c r="J129" s="109"/>
      <c r="K129" s="109"/>
      <c r="L129" s="109"/>
      <c r="M129" s="109"/>
      <c r="N129" s="109"/>
      <c r="O129" s="109"/>
      <c r="P129" s="109" t="str">
        <f aca="false">IF('Cursos IA'!$B14="","",'Cursos IA'!$B14)</f>
        <v/>
      </c>
    </row>
    <row r="130" customFormat="false" ht="15" hidden="false" customHeight="false" outlineLevel="0" collapsed="false">
      <c r="A130" s="109" t="str">
        <f aca="false">IF('Renda Extra'!$B15="","","Renda Extra")</f>
        <v/>
      </c>
      <c r="B130" s="109" t="str">
        <f aca="false">IF('Renda Extra'!$B15="","",'Renda Extra'!$B15)</f>
        <v/>
      </c>
      <c r="C130" s="110" t="str">
        <f aca="false">IF(OR('Renda Extra'!$B15="",'Renda Extra'!$I15=""),"",'Renda Extra'!$I15)</f>
        <v/>
      </c>
      <c r="D130" s="109" t="str">
        <f aca="true">IF(C130="","",C130-TODAY())</f>
        <v/>
      </c>
      <c r="E130" s="109" t="str">
        <f aca="false">IF(C130="","",D130+ROW()/100000)</f>
        <v/>
      </c>
      <c r="F130" s="110" t="str">
        <f aca="false">IF('Renda Extra'!$B15="","",'Renda Extra'!$Q15)</f>
        <v/>
      </c>
      <c r="G130" s="109" t="str">
        <f aca="false">IF(AND(ISNUMBER(C130),ISNUMBER(F130)),C130-F130,"")</f>
        <v/>
      </c>
      <c r="H130" s="109" t="str">
        <f aca="false">IF(ISNUMBER(G130),IF(G130&lt;0,G130+ROW()/100000,""),"")</f>
        <v/>
      </c>
      <c r="I130" s="109"/>
      <c r="J130" s="109"/>
      <c r="K130" s="109"/>
      <c r="L130" s="109"/>
      <c r="M130" s="109"/>
      <c r="N130" s="109"/>
      <c r="O130" s="109"/>
      <c r="P130" s="109" t="str">
        <f aca="false">IF('Cursos IA'!$B15="","",'Cursos IA'!$B15)</f>
        <v/>
      </c>
    </row>
    <row r="131" customFormat="false" ht="15" hidden="false" customHeight="false" outlineLevel="0" collapsed="false">
      <c r="A131" s="109" t="str">
        <f aca="false">IF('Renda Extra'!$B16="","","Renda Extra")</f>
        <v/>
      </c>
      <c r="B131" s="109" t="str">
        <f aca="false">IF('Renda Extra'!$B16="","",'Renda Extra'!$B16)</f>
        <v/>
      </c>
      <c r="C131" s="110" t="str">
        <f aca="false">IF(OR('Renda Extra'!$B16="",'Renda Extra'!$I16=""),"",'Renda Extra'!$I16)</f>
        <v/>
      </c>
      <c r="D131" s="109" t="str">
        <f aca="true">IF(C131="","",C131-TODAY())</f>
        <v/>
      </c>
      <c r="E131" s="109" t="str">
        <f aca="false">IF(C131="","",D131+ROW()/100000)</f>
        <v/>
      </c>
      <c r="F131" s="110" t="str">
        <f aca="false">IF('Renda Extra'!$B16="","",'Renda Extra'!$Q16)</f>
        <v/>
      </c>
      <c r="G131" s="109" t="str">
        <f aca="false">IF(AND(ISNUMBER(C131),ISNUMBER(F131)),C131-F131,"")</f>
        <v/>
      </c>
      <c r="H131" s="109" t="str">
        <f aca="false">IF(ISNUMBER(G131),IF(G131&lt;0,G131+ROW()/100000,""),"")</f>
        <v/>
      </c>
      <c r="I131" s="109"/>
      <c r="J131" s="109"/>
      <c r="K131" s="109"/>
      <c r="L131" s="109"/>
      <c r="M131" s="109"/>
      <c r="N131" s="109"/>
      <c r="O131" s="109"/>
      <c r="P131" s="109" t="str">
        <f aca="false">IF('Cursos IA'!$B16="","",'Cursos IA'!$B16)</f>
        <v/>
      </c>
    </row>
    <row r="132" customFormat="false" ht="15" hidden="false" customHeight="false" outlineLevel="0" collapsed="false">
      <c r="A132" s="109" t="str">
        <f aca="false">IF('Renda Extra'!$B17="","","Renda Extra")</f>
        <v/>
      </c>
      <c r="B132" s="109" t="str">
        <f aca="false">IF('Renda Extra'!$B17="","",'Renda Extra'!$B17)</f>
        <v/>
      </c>
      <c r="C132" s="110" t="str">
        <f aca="false">IF(OR('Renda Extra'!$B17="",'Renda Extra'!$I17=""),"",'Renda Extra'!$I17)</f>
        <v/>
      </c>
      <c r="D132" s="109" t="str">
        <f aca="true">IF(C132="","",C132-TODAY())</f>
        <v/>
      </c>
      <c r="E132" s="109" t="str">
        <f aca="false">IF(C132="","",D132+ROW()/100000)</f>
        <v/>
      </c>
      <c r="F132" s="110" t="str">
        <f aca="false">IF('Renda Extra'!$B17="","",'Renda Extra'!$Q17)</f>
        <v/>
      </c>
      <c r="G132" s="109" t="str">
        <f aca="false">IF(AND(ISNUMBER(C132),ISNUMBER(F132)),C132-F132,"")</f>
        <v/>
      </c>
      <c r="H132" s="109" t="str">
        <f aca="false">IF(ISNUMBER(G132),IF(G132&lt;0,G132+ROW()/100000,""),"")</f>
        <v/>
      </c>
      <c r="I132" s="109"/>
      <c r="J132" s="109"/>
      <c r="K132" s="109"/>
      <c r="L132" s="109"/>
      <c r="M132" s="109"/>
      <c r="N132" s="109"/>
      <c r="O132" s="109"/>
      <c r="P132" s="109" t="str">
        <f aca="false">IF('Cursos IA'!$B17="","",'Cursos IA'!$B17)</f>
        <v/>
      </c>
    </row>
    <row r="133" customFormat="false" ht="15" hidden="false" customHeight="false" outlineLevel="0" collapsed="false">
      <c r="A133" s="109" t="str">
        <f aca="false">IF('Renda Extra'!$B18="","","Renda Extra")</f>
        <v/>
      </c>
      <c r="B133" s="109" t="str">
        <f aca="false">IF('Renda Extra'!$B18="","",'Renda Extra'!$B18)</f>
        <v/>
      </c>
      <c r="C133" s="110" t="str">
        <f aca="false">IF(OR('Renda Extra'!$B18="",'Renda Extra'!$I18=""),"",'Renda Extra'!$I18)</f>
        <v/>
      </c>
      <c r="D133" s="109" t="str">
        <f aca="true">IF(C133="","",C133-TODAY())</f>
        <v/>
      </c>
      <c r="E133" s="109" t="str">
        <f aca="false">IF(C133="","",D133+ROW()/100000)</f>
        <v/>
      </c>
      <c r="F133" s="110" t="str">
        <f aca="false">IF('Renda Extra'!$B18="","",'Renda Extra'!$Q18)</f>
        <v/>
      </c>
      <c r="G133" s="109" t="str">
        <f aca="false">IF(AND(ISNUMBER(C133),ISNUMBER(F133)),C133-F133,"")</f>
        <v/>
      </c>
      <c r="H133" s="109" t="str">
        <f aca="false">IF(ISNUMBER(G133),IF(G133&lt;0,G133+ROW()/100000,""),"")</f>
        <v/>
      </c>
      <c r="I133" s="109"/>
      <c r="J133" s="109"/>
      <c r="K133" s="109"/>
      <c r="L133" s="109"/>
      <c r="M133" s="109"/>
      <c r="N133" s="109"/>
      <c r="O133" s="109"/>
      <c r="P133" s="109" t="str">
        <f aca="false">IF('Cursos IA'!$B18="","",'Cursos IA'!$B18)</f>
        <v/>
      </c>
    </row>
    <row r="134" customFormat="false" ht="15" hidden="false" customHeight="false" outlineLevel="0" collapsed="false">
      <c r="A134" s="109" t="str">
        <f aca="false">IF('Renda Extra'!$B19="","","Renda Extra")</f>
        <v/>
      </c>
      <c r="B134" s="109" t="str">
        <f aca="false">IF('Renda Extra'!$B19="","",'Renda Extra'!$B19)</f>
        <v/>
      </c>
      <c r="C134" s="110" t="str">
        <f aca="false">IF(OR('Renda Extra'!$B19="",'Renda Extra'!$I19=""),"",'Renda Extra'!$I19)</f>
        <v/>
      </c>
      <c r="D134" s="109" t="str">
        <f aca="true">IF(C134="","",C134-TODAY())</f>
        <v/>
      </c>
      <c r="E134" s="109" t="str">
        <f aca="false">IF(C134="","",D134+ROW()/100000)</f>
        <v/>
      </c>
      <c r="F134" s="110" t="str">
        <f aca="false">IF('Renda Extra'!$B19="","",'Renda Extra'!$Q19)</f>
        <v/>
      </c>
      <c r="G134" s="109" t="str">
        <f aca="false">IF(AND(ISNUMBER(C134),ISNUMBER(F134)),C134-F134,"")</f>
        <v/>
      </c>
      <c r="H134" s="109" t="str">
        <f aca="false">IF(ISNUMBER(G134),IF(G134&lt;0,G134+ROW()/100000,""),"")</f>
        <v/>
      </c>
      <c r="I134" s="109"/>
      <c r="J134" s="109"/>
      <c r="K134" s="109"/>
      <c r="L134" s="109"/>
      <c r="M134" s="109"/>
      <c r="N134" s="109"/>
      <c r="O134" s="109"/>
      <c r="P134" s="109" t="str">
        <f aca="false">IF('Cursos IA'!$B19="","",'Cursos IA'!$B19)</f>
        <v/>
      </c>
    </row>
    <row r="135" customFormat="false" ht="15" hidden="false" customHeight="false" outlineLevel="0" collapsed="false">
      <c r="A135" s="109" t="str">
        <f aca="false">IF('Renda Extra'!$B20="","","Renda Extra")</f>
        <v/>
      </c>
      <c r="B135" s="109" t="str">
        <f aca="false">IF('Renda Extra'!$B20="","",'Renda Extra'!$B20)</f>
        <v/>
      </c>
      <c r="C135" s="110" t="str">
        <f aca="false">IF(OR('Renda Extra'!$B20="",'Renda Extra'!$I20=""),"",'Renda Extra'!$I20)</f>
        <v/>
      </c>
      <c r="D135" s="109" t="str">
        <f aca="true">IF(C135="","",C135-TODAY())</f>
        <v/>
      </c>
      <c r="E135" s="109" t="str">
        <f aca="false">IF(C135="","",D135+ROW()/100000)</f>
        <v/>
      </c>
      <c r="F135" s="110" t="str">
        <f aca="false">IF('Renda Extra'!$B20="","",'Renda Extra'!$Q20)</f>
        <v/>
      </c>
      <c r="G135" s="109" t="str">
        <f aca="false">IF(AND(ISNUMBER(C135),ISNUMBER(F135)),C135-F135,"")</f>
        <v/>
      </c>
      <c r="H135" s="109" t="str">
        <f aca="false">IF(ISNUMBER(G135),IF(G135&lt;0,G135+ROW()/100000,""),"")</f>
        <v/>
      </c>
      <c r="I135" s="109"/>
      <c r="J135" s="109"/>
      <c r="K135" s="109"/>
      <c r="L135" s="109"/>
      <c r="M135" s="109"/>
      <c r="N135" s="109"/>
      <c r="O135" s="109"/>
      <c r="P135" s="109" t="str">
        <f aca="false">IF('Cursos IA'!$B20="","",'Cursos IA'!$B20)</f>
        <v/>
      </c>
    </row>
    <row r="136" customFormat="false" ht="15" hidden="false" customHeight="false" outlineLevel="0" collapsed="false">
      <c r="A136" s="109" t="str">
        <f aca="false">IF('Renda Extra'!$B21="","","Renda Extra")</f>
        <v/>
      </c>
      <c r="B136" s="109" t="str">
        <f aca="false">IF('Renda Extra'!$B21="","",'Renda Extra'!$B21)</f>
        <v/>
      </c>
      <c r="C136" s="110" t="str">
        <f aca="false">IF(OR('Renda Extra'!$B21="",'Renda Extra'!$I21=""),"",'Renda Extra'!$I21)</f>
        <v/>
      </c>
      <c r="D136" s="109" t="str">
        <f aca="true">IF(C136="","",C136-TODAY())</f>
        <v/>
      </c>
      <c r="E136" s="109" t="str">
        <f aca="false">IF(C136="","",D136+ROW()/100000)</f>
        <v/>
      </c>
      <c r="F136" s="110" t="str">
        <f aca="false">IF('Renda Extra'!$B21="","",'Renda Extra'!$Q21)</f>
        <v/>
      </c>
      <c r="G136" s="109" t="str">
        <f aca="false">IF(AND(ISNUMBER(C136),ISNUMBER(F136)),C136-F136,"")</f>
        <v/>
      </c>
      <c r="H136" s="109" t="str">
        <f aca="false">IF(ISNUMBER(G136),IF(G136&lt;0,G136+ROW()/100000,""),"")</f>
        <v/>
      </c>
      <c r="I136" s="109"/>
      <c r="J136" s="109"/>
      <c r="K136" s="109"/>
      <c r="L136" s="109"/>
      <c r="M136" s="109"/>
      <c r="N136" s="109"/>
      <c r="O136" s="109"/>
      <c r="P136" s="109" t="str">
        <f aca="false">IF('Cursos IA'!$B21="","",'Cursos IA'!$B21)</f>
        <v/>
      </c>
    </row>
    <row r="137" customFormat="false" ht="15" hidden="false" customHeight="false" outlineLevel="0" collapsed="false">
      <c r="A137" s="109" t="str">
        <f aca="false">IF('Renda Extra'!$B22="","","Renda Extra")</f>
        <v/>
      </c>
      <c r="B137" s="109" t="str">
        <f aca="false">IF('Renda Extra'!$B22="","",'Renda Extra'!$B22)</f>
        <v/>
      </c>
      <c r="C137" s="110" t="str">
        <f aca="false">IF(OR('Renda Extra'!$B22="",'Renda Extra'!$I22=""),"",'Renda Extra'!$I22)</f>
        <v/>
      </c>
      <c r="D137" s="109" t="str">
        <f aca="true">IF(C137="","",C137-TODAY())</f>
        <v/>
      </c>
      <c r="E137" s="109" t="str">
        <f aca="false">IF(C137="","",D137+ROW()/100000)</f>
        <v/>
      </c>
      <c r="F137" s="110" t="str">
        <f aca="false">IF('Renda Extra'!$B22="","",'Renda Extra'!$Q22)</f>
        <v/>
      </c>
      <c r="G137" s="109" t="str">
        <f aca="false">IF(AND(ISNUMBER(C137),ISNUMBER(F137)),C137-F137,"")</f>
        <v/>
      </c>
      <c r="H137" s="109" t="str">
        <f aca="false">IF(ISNUMBER(G137),IF(G137&lt;0,G137+ROW()/100000,""),"")</f>
        <v/>
      </c>
      <c r="I137" s="109"/>
      <c r="J137" s="109"/>
      <c r="K137" s="109"/>
      <c r="L137" s="109"/>
      <c r="M137" s="109"/>
      <c r="N137" s="109"/>
      <c r="O137" s="109"/>
      <c r="P137" s="109" t="str">
        <f aca="false">IF('Cursos IA'!$B22="","",'Cursos IA'!$B22)</f>
        <v/>
      </c>
    </row>
    <row r="138" customFormat="false" ht="15" hidden="false" customHeight="false" outlineLevel="0" collapsed="false">
      <c r="A138" s="109" t="str">
        <f aca="false">IF('Renda Extra'!$B23="","","Renda Extra")</f>
        <v/>
      </c>
      <c r="B138" s="109" t="str">
        <f aca="false">IF('Renda Extra'!$B23="","",'Renda Extra'!$B23)</f>
        <v/>
      </c>
      <c r="C138" s="110" t="str">
        <f aca="false">IF(OR('Renda Extra'!$B23="",'Renda Extra'!$I23=""),"",'Renda Extra'!$I23)</f>
        <v/>
      </c>
      <c r="D138" s="109" t="str">
        <f aca="true">IF(C138="","",C138-TODAY())</f>
        <v/>
      </c>
      <c r="E138" s="109" t="str">
        <f aca="false">IF(C138="","",D138+ROW()/100000)</f>
        <v/>
      </c>
      <c r="F138" s="110" t="str">
        <f aca="false">IF('Renda Extra'!$B23="","",'Renda Extra'!$Q23)</f>
        <v/>
      </c>
      <c r="G138" s="109" t="str">
        <f aca="false">IF(AND(ISNUMBER(C138),ISNUMBER(F138)),C138-F138,"")</f>
        <v/>
      </c>
      <c r="H138" s="109" t="str">
        <f aca="false">IF(ISNUMBER(G138),IF(G138&lt;0,G138+ROW()/100000,""),"")</f>
        <v/>
      </c>
      <c r="I138" s="109"/>
      <c r="J138" s="109"/>
      <c r="K138" s="109"/>
      <c r="L138" s="109"/>
      <c r="M138" s="109"/>
      <c r="N138" s="109"/>
      <c r="O138" s="109"/>
      <c r="P138" s="109" t="str">
        <f aca="false">IF('Cursos IA'!$B23="","",'Cursos IA'!$B23)</f>
        <v/>
      </c>
    </row>
    <row r="139" customFormat="false" ht="15" hidden="false" customHeight="false" outlineLevel="0" collapsed="false">
      <c r="A139" s="109" t="str">
        <f aca="false">IF('Renda Extra'!$B24="","","Renda Extra")</f>
        <v/>
      </c>
      <c r="B139" s="109" t="str">
        <f aca="false">IF('Renda Extra'!$B24="","",'Renda Extra'!$B24)</f>
        <v/>
      </c>
      <c r="C139" s="110" t="str">
        <f aca="false">IF(OR('Renda Extra'!$B24="",'Renda Extra'!$I24=""),"",'Renda Extra'!$I24)</f>
        <v/>
      </c>
      <c r="D139" s="109" t="str">
        <f aca="true">IF(C139="","",C139-TODAY())</f>
        <v/>
      </c>
      <c r="E139" s="109" t="str">
        <f aca="false">IF(C139="","",D139+ROW()/100000)</f>
        <v/>
      </c>
      <c r="F139" s="110" t="str">
        <f aca="false">IF('Renda Extra'!$B24="","",'Renda Extra'!$Q24)</f>
        <v/>
      </c>
      <c r="G139" s="109" t="str">
        <f aca="false">IF(AND(ISNUMBER(C139),ISNUMBER(F139)),C139-F139,"")</f>
        <v/>
      </c>
      <c r="H139" s="109" t="str">
        <f aca="false">IF(ISNUMBER(G139),IF(G139&lt;0,G139+ROW()/100000,""),"")</f>
        <v/>
      </c>
      <c r="I139" s="109"/>
      <c r="J139" s="109"/>
      <c r="K139" s="109"/>
      <c r="L139" s="109"/>
      <c r="M139" s="109"/>
      <c r="N139" s="109"/>
      <c r="O139" s="109"/>
      <c r="P139" s="109" t="str">
        <f aca="false">IF('Cursos IA'!$B24="","",'Cursos IA'!$B24)</f>
        <v/>
      </c>
    </row>
    <row r="140" customFormat="false" ht="15" hidden="false" customHeight="false" outlineLevel="0" collapsed="false">
      <c r="A140" s="109" t="str">
        <f aca="false">IF('Renda Extra'!$B25="","","Renda Extra")</f>
        <v/>
      </c>
      <c r="B140" s="109" t="str">
        <f aca="false">IF('Renda Extra'!$B25="","",'Renda Extra'!$B25)</f>
        <v/>
      </c>
      <c r="C140" s="110" t="str">
        <f aca="false">IF(OR('Renda Extra'!$B25="",'Renda Extra'!$I25=""),"",'Renda Extra'!$I25)</f>
        <v/>
      </c>
      <c r="D140" s="109" t="str">
        <f aca="true">IF(C140="","",C140-TODAY())</f>
        <v/>
      </c>
      <c r="E140" s="109" t="str">
        <f aca="false">IF(C140="","",D140+ROW()/100000)</f>
        <v/>
      </c>
      <c r="F140" s="110" t="str">
        <f aca="false">IF('Renda Extra'!$B25="","",'Renda Extra'!$Q25)</f>
        <v/>
      </c>
      <c r="G140" s="109" t="str">
        <f aca="false">IF(AND(ISNUMBER(C140),ISNUMBER(F140)),C140-F140,"")</f>
        <v/>
      </c>
      <c r="H140" s="109" t="str">
        <f aca="false">IF(ISNUMBER(G140),IF(G140&lt;0,G140+ROW()/100000,""),"")</f>
        <v/>
      </c>
      <c r="I140" s="109"/>
      <c r="J140" s="109"/>
      <c r="K140" s="109"/>
      <c r="L140" s="109"/>
      <c r="M140" s="109"/>
      <c r="N140" s="109"/>
      <c r="O140" s="109"/>
      <c r="P140" s="109" t="str">
        <f aca="false">IF('Cursos IA'!$B25="","",'Cursos IA'!$B25)</f>
        <v/>
      </c>
    </row>
    <row r="141" customFormat="false" ht="15" hidden="false" customHeight="false" outlineLevel="0" collapsed="false">
      <c r="A141" s="109" t="str">
        <f aca="false">IF('Renda Extra'!$B26="","","Renda Extra")</f>
        <v/>
      </c>
      <c r="B141" s="109" t="str">
        <f aca="false">IF('Renda Extra'!$B26="","",'Renda Extra'!$B26)</f>
        <v/>
      </c>
      <c r="C141" s="110" t="str">
        <f aca="false">IF(OR('Renda Extra'!$B26="",'Renda Extra'!$I26=""),"",'Renda Extra'!$I26)</f>
        <v/>
      </c>
      <c r="D141" s="109" t="str">
        <f aca="true">IF(C141="","",C141-TODAY())</f>
        <v/>
      </c>
      <c r="E141" s="109" t="str">
        <f aca="false">IF(C141="","",D141+ROW()/100000)</f>
        <v/>
      </c>
      <c r="F141" s="110" t="str">
        <f aca="false">IF('Renda Extra'!$B26="","",'Renda Extra'!$Q26)</f>
        <v/>
      </c>
      <c r="G141" s="109" t="str">
        <f aca="false">IF(AND(ISNUMBER(C141),ISNUMBER(F141)),C141-F141,"")</f>
        <v/>
      </c>
      <c r="H141" s="109" t="str">
        <f aca="false">IF(ISNUMBER(G141),IF(G141&lt;0,G141+ROW()/100000,""),"")</f>
        <v/>
      </c>
      <c r="I141" s="109"/>
      <c r="J141" s="109"/>
      <c r="K141" s="109"/>
      <c r="L141" s="109"/>
      <c r="M141" s="109"/>
      <c r="N141" s="109"/>
      <c r="O141" s="109"/>
      <c r="P141" s="109" t="str">
        <f aca="false">IF('Cursos IA'!$B26="","",'Cursos IA'!$B26)</f>
        <v/>
      </c>
    </row>
    <row r="142" customFormat="false" ht="15" hidden="false" customHeight="false" outlineLevel="0" collapsed="false">
      <c r="A142" s="109" t="str">
        <f aca="false">IF('Renda Extra'!$B27="","","Renda Extra")</f>
        <v/>
      </c>
      <c r="B142" s="109" t="str">
        <f aca="false">IF('Renda Extra'!$B27="","",'Renda Extra'!$B27)</f>
        <v/>
      </c>
      <c r="C142" s="110" t="str">
        <f aca="false">IF(OR('Renda Extra'!$B27="",'Renda Extra'!$I27=""),"",'Renda Extra'!$I27)</f>
        <v/>
      </c>
      <c r="D142" s="109" t="str">
        <f aca="true">IF(C142="","",C142-TODAY())</f>
        <v/>
      </c>
      <c r="E142" s="109" t="str">
        <f aca="false">IF(C142="","",D142+ROW()/100000)</f>
        <v/>
      </c>
      <c r="F142" s="110" t="str">
        <f aca="false">IF('Renda Extra'!$B27="","",'Renda Extra'!$Q27)</f>
        <v/>
      </c>
      <c r="G142" s="109" t="str">
        <f aca="false">IF(AND(ISNUMBER(C142),ISNUMBER(F142)),C142-F142,"")</f>
        <v/>
      </c>
      <c r="H142" s="109" t="str">
        <f aca="false">IF(ISNUMBER(G142),IF(G142&lt;0,G142+ROW()/100000,""),"")</f>
        <v/>
      </c>
      <c r="I142" s="109"/>
      <c r="J142" s="109"/>
      <c r="K142" s="109"/>
      <c r="L142" s="109"/>
      <c r="M142" s="109"/>
      <c r="N142" s="109"/>
      <c r="O142" s="109"/>
      <c r="P142" s="109" t="str">
        <f aca="false">IF('Cursos IA'!$B27="","",'Cursos IA'!$B27)</f>
        <v/>
      </c>
    </row>
    <row r="143" customFormat="false" ht="15" hidden="false" customHeight="false" outlineLevel="0" collapsed="false">
      <c r="A143" s="109" t="str">
        <f aca="false">IF('Renda Extra'!$B28="","","Renda Extra")</f>
        <v/>
      </c>
      <c r="B143" s="109" t="str">
        <f aca="false">IF('Renda Extra'!$B28="","",'Renda Extra'!$B28)</f>
        <v/>
      </c>
      <c r="C143" s="110" t="str">
        <f aca="false">IF(OR('Renda Extra'!$B28="",'Renda Extra'!$I28=""),"",'Renda Extra'!$I28)</f>
        <v/>
      </c>
      <c r="D143" s="109" t="str">
        <f aca="true">IF(C143="","",C143-TODAY())</f>
        <v/>
      </c>
      <c r="E143" s="109" t="str">
        <f aca="false">IF(C143="","",D143+ROW()/100000)</f>
        <v/>
      </c>
      <c r="F143" s="110" t="str">
        <f aca="false">IF('Renda Extra'!$B28="","",'Renda Extra'!$Q28)</f>
        <v/>
      </c>
      <c r="G143" s="109" t="str">
        <f aca="false">IF(AND(ISNUMBER(C143),ISNUMBER(F143)),C143-F143,"")</f>
        <v/>
      </c>
      <c r="H143" s="109" t="str">
        <f aca="false">IF(ISNUMBER(G143),IF(G143&lt;0,G143+ROW()/100000,""),"")</f>
        <v/>
      </c>
      <c r="I143" s="109"/>
      <c r="J143" s="109"/>
      <c r="K143" s="109"/>
      <c r="L143" s="109"/>
      <c r="M143" s="109"/>
      <c r="N143" s="109"/>
      <c r="O143" s="109"/>
      <c r="P143" s="109" t="str">
        <f aca="false">IF('Cursos IA'!$B28="","",'Cursos IA'!$B28)</f>
        <v/>
      </c>
    </row>
    <row r="144" customFormat="false" ht="15" hidden="false" customHeight="false" outlineLevel="0" collapsed="false">
      <c r="A144" s="109" t="str">
        <f aca="false">IF('Renda Extra'!$B29="","","Renda Extra")</f>
        <v/>
      </c>
      <c r="B144" s="109" t="str">
        <f aca="false">IF('Renda Extra'!$B29="","",'Renda Extra'!$B29)</f>
        <v/>
      </c>
      <c r="C144" s="110" t="str">
        <f aca="false">IF(OR('Renda Extra'!$B29="",'Renda Extra'!$I29=""),"",'Renda Extra'!$I29)</f>
        <v/>
      </c>
      <c r="D144" s="109" t="str">
        <f aca="true">IF(C144="","",C144-TODAY())</f>
        <v/>
      </c>
      <c r="E144" s="109" t="str">
        <f aca="false">IF(C144="","",D144+ROW()/100000)</f>
        <v/>
      </c>
      <c r="F144" s="110" t="str">
        <f aca="false">IF('Renda Extra'!$B29="","",'Renda Extra'!$Q29)</f>
        <v/>
      </c>
      <c r="G144" s="109" t="str">
        <f aca="false">IF(AND(ISNUMBER(C144),ISNUMBER(F144)),C144-F144,"")</f>
        <v/>
      </c>
      <c r="H144" s="109" t="str">
        <f aca="false">IF(ISNUMBER(G144),IF(G144&lt;0,G144+ROW()/100000,""),"")</f>
        <v/>
      </c>
      <c r="I144" s="109"/>
      <c r="J144" s="109"/>
      <c r="K144" s="109"/>
      <c r="L144" s="109"/>
      <c r="M144" s="109"/>
      <c r="N144" s="109"/>
      <c r="O144" s="109"/>
      <c r="P144" s="109" t="str">
        <f aca="false">IF('Cursos IA'!$B29="","",'Cursos IA'!$B29)</f>
        <v/>
      </c>
    </row>
    <row r="145" customFormat="false" ht="15" hidden="false" customHeight="false" outlineLevel="0" collapsed="false">
      <c r="A145" s="109" t="str">
        <f aca="false">IF('Renda Extra'!$B30="","","Renda Extra")</f>
        <v/>
      </c>
      <c r="B145" s="109" t="str">
        <f aca="false">IF('Renda Extra'!$B30="","",'Renda Extra'!$B30)</f>
        <v/>
      </c>
      <c r="C145" s="110" t="str">
        <f aca="false">IF(OR('Renda Extra'!$B30="",'Renda Extra'!$I30=""),"",'Renda Extra'!$I30)</f>
        <v/>
      </c>
      <c r="D145" s="109" t="str">
        <f aca="true">IF(C145="","",C145-TODAY())</f>
        <v/>
      </c>
      <c r="E145" s="109" t="str">
        <f aca="false">IF(C145="","",D145+ROW()/100000)</f>
        <v/>
      </c>
      <c r="F145" s="110" t="str">
        <f aca="false">IF('Renda Extra'!$B30="","",'Renda Extra'!$Q30)</f>
        <v/>
      </c>
      <c r="G145" s="109" t="str">
        <f aca="false">IF(AND(ISNUMBER(C145),ISNUMBER(F145)),C145-F145,"")</f>
        <v/>
      </c>
      <c r="H145" s="109" t="str">
        <f aca="false">IF(ISNUMBER(G145),IF(G145&lt;0,G145+ROW()/100000,""),"")</f>
        <v/>
      </c>
      <c r="I145" s="109"/>
      <c r="J145" s="109"/>
      <c r="K145" s="109"/>
      <c r="L145" s="109"/>
      <c r="M145" s="109"/>
      <c r="N145" s="109"/>
      <c r="O145" s="109"/>
      <c r="P145" s="109" t="str">
        <f aca="false">IF('Cursos IA'!$B30="","",'Cursos IA'!$B30)</f>
        <v/>
      </c>
    </row>
    <row r="146" customFormat="false" ht="15" hidden="false" customHeight="false" outlineLevel="0" collapsed="false">
      <c r="A146" s="109" t="str">
        <f aca="false">IF('Renda Extra'!$B31="","","Renda Extra")</f>
        <v/>
      </c>
      <c r="B146" s="109" t="str">
        <f aca="false">IF('Renda Extra'!$B31="","",'Renda Extra'!$B31)</f>
        <v/>
      </c>
      <c r="C146" s="110" t="str">
        <f aca="false">IF(OR('Renda Extra'!$B31="",'Renda Extra'!$I31=""),"",'Renda Extra'!$I31)</f>
        <v/>
      </c>
      <c r="D146" s="109" t="str">
        <f aca="true">IF(C146="","",C146-TODAY())</f>
        <v/>
      </c>
      <c r="E146" s="109" t="str">
        <f aca="false">IF(C146="","",D146+ROW()/100000)</f>
        <v/>
      </c>
      <c r="F146" s="110" t="str">
        <f aca="false">IF('Renda Extra'!$B31="","",'Renda Extra'!$Q31)</f>
        <v/>
      </c>
      <c r="G146" s="109" t="str">
        <f aca="false">IF(AND(ISNUMBER(C146),ISNUMBER(F146)),C146-F146,"")</f>
        <v/>
      </c>
      <c r="H146" s="109" t="str">
        <f aca="false">IF(ISNUMBER(G146),IF(G146&lt;0,G146+ROW()/100000,""),"")</f>
        <v/>
      </c>
      <c r="I146" s="109"/>
      <c r="J146" s="109"/>
      <c r="K146" s="109"/>
      <c r="L146" s="109"/>
      <c r="M146" s="109"/>
      <c r="N146" s="109"/>
      <c r="O146" s="109"/>
      <c r="P146" s="109" t="str">
        <f aca="false">IF('Cursos IA'!$B31="","",'Cursos IA'!$B31)</f>
        <v/>
      </c>
    </row>
    <row r="147" customFormat="false" ht="15" hidden="false" customHeight="false" outlineLevel="0" collapsed="false">
      <c r="A147" s="109" t="str">
        <f aca="false">IF('Renda Extra'!$B32="","","Renda Extra")</f>
        <v/>
      </c>
      <c r="B147" s="109" t="str">
        <f aca="false">IF('Renda Extra'!$B32="","",'Renda Extra'!$B32)</f>
        <v/>
      </c>
      <c r="C147" s="110" t="str">
        <f aca="false">IF(OR('Renda Extra'!$B32="",'Renda Extra'!$I32=""),"",'Renda Extra'!$I32)</f>
        <v/>
      </c>
      <c r="D147" s="109" t="str">
        <f aca="true">IF(C147="","",C147-TODAY())</f>
        <v/>
      </c>
      <c r="E147" s="109" t="str">
        <f aca="false">IF(C147="","",D147+ROW()/100000)</f>
        <v/>
      </c>
      <c r="F147" s="110" t="str">
        <f aca="false">IF('Renda Extra'!$B32="","",'Renda Extra'!$Q32)</f>
        <v/>
      </c>
      <c r="G147" s="109" t="str">
        <f aca="false">IF(AND(ISNUMBER(C147),ISNUMBER(F147)),C147-F147,"")</f>
        <v/>
      </c>
      <c r="H147" s="109" t="str">
        <f aca="false">IF(ISNUMBER(G147),IF(G147&lt;0,G147+ROW()/100000,""),"")</f>
        <v/>
      </c>
      <c r="I147" s="109"/>
      <c r="J147" s="109"/>
      <c r="K147" s="109"/>
      <c r="L147" s="109"/>
      <c r="M147" s="109"/>
      <c r="N147" s="109"/>
      <c r="O147" s="109"/>
      <c r="P147" s="109" t="str">
        <f aca="false">IF('Cursos IA'!$B32="","",'Cursos IA'!$B32)</f>
        <v/>
      </c>
    </row>
    <row r="148" customFormat="false" ht="15" hidden="false" customHeight="false" outlineLevel="0" collapsed="false">
      <c r="A148" s="109" t="str">
        <f aca="false">IF('Renda Extra'!$B33="","","Renda Extra")</f>
        <v/>
      </c>
      <c r="B148" s="109" t="str">
        <f aca="false">IF('Renda Extra'!$B33="","",'Renda Extra'!$B33)</f>
        <v/>
      </c>
      <c r="C148" s="110" t="str">
        <f aca="false">IF(OR('Renda Extra'!$B33="",'Renda Extra'!$I33=""),"",'Renda Extra'!$I33)</f>
        <v/>
      </c>
      <c r="D148" s="109" t="str">
        <f aca="true">IF(C148="","",C148-TODAY())</f>
        <v/>
      </c>
      <c r="E148" s="109" t="str">
        <f aca="false">IF(C148="","",D148+ROW()/100000)</f>
        <v/>
      </c>
      <c r="F148" s="110" t="str">
        <f aca="false">IF('Renda Extra'!$B33="","",'Renda Extra'!$Q33)</f>
        <v/>
      </c>
      <c r="G148" s="109" t="str">
        <f aca="false">IF(AND(ISNUMBER(C148),ISNUMBER(F148)),C148-F148,"")</f>
        <v/>
      </c>
      <c r="H148" s="109" t="str">
        <f aca="false">IF(ISNUMBER(G148),IF(G148&lt;0,G148+ROW()/100000,""),"")</f>
        <v/>
      </c>
      <c r="I148" s="109"/>
      <c r="J148" s="109"/>
      <c r="K148" s="109"/>
      <c r="L148" s="109"/>
      <c r="M148" s="109"/>
      <c r="N148" s="109"/>
      <c r="O148" s="109"/>
      <c r="P148" s="109" t="str">
        <f aca="false">IF('Cursos IA'!$B33="","",'Cursos IA'!$B33)</f>
        <v/>
      </c>
    </row>
    <row r="149" customFormat="false" ht="15" hidden="false" customHeight="false" outlineLevel="0" collapsed="false">
      <c r="A149" s="109" t="str">
        <f aca="false">IF('Renda Extra'!$B34="","","Renda Extra")</f>
        <v/>
      </c>
      <c r="B149" s="109" t="str">
        <f aca="false">IF('Renda Extra'!$B34="","",'Renda Extra'!$B34)</f>
        <v/>
      </c>
      <c r="C149" s="110" t="str">
        <f aca="false">IF(OR('Renda Extra'!$B34="",'Renda Extra'!$I34=""),"",'Renda Extra'!$I34)</f>
        <v/>
      </c>
      <c r="D149" s="109" t="str">
        <f aca="true">IF(C149="","",C149-TODAY())</f>
        <v/>
      </c>
      <c r="E149" s="109" t="str">
        <f aca="false">IF(C149="","",D149+ROW()/100000)</f>
        <v/>
      </c>
      <c r="F149" s="110" t="str">
        <f aca="false">IF('Renda Extra'!$B34="","",'Renda Extra'!$Q34)</f>
        <v/>
      </c>
      <c r="G149" s="109" t="str">
        <f aca="false">IF(AND(ISNUMBER(C149),ISNUMBER(F149)),C149-F149,"")</f>
        <v/>
      </c>
      <c r="H149" s="109" t="str">
        <f aca="false">IF(ISNUMBER(G149),IF(G149&lt;0,G149+ROW()/100000,""),"")</f>
        <v/>
      </c>
      <c r="I149" s="109"/>
      <c r="J149" s="109"/>
      <c r="K149" s="109"/>
      <c r="L149" s="109"/>
      <c r="M149" s="109"/>
      <c r="N149" s="109"/>
      <c r="O149" s="109"/>
      <c r="P149" s="109" t="str">
        <f aca="false">IF('Cursos IA'!$B34="","",'Cursos IA'!$B34)</f>
        <v/>
      </c>
    </row>
    <row r="150" customFormat="false" ht="15" hidden="false" customHeight="false" outlineLevel="0" collapsed="false">
      <c r="A150" s="109" t="str">
        <f aca="false">IF('Renda Extra'!$B35="","","Renda Extra")</f>
        <v/>
      </c>
      <c r="B150" s="109" t="str">
        <f aca="false">IF('Renda Extra'!$B35="","",'Renda Extra'!$B35)</f>
        <v/>
      </c>
      <c r="C150" s="110" t="str">
        <f aca="false">IF(OR('Renda Extra'!$B35="",'Renda Extra'!$I35=""),"",'Renda Extra'!$I35)</f>
        <v/>
      </c>
      <c r="D150" s="109" t="str">
        <f aca="true">IF(C150="","",C150-TODAY())</f>
        <v/>
      </c>
      <c r="E150" s="109" t="str">
        <f aca="false">IF(C150="","",D150+ROW()/100000)</f>
        <v/>
      </c>
      <c r="F150" s="110" t="str">
        <f aca="false">IF('Renda Extra'!$B35="","",'Renda Extra'!$Q35)</f>
        <v/>
      </c>
      <c r="G150" s="109" t="str">
        <f aca="false">IF(AND(ISNUMBER(C150),ISNUMBER(F150)),C150-F150,"")</f>
        <v/>
      </c>
      <c r="H150" s="109" t="str">
        <f aca="false">IF(ISNUMBER(G150),IF(G150&lt;0,G150+ROW()/100000,""),"")</f>
        <v/>
      </c>
      <c r="I150" s="109"/>
      <c r="J150" s="109"/>
      <c r="K150" s="109"/>
      <c r="L150" s="109"/>
      <c r="M150" s="109"/>
      <c r="N150" s="109"/>
      <c r="O150" s="109"/>
      <c r="P150" s="109" t="str">
        <f aca="false">IF('Cursos IA'!$B35="","",'Cursos IA'!$B35)</f>
        <v/>
      </c>
    </row>
    <row r="151" customFormat="false" ht="15" hidden="false" customHeight="false" outlineLevel="0" collapsed="false">
      <c r="A151" s="109" t="str">
        <f aca="false">IF('Renda Extra'!$B36="","","Renda Extra")</f>
        <v/>
      </c>
      <c r="B151" s="109" t="str">
        <f aca="false">IF('Renda Extra'!$B36="","",'Renda Extra'!$B36)</f>
        <v/>
      </c>
      <c r="C151" s="110" t="str">
        <f aca="false">IF(OR('Renda Extra'!$B36="",'Renda Extra'!$I36=""),"",'Renda Extra'!$I36)</f>
        <v/>
      </c>
      <c r="D151" s="109" t="str">
        <f aca="true">IF(C151="","",C151-TODAY())</f>
        <v/>
      </c>
      <c r="E151" s="109" t="str">
        <f aca="false">IF(C151="","",D151+ROW()/100000)</f>
        <v/>
      </c>
      <c r="F151" s="110" t="str">
        <f aca="false">IF('Renda Extra'!$B36="","",'Renda Extra'!$Q36)</f>
        <v/>
      </c>
      <c r="G151" s="109" t="str">
        <f aca="false">IF(AND(ISNUMBER(C151),ISNUMBER(F151)),C151-F151,"")</f>
        <v/>
      </c>
      <c r="H151" s="109" t="str">
        <f aca="false">IF(ISNUMBER(G151),IF(G151&lt;0,G151+ROW()/100000,""),"")</f>
        <v/>
      </c>
      <c r="I151" s="109"/>
      <c r="J151" s="109"/>
      <c r="K151" s="109"/>
      <c r="L151" s="109"/>
      <c r="M151" s="109"/>
      <c r="N151" s="109"/>
      <c r="O151" s="109"/>
      <c r="P151" s="109" t="str">
        <f aca="false">IF('Cursos IA'!$B36="","",'Cursos IA'!$B36)</f>
        <v/>
      </c>
    </row>
    <row r="152" customFormat="false" ht="15" hidden="false" customHeight="false" outlineLevel="0" collapsed="false">
      <c r="A152" s="109" t="str">
        <f aca="false">IF('Renda Extra'!$B37="","","Renda Extra")</f>
        <v/>
      </c>
      <c r="B152" s="109" t="str">
        <f aca="false">IF('Renda Extra'!$B37="","",'Renda Extra'!$B37)</f>
        <v/>
      </c>
      <c r="C152" s="110" t="str">
        <f aca="false">IF(OR('Renda Extra'!$B37="",'Renda Extra'!$I37=""),"",'Renda Extra'!$I37)</f>
        <v/>
      </c>
      <c r="D152" s="109" t="str">
        <f aca="true">IF(C152="","",C152-TODAY())</f>
        <v/>
      </c>
      <c r="E152" s="109" t="str">
        <f aca="false">IF(C152="","",D152+ROW()/100000)</f>
        <v/>
      </c>
      <c r="F152" s="110" t="str">
        <f aca="false">IF('Renda Extra'!$B37="","",'Renda Extra'!$Q37)</f>
        <v/>
      </c>
      <c r="G152" s="109" t="str">
        <f aca="false">IF(AND(ISNUMBER(C152),ISNUMBER(F152)),C152-F152,"")</f>
        <v/>
      </c>
      <c r="H152" s="109" t="str">
        <f aca="false">IF(ISNUMBER(G152),IF(G152&lt;0,G152+ROW()/100000,""),"")</f>
        <v/>
      </c>
      <c r="I152" s="109"/>
      <c r="J152" s="109"/>
      <c r="K152" s="109"/>
      <c r="L152" s="109"/>
      <c r="M152" s="109"/>
      <c r="N152" s="109"/>
      <c r="O152" s="109"/>
      <c r="P152" s="109" t="str">
        <f aca="false">IF('Cursos IA'!$B37="","",'Cursos IA'!$B37)</f>
        <v/>
      </c>
    </row>
    <row r="153" customFormat="false" ht="15" hidden="false" customHeight="false" outlineLevel="0" collapsed="false">
      <c r="A153" s="109" t="str">
        <f aca="false">IF('Renda Extra'!$B38="","","Renda Extra")</f>
        <v/>
      </c>
      <c r="B153" s="109" t="str">
        <f aca="false">IF('Renda Extra'!$B38="","",'Renda Extra'!$B38)</f>
        <v/>
      </c>
      <c r="C153" s="110" t="str">
        <f aca="false">IF(OR('Renda Extra'!$B38="",'Renda Extra'!$I38=""),"",'Renda Extra'!$I38)</f>
        <v/>
      </c>
      <c r="D153" s="109" t="str">
        <f aca="true">IF(C153="","",C153-TODAY())</f>
        <v/>
      </c>
      <c r="E153" s="109" t="str">
        <f aca="false">IF(C153="","",D153+ROW()/100000)</f>
        <v/>
      </c>
      <c r="F153" s="110" t="str">
        <f aca="false">IF('Renda Extra'!$B38="","",'Renda Extra'!$Q38)</f>
        <v/>
      </c>
      <c r="G153" s="109" t="str">
        <f aca="false">IF(AND(ISNUMBER(C153),ISNUMBER(F153)),C153-F153,"")</f>
        <v/>
      </c>
      <c r="H153" s="109" t="str">
        <f aca="false">IF(ISNUMBER(G153),IF(G153&lt;0,G153+ROW()/100000,""),"")</f>
        <v/>
      </c>
      <c r="I153" s="109"/>
      <c r="J153" s="109"/>
      <c r="K153" s="109"/>
      <c r="L153" s="109"/>
      <c r="M153" s="109"/>
      <c r="N153" s="109"/>
      <c r="O153" s="109"/>
      <c r="P153" s="109" t="str">
        <f aca="false">IF('Cursos IA'!$B38="","",'Cursos IA'!$B38)</f>
        <v/>
      </c>
    </row>
    <row r="154" customFormat="false" ht="15" hidden="false" customHeight="false" outlineLevel="0" collapsed="false">
      <c r="A154" s="109" t="str">
        <f aca="false">IF('Renda Extra'!$B39="","","Renda Extra")</f>
        <v/>
      </c>
      <c r="B154" s="109" t="str">
        <f aca="false">IF('Renda Extra'!$B39="","",'Renda Extra'!$B39)</f>
        <v/>
      </c>
      <c r="C154" s="110" t="str">
        <f aca="false">IF(OR('Renda Extra'!$B39="",'Renda Extra'!$I39=""),"",'Renda Extra'!$I39)</f>
        <v/>
      </c>
      <c r="D154" s="109" t="str">
        <f aca="true">IF(C154="","",C154-TODAY())</f>
        <v/>
      </c>
      <c r="E154" s="109" t="str">
        <f aca="false">IF(C154="","",D154+ROW()/100000)</f>
        <v/>
      </c>
      <c r="F154" s="110" t="str">
        <f aca="false">IF('Renda Extra'!$B39="","",'Renda Extra'!$Q39)</f>
        <v/>
      </c>
      <c r="G154" s="109" t="str">
        <f aca="false">IF(AND(ISNUMBER(C154),ISNUMBER(F154)),C154-F154,"")</f>
        <v/>
      </c>
      <c r="H154" s="109" t="str">
        <f aca="false">IF(ISNUMBER(G154),IF(G154&lt;0,G154+ROW()/100000,""),"")</f>
        <v/>
      </c>
      <c r="I154" s="109"/>
      <c r="J154" s="109"/>
      <c r="K154" s="109"/>
      <c r="L154" s="109"/>
      <c r="M154" s="109"/>
      <c r="N154" s="109"/>
      <c r="O154" s="109"/>
      <c r="P154" s="109" t="str">
        <f aca="false">IF('Cursos IA'!$B39="","",'Cursos IA'!$B39)</f>
        <v/>
      </c>
    </row>
    <row r="155" customFormat="false" ht="15" hidden="false" customHeight="false" outlineLevel="0" collapsed="false">
      <c r="A155" s="109" t="str">
        <f aca="false">IF('Renda Extra'!$B40="","","Renda Extra")</f>
        <v/>
      </c>
      <c r="B155" s="109" t="str">
        <f aca="false">IF('Renda Extra'!$B40="","",'Renda Extra'!$B40)</f>
        <v/>
      </c>
      <c r="C155" s="110" t="str">
        <f aca="false">IF(OR('Renda Extra'!$B40="",'Renda Extra'!$I40=""),"",'Renda Extra'!$I40)</f>
        <v/>
      </c>
      <c r="D155" s="109" t="str">
        <f aca="true">IF(C155="","",C155-TODAY())</f>
        <v/>
      </c>
      <c r="E155" s="109" t="str">
        <f aca="false">IF(C155="","",D155+ROW()/100000)</f>
        <v/>
      </c>
      <c r="F155" s="110" t="str">
        <f aca="false">IF('Renda Extra'!$B40="","",'Renda Extra'!$Q40)</f>
        <v/>
      </c>
      <c r="G155" s="109" t="str">
        <f aca="false">IF(AND(ISNUMBER(C155),ISNUMBER(F155)),C155-F155,"")</f>
        <v/>
      </c>
      <c r="H155" s="109" t="str">
        <f aca="false">IF(ISNUMBER(G155),IF(G155&lt;0,G155+ROW()/100000,""),"")</f>
        <v/>
      </c>
      <c r="I155" s="109"/>
      <c r="J155" s="109"/>
      <c r="K155" s="109"/>
      <c r="L155" s="109"/>
      <c r="M155" s="109"/>
      <c r="N155" s="109"/>
      <c r="O155" s="109"/>
      <c r="P155" s="109" t="str">
        <f aca="false">IF('Cursos IA'!$B40="","",'Cursos IA'!$B40)</f>
        <v/>
      </c>
    </row>
    <row r="156" customFormat="false" ht="15" hidden="false" customHeight="false" outlineLevel="0" collapsed="false">
      <c r="A156" s="109" t="str">
        <f aca="false">IF('Renda Extra'!$B41="","","Renda Extra")</f>
        <v/>
      </c>
      <c r="B156" s="109" t="str">
        <f aca="false">IF('Renda Extra'!$B41="","",'Renda Extra'!$B41)</f>
        <v/>
      </c>
      <c r="C156" s="110" t="str">
        <f aca="false">IF(OR('Renda Extra'!$B41="",'Renda Extra'!$I41=""),"",'Renda Extra'!$I41)</f>
        <v/>
      </c>
      <c r="D156" s="109" t="str">
        <f aca="true">IF(C156="","",C156-TODAY())</f>
        <v/>
      </c>
      <c r="E156" s="109" t="str">
        <f aca="false">IF(C156="","",D156+ROW()/100000)</f>
        <v/>
      </c>
      <c r="F156" s="110" t="str">
        <f aca="false">IF('Renda Extra'!$B41="","",'Renda Extra'!$Q41)</f>
        <v/>
      </c>
      <c r="G156" s="109" t="str">
        <f aca="false">IF(AND(ISNUMBER(C156),ISNUMBER(F156)),C156-F156,"")</f>
        <v/>
      </c>
      <c r="H156" s="109" t="str">
        <f aca="false">IF(ISNUMBER(G156),IF(G156&lt;0,G156+ROW()/100000,""),"")</f>
        <v/>
      </c>
      <c r="I156" s="109"/>
      <c r="J156" s="109"/>
      <c r="K156" s="109"/>
      <c r="L156" s="109"/>
      <c r="M156" s="109"/>
      <c r="N156" s="109"/>
      <c r="O156" s="109"/>
      <c r="P156" s="109" t="str">
        <f aca="false">IF('Cursos IA'!$B41="","",'Cursos IA'!$B41)</f>
        <v/>
      </c>
    </row>
    <row r="157" customFormat="false" ht="15" hidden="false" customHeight="false" outlineLevel="0" collapsed="false">
      <c r="A157" s="109" t="str">
        <f aca="false">IF('Renda Extra'!$B42="","","Renda Extra")</f>
        <v/>
      </c>
      <c r="B157" s="109" t="str">
        <f aca="false">IF('Renda Extra'!$B42="","",'Renda Extra'!$B42)</f>
        <v/>
      </c>
      <c r="C157" s="110" t="str">
        <f aca="false">IF(OR('Renda Extra'!$B42="",'Renda Extra'!$I42=""),"",'Renda Extra'!$I42)</f>
        <v/>
      </c>
      <c r="D157" s="109" t="str">
        <f aca="true">IF(C157="","",C157-TODAY())</f>
        <v/>
      </c>
      <c r="E157" s="109" t="str">
        <f aca="false">IF(C157="","",D157+ROW()/100000)</f>
        <v/>
      </c>
      <c r="F157" s="110" t="str">
        <f aca="false">IF('Renda Extra'!$B42="","",'Renda Extra'!$Q42)</f>
        <v/>
      </c>
      <c r="G157" s="109" t="str">
        <f aca="false">IF(AND(ISNUMBER(C157),ISNUMBER(F157)),C157-F157,"")</f>
        <v/>
      </c>
      <c r="H157" s="109" t="str">
        <f aca="false">IF(ISNUMBER(G157),IF(G157&lt;0,G157+ROW()/100000,""),"")</f>
        <v/>
      </c>
      <c r="I157" s="109"/>
      <c r="J157" s="109"/>
      <c r="K157" s="109"/>
      <c r="L157" s="109"/>
      <c r="M157" s="109"/>
      <c r="N157" s="109"/>
      <c r="O157" s="109"/>
      <c r="P157" s="109" t="str">
        <f aca="false">IF('Cursos IA'!$B42="","",'Cursos IA'!$B42)</f>
        <v/>
      </c>
    </row>
    <row r="158" customFormat="false" ht="15" hidden="false" customHeight="false" outlineLevel="0" collapsed="false">
      <c r="A158" s="109" t="str">
        <f aca="false">IF('Renda Extra'!$B43="","","Renda Extra")</f>
        <v/>
      </c>
      <c r="B158" s="109" t="str">
        <f aca="false">IF('Renda Extra'!$B43="","",'Renda Extra'!$B43)</f>
        <v/>
      </c>
      <c r="C158" s="110" t="str">
        <f aca="false">IF(OR('Renda Extra'!$B43="",'Renda Extra'!$I43=""),"",'Renda Extra'!$I43)</f>
        <v/>
      </c>
      <c r="D158" s="109" t="str">
        <f aca="true">IF(C158="","",C158-TODAY())</f>
        <v/>
      </c>
      <c r="E158" s="109" t="str">
        <f aca="false">IF(C158="","",D158+ROW()/100000)</f>
        <v/>
      </c>
      <c r="F158" s="110" t="str">
        <f aca="false">IF('Renda Extra'!$B43="","",'Renda Extra'!$Q43)</f>
        <v/>
      </c>
      <c r="G158" s="109" t="str">
        <f aca="false">IF(AND(ISNUMBER(C158),ISNUMBER(F158)),C158-F158,"")</f>
        <v/>
      </c>
      <c r="H158" s="109" t="str">
        <f aca="false">IF(ISNUMBER(G158),IF(G158&lt;0,G158+ROW()/100000,""),"")</f>
        <v/>
      </c>
      <c r="I158" s="109"/>
      <c r="J158" s="109"/>
      <c r="K158" s="109"/>
      <c r="L158" s="109"/>
      <c r="M158" s="109"/>
      <c r="N158" s="109"/>
      <c r="O158" s="109"/>
      <c r="P158" s="109" t="str">
        <f aca="false">IF('Cursos IA'!$B43="","",'Cursos IA'!$B43)</f>
        <v/>
      </c>
    </row>
    <row r="159" customFormat="false" ht="15" hidden="false" customHeight="false" outlineLevel="0" collapsed="false">
      <c r="A159" s="109" t="str">
        <f aca="false">IF('Renda Extra'!$B44="","","Renda Extra")</f>
        <v/>
      </c>
      <c r="B159" s="109" t="str">
        <f aca="false">IF('Renda Extra'!$B44="","",'Renda Extra'!$B44)</f>
        <v/>
      </c>
      <c r="C159" s="110" t="str">
        <f aca="false">IF(OR('Renda Extra'!$B44="",'Renda Extra'!$I44=""),"",'Renda Extra'!$I44)</f>
        <v/>
      </c>
      <c r="D159" s="109" t="str">
        <f aca="true">IF(C159="","",C159-TODAY())</f>
        <v/>
      </c>
      <c r="E159" s="109" t="str">
        <f aca="false">IF(C159="","",D159+ROW()/100000)</f>
        <v/>
      </c>
      <c r="F159" s="110" t="str">
        <f aca="false">IF('Renda Extra'!$B44="","",'Renda Extra'!$Q44)</f>
        <v/>
      </c>
      <c r="G159" s="109" t="str">
        <f aca="false">IF(AND(ISNUMBER(C159),ISNUMBER(F159)),C159-F159,"")</f>
        <v/>
      </c>
      <c r="H159" s="109" t="str">
        <f aca="false">IF(ISNUMBER(G159),IF(G159&lt;0,G159+ROW()/100000,""),"")</f>
        <v/>
      </c>
      <c r="I159" s="109"/>
      <c r="J159" s="109"/>
      <c r="K159" s="109"/>
      <c r="L159" s="109"/>
      <c r="M159" s="109"/>
      <c r="N159" s="109"/>
      <c r="O159" s="109"/>
      <c r="P159" s="109" t="str">
        <f aca="false">IF('Cursos IA'!$B44="","",'Cursos IA'!$B44)</f>
        <v/>
      </c>
    </row>
    <row r="160" customFormat="false" ht="15" hidden="false" customHeight="false" outlineLevel="0" collapsed="false">
      <c r="A160" s="109" t="str">
        <f aca="false">IF('Renda Extra'!$B45="","","Renda Extra")</f>
        <v/>
      </c>
      <c r="B160" s="109" t="str">
        <f aca="false">IF('Renda Extra'!$B45="","",'Renda Extra'!$B45)</f>
        <v/>
      </c>
      <c r="C160" s="110" t="str">
        <f aca="false">IF(OR('Renda Extra'!$B45="",'Renda Extra'!$I45=""),"",'Renda Extra'!$I45)</f>
        <v/>
      </c>
      <c r="D160" s="109" t="str">
        <f aca="true">IF(C160="","",C160-TODAY())</f>
        <v/>
      </c>
      <c r="E160" s="109" t="str">
        <f aca="false">IF(C160="","",D160+ROW()/100000)</f>
        <v/>
      </c>
      <c r="F160" s="110" t="str">
        <f aca="false">IF('Renda Extra'!$B45="","",'Renda Extra'!$Q45)</f>
        <v/>
      </c>
      <c r="G160" s="109" t="str">
        <f aca="false">IF(AND(ISNUMBER(C160),ISNUMBER(F160)),C160-F160,"")</f>
        <v/>
      </c>
      <c r="H160" s="109" t="str">
        <f aca="false">IF(ISNUMBER(G160),IF(G160&lt;0,G160+ROW()/100000,""),"")</f>
        <v/>
      </c>
      <c r="I160" s="109"/>
      <c r="J160" s="109"/>
      <c r="K160" s="109"/>
      <c r="L160" s="109"/>
      <c r="M160" s="109"/>
      <c r="N160" s="109"/>
      <c r="O160" s="109"/>
      <c r="P160" s="109" t="str">
        <f aca="false">IF('Cursos IA'!$B45="","",'Cursos IA'!$B45)</f>
        <v/>
      </c>
    </row>
    <row r="161" customFormat="false" ht="15" hidden="false" customHeight="false" outlineLevel="0" collapsed="false">
      <c r="A161" s="109" t="str">
        <f aca="false">IF('Renda Extra'!$B46="","","Renda Extra")</f>
        <v/>
      </c>
      <c r="B161" s="109" t="str">
        <f aca="false">IF('Renda Extra'!$B46="","",'Renda Extra'!$B46)</f>
        <v/>
      </c>
      <c r="C161" s="110" t="str">
        <f aca="false">IF(OR('Renda Extra'!$B46="",'Renda Extra'!$I46=""),"",'Renda Extra'!$I46)</f>
        <v/>
      </c>
      <c r="D161" s="109" t="str">
        <f aca="true">IF(C161="","",C161-TODAY())</f>
        <v/>
      </c>
      <c r="E161" s="109" t="str">
        <f aca="false">IF(C161="","",D161+ROW()/100000)</f>
        <v/>
      </c>
      <c r="F161" s="110" t="str">
        <f aca="false">IF('Renda Extra'!$B46="","",'Renda Extra'!$Q46)</f>
        <v/>
      </c>
      <c r="G161" s="109" t="str">
        <f aca="false">IF(AND(ISNUMBER(C161),ISNUMBER(F161)),C161-F161,"")</f>
        <v/>
      </c>
      <c r="H161" s="109" t="str">
        <f aca="false">IF(ISNUMBER(G161),IF(G161&lt;0,G161+ROW()/100000,""),"")</f>
        <v/>
      </c>
      <c r="I161" s="109"/>
      <c r="J161" s="109"/>
      <c r="K161" s="109"/>
      <c r="L161" s="109"/>
      <c r="M161" s="109"/>
      <c r="N161" s="109"/>
      <c r="O161" s="109"/>
      <c r="P161" s="109" t="str">
        <f aca="false">IF('Cursos IA'!$B46="","",'Cursos IA'!$B46)</f>
        <v/>
      </c>
    </row>
    <row r="162" customFormat="false" ht="15" hidden="false" customHeight="false" outlineLevel="0" collapsed="false">
      <c r="A162" s="109" t="str">
        <f aca="false">IF('Renda Extra'!$B47="","","Renda Extra")</f>
        <v/>
      </c>
      <c r="B162" s="109" t="str">
        <f aca="false">IF('Renda Extra'!$B47="","",'Renda Extra'!$B47)</f>
        <v/>
      </c>
      <c r="C162" s="110" t="str">
        <f aca="false">IF(OR('Renda Extra'!$B47="",'Renda Extra'!$I47=""),"",'Renda Extra'!$I47)</f>
        <v/>
      </c>
      <c r="D162" s="109" t="str">
        <f aca="true">IF(C162="","",C162-TODAY())</f>
        <v/>
      </c>
      <c r="E162" s="109" t="str">
        <f aca="false">IF(C162="","",D162+ROW()/100000)</f>
        <v/>
      </c>
      <c r="F162" s="110" t="str">
        <f aca="false">IF('Renda Extra'!$B47="","",'Renda Extra'!$Q47)</f>
        <v/>
      </c>
      <c r="G162" s="109" t="str">
        <f aca="false">IF(AND(ISNUMBER(C162),ISNUMBER(F162)),C162-F162,"")</f>
        <v/>
      </c>
      <c r="H162" s="109" t="str">
        <f aca="false">IF(ISNUMBER(G162),IF(G162&lt;0,G162+ROW()/100000,""),"")</f>
        <v/>
      </c>
      <c r="I162" s="109"/>
      <c r="J162" s="109"/>
      <c r="K162" s="109"/>
      <c r="L162" s="109"/>
      <c r="M162" s="109"/>
      <c r="N162" s="109"/>
      <c r="O162" s="109"/>
      <c r="P162" s="109" t="str">
        <f aca="false">IF('Cursos IA'!$B47="","",'Cursos IA'!$B47)</f>
        <v/>
      </c>
    </row>
    <row r="163" customFormat="false" ht="15" hidden="false" customHeight="false" outlineLevel="0" collapsed="false">
      <c r="A163" s="109" t="str">
        <f aca="false">IF('Renda Extra'!$B48="","","Renda Extra")</f>
        <v/>
      </c>
      <c r="B163" s="109" t="str">
        <f aca="false">IF('Renda Extra'!$B48="","",'Renda Extra'!$B48)</f>
        <v/>
      </c>
      <c r="C163" s="110" t="str">
        <f aca="false">IF(OR('Renda Extra'!$B48="",'Renda Extra'!$I48=""),"",'Renda Extra'!$I48)</f>
        <v/>
      </c>
      <c r="D163" s="109" t="str">
        <f aca="true">IF(C163="","",C163-TODAY())</f>
        <v/>
      </c>
      <c r="E163" s="109" t="str">
        <f aca="false">IF(C163="","",D163+ROW()/100000)</f>
        <v/>
      </c>
      <c r="F163" s="110" t="str">
        <f aca="false">IF('Renda Extra'!$B48="","",'Renda Extra'!$Q48)</f>
        <v/>
      </c>
      <c r="G163" s="109" t="str">
        <f aca="false">IF(AND(ISNUMBER(C163),ISNUMBER(F163)),C163-F163,"")</f>
        <v/>
      </c>
      <c r="H163" s="109" t="str">
        <f aca="false">IF(ISNUMBER(G163),IF(G163&lt;0,G163+ROW()/100000,""),"")</f>
        <v/>
      </c>
      <c r="I163" s="109"/>
      <c r="J163" s="109"/>
      <c r="K163" s="109"/>
      <c r="L163" s="109"/>
      <c r="M163" s="109"/>
      <c r="N163" s="109"/>
      <c r="O163" s="109"/>
      <c r="P163" s="109" t="str">
        <f aca="false">IF('Cursos IA'!$B48="","",'Cursos IA'!$B48)</f>
        <v/>
      </c>
    </row>
    <row r="164" customFormat="false" ht="15" hidden="false" customHeight="false" outlineLevel="0" collapsed="false">
      <c r="A164" s="109" t="str">
        <f aca="false">IF('Renda Extra'!$B49="","","Renda Extra")</f>
        <v/>
      </c>
      <c r="B164" s="109" t="str">
        <f aca="false">IF('Renda Extra'!$B49="","",'Renda Extra'!$B49)</f>
        <v/>
      </c>
      <c r="C164" s="110" t="str">
        <f aca="false">IF(OR('Renda Extra'!$B49="",'Renda Extra'!$I49=""),"",'Renda Extra'!$I49)</f>
        <v/>
      </c>
      <c r="D164" s="109" t="str">
        <f aca="true">IF(C164="","",C164-TODAY())</f>
        <v/>
      </c>
      <c r="E164" s="109" t="str">
        <f aca="false">IF(C164="","",D164+ROW()/100000)</f>
        <v/>
      </c>
      <c r="F164" s="110" t="str">
        <f aca="false">IF('Renda Extra'!$B49="","",'Renda Extra'!$Q49)</f>
        <v/>
      </c>
      <c r="G164" s="109" t="str">
        <f aca="false">IF(AND(ISNUMBER(C164),ISNUMBER(F164)),C164-F164,"")</f>
        <v/>
      </c>
      <c r="H164" s="109" t="str">
        <f aca="false">IF(ISNUMBER(G164),IF(G164&lt;0,G164+ROW()/100000,""),"")</f>
        <v/>
      </c>
      <c r="I164" s="109"/>
      <c r="J164" s="109"/>
      <c r="K164" s="109"/>
      <c r="L164" s="109"/>
      <c r="M164" s="109"/>
      <c r="N164" s="109"/>
      <c r="O164" s="109"/>
      <c r="P164" s="109" t="str">
        <f aca="false">IF('Cursos IA'!$B49="","",'Cursos IA'!$B49)</f>
        <v/>
      </c>
    </row>
    <row r="165" customFormat="false" ht="15" hidden="false" customHeight="false" outlineLevel="0" collapsed="false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 t="str">
        <f aca="false">IF('Renda Extra'!$B10="","",'Renda Extra'!$B10)</f>
        <v>Marketing de Afiliados do Zero (exemplo)</v>
      </c>
    </row>
    <row r="166" customFormat="false" ht="15" hidden="false" customHeight="false" outlineLevel="0" collapsed="false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 t="str">
        <f aca="false">IF('Renda Extra'!$B11="","",'Renda Extra'!$B11)</f>
        <v/>
      </c>
    </row>
    <row r="167" customFormat="false" ht="15" hidden="false" customHeight="false" outlineLevel="0" collapsed="false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 t="str">
        <f aca="false">IF('Renda Extra'!$B12="","",'Renda Extra'!$B12)</f>
        <v/>
      </c>
    </row>
    <row r="168" customFormat="false" ht="15" hidden="false" customHeight="false" outlineLevel="0" collapsed="false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 t="str">
        <f aca="false">IF('Renda Extra'!$B13="","",'Renda Extra'!$B13)</f>
        <v/>
      </c>
    </row>
    <row r="169" customFormat="false" ht="15" hidden="false" customHeight="false" outlineLevel="0" collapsed="false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 t="str">
        <f aca="false">IF('Renda Extra'!$B14="","",'Renda Extra'!$B14)</f>
        <v/>
      </c>
    </row>
    <row r="170" customFormat="false" ht="15" hidden="false" customHeight="false" outlineLevel="0" collapsed="false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 t="str">
        <f aca="false">IF('Renda Extra'!$B15="","",'Renda Extra'!$B15)</f>
        <v/>
      </c>
    </row>
    <row r="171" customFormat="false" ht="15" hidden="false" customHeight="false" outlineLevel="0" collapsed="false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 t="str">
        <f aca="false">IF('Renda Extra'!$B16="","",'Renda Extra'!$B16)</f>
        <v/>
      </c>
    </row>
    <row r="172" customFormat="false" ht="15" hidden="false" customHeight="false" outlineLevel="0" collapsed="false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 t="str">
        <f aca="false">IF('Renda Extra'!$B17="","",'Renda Extra'!$B17)</f>
        <v/>
      </c>
    </row>
    <row r="173" customFormat="false" ht="15" hidden="false" customHeight="false" outlineLevel="0" collapsed="false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 t="str">
        <f aca="false">IF('Renda Extra'!$B18="","",'Renda Extra'!$B18)</f>
        <v/>
      </c>
    </row>
    <row r="174" customFormat="false" ht="15" hidden="false" customHeight="false" outlineLevel="0" collapsed="false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 t="str">
        <f aca="false">IF('Renda Extra'!$B19="","",'Renda Extra'!$B19)</f>
        <v/>
      </c>
    </row>
    <row r="175" customFormat="false" ht="15" hidden="false" customHeight="false" outlineLevel="0" collapsed="false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 t="str">
        <f aca="false">IF('Renda Extra'!$B20="","",'Renda Extra'!$B20)</f>
        <v/>
      </c>
    </row>
    <row r="176" customFormat="false" ht="15" hidden="false" customHeight="false" outlineLevel="0" collapsed="false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 t="str">
        <f aca="false">IF('Renda Extra'!$B21="","",'Renda Extra'!$B21)</f>
        <v/>
      </c>
    </row>
    <row r="177" customFormat="false" ht="15" hidden="false" customHeight="false" outlineLevel="0" collapsed="false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 t="str">
        <f aca="false">IF('Renda Extra'!$B22="","",'Renda Extra'!$B22)</f>
        <v/>
      </c>
    </row>
    <row r="178" customFormat="false" ht="15" hidden="false" customHeight="false" outlineLevel="0" collapsed="false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 t="str">
        <f aca="false">IF('Renda Extra'!$B23="","",'Renda Extra'!$B23)</f>
        <v/>
      </c>
    </row>
    <row r="179" customFormat="false" ht="15" hidden="false" customHeight="false" outlineLevel="0" collapsed="false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 t="str">
        <f aca="false">IF('Renda Extra'!$B24="","",'Renda Extra'!$B24)</f>
        <v/>
      </c>
    </row>
    <row r="180" customFormat="false" ht="15" hidden="false" customHeight="false" outlineLevel="0" collapsed="false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 t="str">
        <f aca="false">IF('Renda Extra'!$B25="","",'Renda Extra'!$B25)</f>
        <v/>
      </c>
    </row>
    <row r="181" customFormat="false" ht="15" hidden="false" customHeight="false" outlineLevel="0" collapsed="false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 t="str">
        <f aca="false">IF('Renda Extra'!$B26="","",'Renda Extra'!$B26)</f>
        <v/>
      </c>
    </row>
    <row r="182" customFormat="false" ht="15" hidden="false" customHeight="false" outlineLevel="0" collapsed="false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 t="str">
        <f aca="false">IF('Renda Extra'!$B27="","",'Renda Extra'!$B27)</f>
        <v/>
      </c>
    </row>
    <row r="183" customFormat="false" ht="15" hidden="false" customHeight="false" outlineLevel="0" collapsed="false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 t="str">
        <f aca="false">IF('Renda Extra'!$B28="","",'Renda Extra'!$B28)</f>
        <v/>
      </c>
    </row>
    <row r="184" customFormat="false" ht="15" hidden="false" customHeight="false" outlineLevel="0" collapsed="false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 t="str">
        <f aca="false">IF('Renda Extra'!$B29="","",'Renda Extra'!$B29)</f>
        <v/>
      </c>
    </row>
    <row r="185" customFormat="false" ht="15" hidden="false" customHeight="false" outlineLevel="0" collapsed="false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 t="str">
        <f aca="false">IF('Renda Extra'!$B30="","",'Renda Extra'!$B30)</f>
        <v/>
      </c>
    </row>
    <row r="186" customFormat="false" ht="15" hidden="false" customHeight="false" outlineLevel="0" collapsed="false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 t="str">
        <f aca="false">IF('Renda Extra'!$B31="","",'Renda Extra'!$B31)</f>
        <v/>
      </c>
    </row>
    <row r="187" customFormat="false" ht="15" hidden="false" customHeight="false" outlineLevel="0" collapsed="false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 t="str">
        <f aca="false">IF('Renda Extra'!$B32="","",'Renda Extra'!$B32)</f>
        <v/>
      </c>
    </row>
    <row r="188" customFormat="false" ht="15" hidden="false" customHeight="false" outlineLevel="0" collapsed="false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 t="str">
        <f aca="false">IF('Renda Extra'!$B33="","",'Renda Extra'!$B33)</f>
        <v/>
      </c>
    </row>
    <row r="189" customFormat="false" ht="15" hidden="false" customHeight="false" outlineLevel="0" collapsed="false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 t="str">
        <f aca="false">IF('Renda Extra'!$B34="","",'Renda Extra'!$B34)</f>
        <v/>
      </c>
    </row>
    <row r="190" customFormat="false" ht="15" hidden="false" customHeight="false" outlineLevel="0" collapsed="false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 t="str">
        <f aca="false">IF('Renda Extra'!$B35="","",'Renda Extra'!$B35)</f>
        <v/>
      </c>
    </row>
    <row r="191" customFormat="false" ht="15" hidden="false" customHeight="false" outlineLevel="0" collapsed="false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 t="str">
        <f aca="false">IF('Renda Extra'!$B36="","",'Renda Extra'!$B36)</f>
        <v/>
      </c>
    </row>
    <row r="192" customFormat="false" ht="15" hidden="false" customHeight="false" outlineLevel="0" collapsed="false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 t="str">
        <f aca="false">IF('Renda Extra'!$B37="","",'Renda Extra'!$B37)</f>
        <v/>
      </c>
    </row>
    <row r="193" customFormat="false" ht="15" hidden="false" customHeight="false" outlineLevel="0" collapsed="false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 t="str">
        <f aca="false">IF('Renda Extra'!$B38="","",'Renda Extra'!$B38)</f>
        <v/>
      </c>
    </row>
    <row r="194" customFormat="false" ht="15" hidden="false" customHeight="false" outlineLevel="0" collapsed="false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 t="str">
        <f aca="false">IF('Renda Extra'!$B39="","",'Renda Extra'!$B39)</f>
        <v/>
      </c>
    </row>
    <row r="195" customFormat="false" ht="15" hidden="false" customHeight="false" outlineLevel="0" collapsed="false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 t="str">
        <f aca="false">IF('Renda Extra'!$B40="","",'Renda Extra'!$B40)</f>
        <v/>
      </c>
    </row>
    <row r="196" customFormat="false" ht="15" hidden="false" customHeight="false" outlineLevel="0" collapsed="false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 t="str">
        <f aca="false">IF('Renda Extra'!$B41="","",'Renda Extra'!$B41)</f>
        <v/>
      </c>
    </row>
    <row r="197" customFormat="false" ht="15" hidden="false" customHeight="false" outlineLevel="0" collapsed="false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 t="str">
        <f aca="false">IF('Renda Extra'!$B42="","",'Renda Extra'!$B42)</f>
        <v/>
      </c>
    </row>
    <row r="198" customFormat="false" ht="15" hidden="false" customHeight="false" outlineLevel="0" collapsed="false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 t="str">
        <f aca="false">IF('Renda Extra'!$B43="","",'Renda Extra'!$B43)</f>
        <v/>
      </c>
    </row>
    <row r="199" customFormat="false" ht="15" hidden="false" customHeight="false" outlineLevel="0" collapsed="false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 t="str">
        <f aca="false">IF('Renda Extra'!$B44="","",'Renda Extra'!$B44)</f>
        <v/>
      </c>
    </row>
    <row r="200" customFormat="false" ht="15" hidden="false" customHeight="false" outlineLevel="0" collapsed="false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 t="str">
        <f aca="false">IF('Renda Extra'!$B45="","",'Renda Extra'!$B45)</f>
        <v/>
      </c>
    </row>
    <row r="201" customFormat="false" ht="15" hidden="false" customHeight="false" outlineLevel="0" collapsed="false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 t="str">
        <f aca="false">IF('Renda Extra'!$B46="","",'Renda Extra'!$B46)</f>
        <v/>
      </c>
    </row>
    <row r="202" customFormat="false" ht="15" hidden="false" customHeight="false" outlineLevel="0" collapsed="false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 t="str">
        <f aca="false">IF('Renda Extra'!$B47="","",'Renda Extra'!$B47)</f>
        <v/>
      </c>
    </row>
    <row r="203" customFormat="false" ht="15" hidden="false" customHeight="false" outlineLevel="0" collapsed="false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 t="str">
        <f aca="false">IF('Renda Extra'!$B48="","",'Renda Extra'!$B48)</f>
        <v/>
      </c>
    </row>
    <row r="204" customFormat="false" ht="15" hidden="false" customHeight="false" outlineLevel="0" collapsed="false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 t="str">
        <f aca="false">IF('Renda Extra'!$B49="","",'Renda Extra'!$B49)</f>
        <v/>
      </c>
    </row>
    <row r="205" customFormat="false" ht="15" hidden="false" customHeight="false" outlineLevel="0" collapsed="false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</row>
  </sheetData>
  <mergeCells count="3">
    <mergeCell ref="A1:P1"/>
    <mergeCell ref="A2:M2"/>
    <mergeCell ref="N2:P2"/>
  </mergeCells>
  <hyperlinks>
    <hyperlink ref="N2" location="'Início'!A1" display="← Voltar ao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2026-10-03T14:36:20Z</dcterms:created>
  <dc:creator>openpyxl</dc:creator>
  <dc:description/>
  <dc:language>en-US</dc:language>
  <cp:lastModifiedBy/>
  <dcterms:modified xsi:type="dcterms:W3CDTF">2026-10-03T14:36:23Z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