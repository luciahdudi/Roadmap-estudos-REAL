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Dashboard" sheetId="2" state="visible" r:id="rId4"/>
    <sheet name="Roadmap" sheetId="3" state="visible" r:id="rId5"/>
    <sheet name="Metas de Estudo" sheetId="4" state="visible" r:id="rId6"/>
    <sheet name="Diário de Estudo" sheetId="5" state="visible" r:id="rId7"/>
    <sheet name="Pós-graduação" sheetId="6" state="visible" r:id="rId8"/>
    <sheet name="Concurso" sheetId="7" state="visible" r:id="rId9"/>
    <sheet name="Livros" sheetId="8" state="visible" r:id="rId10"/>
    <sheet name="Cursos IA" sheetId="9" state="visible" r:id="rId11"/>
    <sheet name="Renda Extra" sheetId="10" state="visible" r:id="rId12"/>
    <sheet name="Listas" sheetId="11" state="visible" r:id="rId13"/>
    <sheet name="Apoio" sheetId="12" state="visible" r:id="rId14"/>
  </sheets>
  <definedNames>
    <definedName function="false" hidden="true" localSheetId="6" name="_xlnm._FilterDatabase" vbProcedure="false">Concurso!$A$9:$W$49</definedName>
    <definedName function="false" hidden="true" localSheetId="8" name="_xlnm._FilterDatabase" vbProcedure="false">'Cursos IA'!$A$9:$U$49</definedName>
    <definedName function="false" hidden="true" localSheetId="4" name="_xlnm._FilterDatabase" vbProcedure="false">'Diário de Estudo'!$A$6:$F$506</definedName>
    <definedName function="false" hidden="true" localSheetId="7" name="_xlnm._FilterDatabase" vbProcedure="false">Livros!$A$9:$R$49</definedName>
    <definedName function="false" hidden="true" localSheetId="5" name="_xlnm._FilterDatabase" vbProcedure="false">'Pós-graduação'!$A$9:$U$49</definedName>
    <definedName function="false" hidden="true" localSheetId="9" name="_xlnm._FilterDatabase" vbProcedure="false">'Renda Extra'!$A$9:$W$49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sharedStrings.xml><?xml version="1.0" encoding="utf-8"?>
<sst xmlns="http://schemas.openxmlformats.org/spreadsheetml/2006/main" count="419" uniqueCount="245">
  <si>
    <t xml:space="preserve">ROADMAP DE CURSOS &amp; APRENDIZADO</t>
  </si>
  <si>
    <t xml:space="preserve">Pós-graduação  ·  Concursos  ·  Livros  ·  Cursos de IA  ·  Renda Extra   —   Sage Dreams · Calm &amp; Natural</t>
  </si>
  <si>
    <t xml:space="preserve">NAVEGAÇÃO · CLIQUE PARA ABRIR</t>
  </si>
  <si>
    <t xml:space="preserve">Dashboard</t>
  </si>
  <si>
    <t xml:space="preserve">Roadmap</t>
  </si>
  <si>
    <t xml:space="preserve">Metas de Estudo</t>
  </si>
  <si>
    <t xml:space="preserve">Diário de Estudo</t>
  </si>
  <si>
    <t xml:space="preserve">Visão executiva, vencimentos urgentes e gráficos</t>
  </si>
  <si>
    <t xml:space="preserve">Linha do tempo de 12 meses (Gantt)</t>
  </si>
  <si>
    <t xml:space="preserve">Metas de horas, ritmo e mapa de calor</t>
  </si>
  <si>
    <t xml:space="preserve">Registro de cada sessão de estudo</t>
  </si>
  <si>
    <t xml:space="preserve">Pós-graduação</t>
  </si>
  <si>
    <t xml:space="preserve">Concurso</t>
  </si>
  <si>
    <t xml:space="preserve">Livros</t>
  </si>
  <si>
    <t xml:space="preserve">Cursos IA</t>
  </si>
  <si>
    <t xml:space="preserve">MBAs, especializações e extensões</t>
  </si>
  <si>
    <t xml:space="preserve">Preparatórios, banca e data da prova</t>
  </si>
  <si>
    <t xml:space="preserve">Biblioteca, páginas lidas e notas</t>
  </si>
  <si>
    <t xml:space="preserve">Inteligência artificial e automação</t>
  </si>
  <si>
    <t xml:space="preserve">Renda Extra</t>
  </si>
  <si>
    <t xml:space="preserve">Listas</t>
  </si>
  <si>
    <t xml:space="preserve">Cursos de renda e resultado mensal</t>
  </si>
  <si>
    <t xml:space="preserve">Listas das setas e prazo de alerta</t>
  </si>
  <si>
    <t xml:space="preserve">COMO USAR EM 6 PASSOS</t>
  </si>
  <si>
    <t xml:space="preserve">1</t>
  </si>
  <si>
    <t xml:space="preserve">Abra a aba da categoria e substitua a linha 10 (exemplo) pelo seu primeiro curso. Cada aba comporta 40 itens.</t>
  </si>
  <si>
    <t xml:space="preserve">2</t>
  </si>
  <si>
    <t xml:space="preserve">Preencha instituição, datas (compra, início, término previsto e vencimento do acesso), valor, login e senha.</t>
  </si>
  <si>
    <t xml:space="preserve">3</t>
  </si>
  <si>
    <t xml:space="preserve">Informe o total de aulas, disciplinas ou páginas e atualize o quanto já concluiu — o % de andamento é automático.</t>
  </si>
  <si>
    <t xml:space="preserve">4</t>
  </si>
  <si>
    <t xml:space="preserve">Escolha Status, Prioridade e Certificado pela seta da célula. Vencimento em branco = acesso vitalício.</t>
  </si>
  <si>
    <t xml:space="preserve">5</t>
  </si>
  <si>
    <t xml:space="preserve">Registre cada sessão no Diário de Estudo (linha 7 em diante) e defina suas metas mensais em Metas de Estudo.</t>
  </si>
  <si>
    <t xml:space="preserve">6</t>
  </si>
  <si>
    <t xml:space="preserve">Acompanhe tudo no Dashboard e no Roadmap — não precisa atualizar nada manualmente por lá.</t>
  </si>
  <si>
    <t xml:space="preserve">LEGENDA</t>
  </si>
  <si>
    <t xml:space="preserve">Célula branca</t>
  </si>
  <si>
    <t xml:space="preserve">Campo para preencher.</t>
  </si>
  <si>
    <t xml:space="preserve">Célula cinza-areia</t>
  </si>
  <si>
    <t xml:space="preserve">Fórmula automática — não edite nem apague.</t>
  </si>
  <si>
    <t xml:space="preserve">Em andamento</t>
  </si>
  <si>
    <t xml:space="preserve">Status em andamento · barra do Roadmap em verde-sálvia.</t>
  </si>
  <si>
    <t xml:space="preserve">Concluído</t>
  </si>
  <si>
    <t xml:space="preserve">Status concluído · barra do Roadmap em verde-escuro.</t>
  </si>
  <si>
    <t xml:space="preserve">▲ A vencer</t>
  </si>
  <si>
    <t xml:space="preserve">Acesso com vencimento dentro do prazo de alerta (padrão 30 dias, editável em Listas).</t>
  </si>
  <si>
    <t xml:space="preserve">■ Vencido</t>
  </si>
  <si>
    <t xml:space="preserve">Acesso expirado — priorize ou renove.</t>
  </si>
  <si>
    <t xml:space="preserve">IMPORTANTE</t>
  </si>
  <si>
    <t xml:space="preserve">•  Não edite as células cinza-areia nem a aba Apoio: elas alimentam o Dashboard, o Roadmap e as Metas.</t>
  </si>
  <si>
    <t xml:space="preserve">•  Segurança: planilha não é cofre. Prefira um gerenciador de senhas, use a coluna Senha só como lembrete e não compartilhe este arquivo.</t>
  </si>
  <si>
    <t xml:space="preserve">•  As linhas de exemplo (cursos e diário) entram nos totais até serem substituídas ou apagadas. As metas de horas iniciais (20/20/8/15/10) são sugestões — ajuste em Metas de Estudo.</t>
  </si>
  <si>
    <t xml:space="preserve">•  Mais de 40 itens? Copie uma linha inteira e use “Inserir células copiadas” ENTRE as linhas do meio da tabela, para fórmulas e gráficos acompanharem.</t>
  </si>
  <si>
    <t xml:space="preserve">DASHBOARD · ROADMAP DE APRENDIZADO</t>
  </si>
  <si>
    <t xml:space="preserve">Visão executiva de todas as categorias — tudo atualiza sozinho</t>
  </si>
  <si>
    <t xml:space="preserve">← Voltar ao Início</t>
  </si>
  <si>
    <t xml:space="preserve">TOTAL DE ITENS</t>
  </si>
  <si>
    <t xml:space="preserve">EM ANDAMENTO</t>
  </si>
  <si>
    <t xml:space="preserve">CONCLUÍDOS</t>
  </si>
  <si>
    <t xml:space="preserve">INVESTIMENTO TOTAL</t>
  </si>
  <si>
    <t xml:space="preserve">PROGRESSO MÉDIO</t>
  </si>
  <si>
    <t xml:space="preserve">CERTIFICADOS EMITIDOS</t>
  </si>
  <si>
    <t xml:space="preserve">Atualizado em:</t>
  </si>
  <si>
    <t xml:space="preserve">RESUMO POR CATEGORIA</t>
  </si>
  <si>
    <t xml:space="preserve">Categoria</t>
  </si>
  <si>
    <t xml:space="preserve">Itens</t>
  </si>
  <si>
    <t xml:space="preserve">Não iniciado</t>
  </si>
  <si>
    <t xml:space="preserve">Pausado</t>
  </si>
  <si>
    <t xml:space="preserve">Investimento (R$)</t>
  </si>
  <si>
    <t xml:space="preserve">% médio</t>
  </si>
  <si>
    <t xml:space="preserve">Progresso</t>
  </si>
  <si>
    <t xml:space="preserve">A vencer</t>
  </si>
  <si>
    <t xml:space="preserve">Vencidos</t>
  </si>
  <si>
    <t xml:space="preserve">Certificados</t>
  </si>
  <si>
    <t xml:space="preserve">—</t>
  </si>
  <si>
    <t xml:space="preserve">TOTAL</t>
  </si>
  <si>
    <t xml:space="preserve">VENCIMENTOS DE ACESSO · MAIS URGENTES PRIMEIRO</t>
  </si>
  <si>
    <t xml:space="preserve">METAS DE ESTUDO DO MÊS</t>
  </si>
  <si>
    <t xml:space="preserve">Item</t>
  </si>
  <si>
    <t xml:space="preserve">Vence em</t>
  </si>
  <si>
    <t xml:space="preserve">Dias</t>
  </si>
  <si>
    <t xml:space="preserve">Meta (h)</t>
  </si>
  <si>
    <t xml:space="preserve">Realizado</t>
  </si>
  <si>
    <t xml:space="preserve">% meta</t>
  </si>
  <si>
    <t xml:space="preserve">Dias estudados</t>
  </si>
  <si>
    <t xml:space="preserve">Média por dia</t>
  </si>
  <si>
    <t xml:space="preserve">Total do mês</t>
  </si>
  <si>
    <t xml:space="preserve">“A vencer” usa o prazo definido em Listas (H6). Livros não têm vencimento de acesso. Painel de vencimentos mostra os 8 acessos mais urgentes, incluindo os já vencidos.</t>
  </si>
  <si>
    <t xml:space="preserve">ROADMAP · LINHA DO TEMPO</t>
  </si>
  <si>
    <t xml:space="preserve">Barras = início → término previsto (cor pelo status)  ·  ▼ = mês do vencimento do acesso</t>
  </si>
  <si>
    <t xml:space="preserve">Mês inicial:</t>
  </si>
  <si>
    <t xml:space="preserve">← altere para deslocar a janela de 12 meses · mostra os 12 primeiros itens de cada aba</t>
  </si>
  <si>
    <t xml:space="preserve">Status</t>
  </si>
  <si>
    <t xml:space="preserve">Início</t>
  </si>
  <si>
    <t xml:space="preserve">Término</t>
  </si>
  <si>
    <t xml:space="preserve">Vence acesso</t>
  </si>
  <si>
    <t xml:space="preserve">% Andam.</t>
  </si>
  <si>
    <t xml:space="preserve">PÓS-GRADUAÇÃO</t>
  </si>
  <si>
    <t xml:space="preserve">CONCURSO</t>
  </si>
  <si>
    <t xml:space="preserve">LIVROS</t>
  </si>
  <si>
    <t xml:space="preserve">CURSOS IA</t>
  </si>
  <si>
    <t xml:space="preserve">RENDA EXTRA</t>
  </si>
  <si>
    <t xml:space="preserve">METAS DE ESTUDO</t>
  </si>
  <si>
    <t xml:space="preserve">Defina metas mensais de horas, acompanhe o ritmo e veja seu mapa de calor</t>
  </si>
  <si>
    <t xml:space="preserve">Mês de referência:</t>
  </si>
  <si>
    <t xml:space="preserve">1º dia (auto):</t>
  </si>
  <si>
    <t xml:space="preserve">% do mês decorrido:</t>
  </si>
  <si>
    <t xml:space="preserve">← digite qualquer data do mês</t>
  </si>
  <si>
    <t xml:space="preserve">HORAS NO MÊS</t>
  </si>
  <si>
    <t xml:space="preserve">META DO MÊS</t>
  </si>
  <si>
    <t xml:space="preserve">% DA META</t>
  </si>
  <si>
    <t xml:space="preserve">DIAS ESTUDADOS</t>
  </si>
  <si>
    <t xml:space="preserve">METAS POR CATEGORIA</t>
  </si>
  <si>
    <t xml:space="preserve">MAPA DE CALOR DO MÊS</t>
  </si>
  <si>
    <t xml:space="preserve">Realizado (h)</t>
  </si>
  <si>
    <t xml:space="preserve">% da meta</t>
  </si>
  <si>
    <t xml:space="preserve">Faltam (h)</t>
  </si>
  <si>
    <t xml:space="preserve">Ritmo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</si>
  <si>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</si>
  <si>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</si>
  <si>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</si>
  <si>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</si>
  <si>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</si>
  <si>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</si>
  <si>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</si>
  <si>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Quanto mais escura a célula, mais horas estudadas no dia · dia de hoje em verde-escuro</t>
  </si>
  <si>
    <t xml:space="preserve">DIÁRIO DE ESTUDO</t>
  </si>
  <si>
    <t xml:space="preserve">Registre cada sessão de estudo — alimenta as Metas, o mapa de calor e o Dashboard</t>
  </si>
  <si>
    <t xml:space="preserve">Linhas 7–9 = exemplo (substitua ou apague)  ·  Escolha a categoria na seta</t>
  </si>
  <si>
    <t xml:space="preserve">← total de horas registradas</t>
  </si>
  <si>
    <t xml:space="preserve">Data</t>
  </si>
  <si>
    <t xml:space="preserve">Curso / Livro</t>
  </si>
  <si>
    <t xml:space="preserve">Horas</t>
  </si>
  <si>
    <t xml:space="preserve">Tema estudado</t>
  </si>
  <si>
    <t xml:space="preserve">Foco (1–5)</t>
  </si>
  <si>
    <t xml:space="preserve">MBA em Inteligência Artificial (exemplo)</t>
  </si>
  <si>
    <t xml:space="preserve">Introdução a machine learning</t>
  </si>
  <si>
    <t xml:space="preserve">Agentes de IA na Prática (exemplo)</t>
  </si>
  <si>
    <t xml:space="preserve">Fluxos de automação</t>
  </si>
  <si>
    <t xml:space="preserve">Hábitos Atômicos (exemplo)</t>
  </si>
  <si>
    <t xml:space="preserve">Capítulos 5 a 7</t>
  </si>
  <si>
    <t xml:space="preserve">MBAs, especializações, mestrado e extensões · disciplinas, acesso, certificado e investimento</t>
  </si>
  <si>
    <t xml:space="preserve">ITENS</t>
  </si>
  <si>
    <t xml:space="preserve">INVESTIDO</t>
  </si>
  <si>
    <t xml:space="preserve">ACESSOS A VENCER</t>
  </si>
  <si>
    <t xml:space="preserve">Células cinza = automáticas (não edite)  ·  Linha 10 = exemplo: substitua ou apague  ·  Use a seta das células Status, Prioridade e Certificado</t>
  </si>
  <si>
    <t xml:space="preserve">ID</t>
  </si>
  <si>
    <t xml:space="preserve">Curso / Pós-graduação</t>
  </si>
  <si>
    <t xml:space="preserve">Instituição</t>
  </si>
  <si>
    <t xml:space="preserve">Modalidade</t>
  </si>
  <si>
    <t xml:space="preserve">Data da compra</t>
  </si>
  <si>
    <t xml:space="preserve">Valor pago (R$)</t>
  </si>
  <si>
    <t xml:space="preserve">Data de início</t>
  </si>
  <si>
    <t xml:space="preserve">Término previsto</t>
  </si>
  <si>
    <t xml:space="preserve">Vencimento do acesso</t>
  </si>
  <si>
    <t xml:space="preserve">Dias p/ vencer</t>
  </si>
  <si>
    <t xml:space="preserve">Situação do acesso</t>
  </si>
  <si>
    <t xml:space="preserve">Disciplinas (total)</t>
  </si>
  <si>
    <t xml:space="preserve">Disciplinas concluídas</t>
  </si>
  <si>
    <t xml:space="preserve">% Andamento</t>
  </si>
  <si>
    <t xml:space="preserve">Prioridade</t>
  </si>
  <si>
    <t xml:space="preserve">Certificado</t>
  </si>
  <si>
    <t xml:space="preserve">Login</t>
  </si>
  <si>
    <t xml:space="preserve">Senha</t>
  </si>
  <si>
    <t xml:space="preserve">Link de acesso</t>
  </si>
  <si>
    <t xml:space="preserve">Observações</t>
  </si>
  <si>
    <t xml:space="preserve">Universidade Exemplo</t>
  </si>
  <si>
    <t xml:space="preserve">EAD</t>
  </si>
  <si>
    <t xml:space="preserve">Alta</t>
  </si>
  <si>
    <t xml:space="preserve">Não emitido</t>
  </si>
  <si>
    <t xml:space="preserve">seu.email@exemplo.com</t>
  </si>
  <si>
    <t xml:space="preserve">(guarde no gerenciador de senhas)</t>
  </si>
  <si>
    <t xml:space="preserve">https://portal.exemplo.com</t>
  </si>
  <si>
    <t xml:space="preserve">Linha de exemplo — substitua pelos seus dados.</t>
  </si>
  <si>
    <t xml:space="preserve">CONCURSOS PÚBLICOS</t>
  </si>
  <si>
    <t xml:space="preserve">Cursos preparatórios, bancos de questões e materiais · vincule cada curso ao concurso-alvo</t>
  </si>
  <si>
    <t xml:space="preserve">Curso / Material</t>
  </si>
  <si>
    <t xml:space="preserve">Plataforma / Instituição</t>
  </si>
  <si>
    <t xml:space="preserve">Concurso / Cargo alvo</t>
  </si>
  <si>
    <t xml:space="preserve">Banca</t>
  </si>
  <si>
    <t xml:space="preserve">Data da prova</t>
  </si>
  <si>
    <t xml:space="preserve">Aulas / Tópicos (total)</t>
  </si>
  <si>
    <t xml:space="preserve">Aulas / Tópicos concluídos</t>
  </si>
  <si>
    <t xml:space="preserve">Curso Preparatório Completo (exemplo)</t>
  </si>
  <si>
    <t xml:space="preserve">Plataforma Exemplo</t>
  </si>
  <si>
    <t xml:space="preserve">Analista — Órgão Exemplo</t>
  </si>
  <si>
    <t xml:space="preserve">CEBRASPE</t>
  </si>
  <si>
    <t xml:space="preserve">Não se aplica</t>
  </si>
  <si>
    <t xml:space="preserve">https://plataforma.exemplo.com</t>
  </si>
  <si>
    <t xml:space="preserve">Biblioteca de leitura · páginas lidas, formato, nota e previsão de término</t>
  </si>
  <si>
    <t xml:space="preserve">PÁGINAS LIDAS</t>
  </si>
  <si>
    <t xml:space="preserve">Título</t>
  </si>
  <si>
    <t xml:space="preserve">Autor(a)</t>
  </si>
  <si>
    <t xml:space="preserve">Tema / Categoria</t>
  </si>
  <si>
    <t xml:space="preserve">Editora / Loja</t>
  </si>
  <si>
    <t xml:space="preserve">Formato</t>
  </si>
  <si>
    <t xml:space="preserve">Páginas (total)</t>
  </si>
  <si>
    <t xml:space="preserve">Páginas lidas</t>
  </si>
  <si>
    <t xml:space="preserve">Nota (1–5)</t>
  </si>
  <si>
    <t xml:space="preserve">Link / Onde está</t>
  </si>
  <si>
    <t xml:space="preserve">James Clear</t>
  </si>
  <si>
    <t xml:space="preserve">Produtividade</t>
  </si>
  <si>
    <t xml:space="preserve">Livraria Exemplo</t>
  </si>
  <si>
    <t xml:space="preserve">Físico</t>
  </si>
  <si>
    <t xml:space="preserve">Média</t>
  </si>
  <si>
    <t xml:space="preserve">Estante — prateleira 2</t>
  </si>
  <si>
    <t xml:space="preserve">CURSOS · FOCO EM IA</t>
  </si>
  <si>
    <t xml:space="preserve">Inteligência artificial, agentes, automação e ferramentas · do aprendizado à aplicação</t>
  </si>
  <si>
    <t xml:space="preserve">Curso</t>
  </si>
  <si>
    <t xml:space="preserve">Instituição / Plataforma</t>
  </si>
  <si>
    <t xml:space="preserve">Foco / Ferramenta</t>
  </si>
  <si>
    <t xml:space="preserve">Aulas (total)</t>
  </si>
  <si>
    <t xml:space="preserve">Aulas concluídas</t>
  </si>
  <si>
    <t xml:space="preserve">Agentes · automação</t>
  </si>
  <si>
    <t xml:space="preserve">CURSOS · FOCO EM RENDA EXTRA</t>
  </si>
  <si>
    <t xml:space="preserve">Afiliados, freelas, infoprodutos e negócios digitais · aprendizado e retorno financeiro</t>
  </si>
  <si>
    <t xml:space="preserve">RESULTADO/MÊS ATUAL</t>
  </si>
  <si>
    <t xml:space="preserve">Modelo de renda</t>
  </si>
  <si>
    <t xml:space="preserve">Meta de ganho/mês (R$)</t>
  </si>
  <si>
    <t xml:space="preserve">Resultado atual/mês (R$)</t>
  </si>
  <si>
    <t xml:space="preserve">Marketing de Afiliados do Zero (exemplo)</t>
  </si>
  <si>
    <t xml:space="preserve">Afiliados</t>
  </si>
  <si>
    <t xml:space="preserve">LISTAS E CONFIGURAÇÕES</t>
  </si>
  <si>
    <t xml:space="preserve">Edite as listas das setas e o prazo de alerta. Não renomeie os 4 Status.</t>
  </si>
  <si>
    <t xml:space="preserve">Formato (livros)</t>
  </si>
  <si>
    <t xml:space="preserve">Categoria (diário)</t>
  </si>
  <si>
    <t xml:space="preserve">Alerta de vencimento (dias)</t>
  </si>
  <si>
    <t xml:space="preserve">Presencial</t>
  </si>
  <si>
    <t xml:space="preserve">E-book</t>
  </si>
  <si>
    <t xml:space="preserve">Em emissão</t>
  </si>
  <si>
    <t xml:space="preserve">Acessos que vencem em até este nº de dias aparecem como “▲ A vencer”. Prazo padrão sugerido: 30 dias (editável).</t>
  </si>
  <si>
    <t xml:space="preserve">Baixa</t>
  </si>
  <si>
    <t xml:space="preserve">Híbrido</t>
  </si>
  <si>
    <t xml:space="preserve">Audiobook</t>
  </si>
  <si>
    <t xml:space="preserve">Emitido</t>
  </si>
  <si>
    <t xml:space="preserve">PDF</t>
  </si>
  <si>
    <t xml:space="preserve">As categorias da coluna E alimentam o Diário de Estudo e as Metas. Se renomear, renomeie também as abas correspondentes só se quiser manter a coerência visual.</t>
  </si>
  <si>
    <t xml:space="preserve">APOIO · CÁLCULOS AUTOMÁTICOS</t>
  </si>
  <si>
    <t xml:space="preserve">Alimenta o painel de vencimentos do Dashboard. Não edite.</t>
  </si>
  <si>
    <t xml:space="preserve">Vencimento</t>
  </si>
  <si>
    <t xml:space="preserve">Chave de ordem</t>
  </si>
  <si>
    <t xml:space="preserve">Posição</t>
  </si>
  <si>
    <t xml:space="preserve">Chave</t>
  </si>
  <si>
    <t xml:space="preserve">Linha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</si>
</sst>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&quot;R$ &quot;#,##0.00"/>
    <numFmt numFmtId="167" formatCode="0%"/>
    <numFmt numFmtId="168" formatCode="dd/mm/yyyy"/>
    <numFmt numFmtId="169" formatCode="General"/>
    <numFmt numFmtId="170" formatCode="mmm/yy"/>
    <numFmt numFmtId="171" formatCode="0.0"/>
    <numFmt numFmtId="172" formatCode="0.0&quot; h&quot;"/>
    <numFmt numFmtId="173" formatCode="#,##0"/>
    <numFmt numFmtId="174" formatCode="mm/yyyy"/>
    <numFmt numFmtId="175" formatCode="mmmm/yyyy"/>
    <numFmt numFmtId="176" formatCode="d"/>
    <numFmt numFmtId="177" formatCode="0.0;\-0.0;\–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i val="true"/>
      <sz val="11"/>
      <color rgb="FFB7C9A0"/>
      <name val="Arial"/>
      <family val="0"/>
      <charset val="1"/>
    </font>
    <font>
      <b val="true"/>
      <sz val="10"/>
      <color rgb="FF6B8E6E"/>
      <name val="Arial"/>
      <family val="0"/>
      <charset val="1"/>
    </font>
    <font>
      <b val="true"/>
      <u val="single"/>
      <sz val="12"/>
      <color rgb="FFFFFFFF"/>
      <name val="Arial"/>
      <family val="0"/>
      <charset val="1"/>
    </font>
    <font>
      <sz val="9"/>
      <color rgb="FF3E4A3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3E4A3D"/>
      <name val="Arial"/>
      <family val="0"/>
      <charset val="1"/>
    </font>
    <font>
      <b val="true"/>
      <sz val="10"/>
      <color rgb="FF3E4A3D"/>
      <name val="Arial"/>
      <family val="0"/>
      <charset val="1"/>
    </font>
    <font>
      <b val="true"/>
      <sz val="10"/>
      <color rgb="FF2E3A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A6420"/>
      <name val="Arial"/>
      <family val="0"/>
      <charset val="1"/>
    </font>
    <font>
      <b val="true"/>
      <sz val="10"/>
      <color rgb="FF8C4A3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B7C9A0"/>
      <name val="Arial"/>
      <family val="0"/>
      <charset val="1"/>
    </font>
    <font>
      <b val="true"/>
      <u val="single"/>
      <sz val="10"/>
      <color rgb="FFDCE5D4"/>
      <name val="Arial"/>
      <family val="0"/>
      <charset val="1"/>
    </font>
    <font>
      <b val="true"/>
      <sz val="8"/>
      <color rgb="FF6B8E6E"/>
      <name val="Arial"/>
      <family val="0"/>
      <charset val="1"/>
    </font>
    <font>
      <b val="true"/>
      <sz val="17"/>
      <color rgb="FF2E3A2F"/>
      <name val="Arial"/>
      <family val="0"/>
      <charset val="1"/>
    </font>
    <font>
      <i val="true"/>
      <sz val="8"/>
      <color rgb="FF6B8E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u val="single"/>
      <sz val="10"/>
      <color rgb="FF6B8E6E"/>
      <name val="Arial"/>
      <family val="0"/>
      <charset val="1"/>
    </font>
    <font>
      <sz val="9"/>
      <color rgb="FF6B8E6E"/>
      <name val="Arial"/>
      <family val="0"/>
      <charset val="1"/>
    </font>
    <font>
      <sz val="9"/>
      <color rgb="FFDCE5D4"/>
      <name val="Arial"/>
      <family val="0"/>
      <charset val="1"/>
    </font>
    <font>
      <sz val="8"/>
      <color rgb="FF6B8E6E"/>
      <name val="Arial"/>
      <family val="0"/>
      <charset val="1"/>
    </font>
    <font>
      <b val="true"/>
      <sz val="11"/>
      <color rgb="FF3E4A3D"/>
      <name val="Arial"/>
      <family val="2"/>
    </font>
    <font>
      <sz val="10"/>
      <color rgb="FF000000"/>
      <name val="Calibri"/>
      <family val="2"/>
    </font>
    <font>
      <b val="true"/>
      <sz val="11"/>
      <color rgb="FF6B8E6E"/>
      <name val="Arial"/>
      <family val="0"/>
      <charset val="1"/>
    </font>
    <font>
      <b val="true"/>
      <sz val="9"/>
      <color rgb="FF3E4A3D"/>
      <name val="Arial"/>
      <family val="0"/>
      <charset val="1"/>
    </font>
    <font>
      <b val="true"/>
      <sz val="9"/>
      <color rgb="FF2E3A2F"/>
      <name val="Arial"/>
      <family val="0"/>
      <charset val="1"/>
    </font>
    <font>
      <sz val="10"/>
      <name val="Arial"/>
      <family val="2"/>
    </font>
    <font>
      <b val="true"/>
      <sz val="14"/>
      <color rgb="FF6B8E6E"/>
      <name val="Arial"/>
      <family val="0"/>
      <charset val="1"/>
    </font>
    <font>
      <i val="true"/>
      <sz val="9"/>
      <color rgb="FF3E4A3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3A2F"/>
        <bgColor rgb="FF3E4A3D"/>
      </patternFill>
    </fill>
    <fill>
      <patternFill patternType="solid">
        <fgColor rgb="FFA3B18A"/>
        <bgColor rgb="FFB7C9A0"/>
      </patternFill>
    </fill>
    <fill>
      <patternFill patternType="solid">
        <fgColor rgb="FF6B8E6E"/>
        <bgColor rgb="FF878787"/>
      </patternFill>
    </fill>
    <fill>
      <patternFill patternType="solid">
        <fgColor rgb="FFDCE5D4"/>
        <bgColor rgb="FFE3DFD2"/>
      </patternFill>
    </fill>
    <fill>
      <patternFill patternType="solid">
        <fgColor rgb="FFEDEAE0"/>
        <bgColor rgb="FFDCE5D4"/>
      </patternFill>
    </fill>
    <fill>
      <patternFill patternType="solid">
        <fgColor rgb="FFFFFFFF"/>
        <bgColor rgb="FFEDEAE0"/>
      </patternFill>
    </fill>
    <fill>
      <patternFill patternType="solid">
        <fgColor rgb="FFB7C9A0"/>
        <bgColor rgb="FFC9BFA6"/>
      </patternFill>
    </fill>
    <fill>
      <patternFill patternType="solid">
        <fgColor rgb="FFF2E6BE"/>
        <bgColor rgb="FFE3DFD2"/>
      </patternFill>
    </fill>
    <fill>
      <patternFill patternType="solid">
        <fgColor rgb="FFEBCFC6"/>
        <bgColor rgb="FFE3DFD2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A3B18A"/>
      </bottom>
      <diagonal/>
    </border>
    <border diagonalUp="false" diagonalDown="false">
      <left style="thin">
        <color rgb="FFB7C9A0"/>
      </left>
      <right style="thin">
        <color rgb="FFB7C9A0"/>
      </right>
      <top style="thin">
        <color rgb="FFB7C9A0"/>
      </top>
      <bottom style="thin">
        <color rgb="FFB7C9A0"/>
      </bottom>
      <diagonal/>
    </border>
    <border diagonalUp="false" diagonalDown="false">
      <left style="thin">
        <color rgb="FFB7C9A0"/>
      </left>
      <right style="thin">
        <color rgb="FFB7C9A0"/>
      </right>
      <top style="thin">
        <color rgb="FFB7C9A0"/>
      </top>
      <bottom/>
      <diagonal/>
    </border>
    <border diagonalUp="false" diagonalDown="false">
      <left style="thin">
        <color rgb="FFB7C9A0"/>
      </left>
      <right style="thin">
        <color rgb="FFB7C9A0"/>
      </right>
      <top/>
      <bottom style="thin">
        <color rgb="FFB7C9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4" fontId="2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8C4A3C"/>
      </font>
      <fill>
        <patternFill>
          <bgColor rgb="FFEBCFC6"/>
        </patternFill>
      </fill>
    </dxf>
    <dxf>
      <font>
        <name val="Arial"/>
        <charset val="1"/>
        <family val="0"/>
        <b val="1"/>
        <color rgb="FF7A6420"/>
      </font>
      <fill>
        <patternFill>
          <bgColor rgb="FFF2E6BE"/>
        </patternFill>
      </fill>
    </dxf>
    <dxf>
      <fill>
        <patternFill>
          <bgColor rgb="FF6B8E6E"/>
        </patternFill>
      </fill>
    </dxf>
    <dxf>
      <fill>
        <patternFill>
          <bgColor rgb="FFA3B18A"/>
        </patternFill>
      </fill>
    </dxf>
    <dxf>
      <fill>
        <patternFill>
          <bgColor rgb="FFDCE5D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3A2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B8E6E"/>
        </patternFill>
      </fill>
    </dxf>
    <dxf>
      <font>
        <name val="Arial"/>
        <charset val="1"/>
        <family val="0"/>
        <b val="1"/>
        <color rgb="FF2E3A2F"/>
      </font>
      <fill>
        <patternFill>
          <bgColor rgb="FFB7C9A0"/>
        </patternFill>
      </fill>
    </dxf>
    <dxf>
      <fill>
        <patternFill patternType="solid">
          <fgColor rgb="FF2E3A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E4A3D"/>
          <bgColor rgb="FF000000"/>
        </patternFill>
      </fill>
    </dxf>
    <dxf>
      <fill>
        <patternFill patternType="solid">
          <fgColor rgb="FFA3B18A"/>
          <bgColor rgb="FF000000"/>
        </patternFill>
      </fill>
    </dxf>
    <dxf>
      <fill>
        <patternFill patternType="solid">
          <fgColor rgb="FFEDEAE0"/>
          <bgColor rgb="FF000000"/>
        </patternFill>
      </fill>
    </dxf>
    <dxf>
      <fill>
        <patternFill patternType="solid">
          <fgColor rgb="FF6B8E6E"/>
          <bgColor rgb="FF000000"/>
        </patternFill>
      </fill>
    </dxf>
    <dxf>
      <fill>
        <patternFill patternType="solid">
          <fgColor rgb="FFDCE5D4"/>
          <bgColor rgb="FF000000"/>
        </patternFill>
      </fill>
    </dxf>
    <dxf>
      <fill>
        <patternFill patternType="solid">
          <fgColor rgb="FFB7C9A0"/>
          <bgColor rgb="FF000000"/>
        </patternFill>
      </fill>
    </dxf>
    <dxf>
      <fill>
        <patternFill patternType="solid">
          <fgColor rgb="FF8C4A3C"/>
          <bgColor rgb="FF000000"/>
        </patternFill>
      </fill>
    </dxf>
    <dxf>
      <font>
        <name val="Arial"/>
        <charset val="1"/>
        <family val="0"/>
        <color rgb="FF7C7766"/>
      </font>
      <fill>
        <patternFill>
          <bgColor rgb="FFE3DFD2"/>
        </patternFill>
      </fill>
    </dxf>
    <dxf>
      <font>
        <name val="Arial"/>
        <charset val="1"/>
        <family val="0"/>
        <b val="1"/>
        <color rgb="FF8C4A3C"/>
      </font>
    </dxf>
    <dxf>
      <font>
        <name val="Arial"/>
        <charset val="1"/>
        <family val="0"/>
        <color rgb="FF7A6420"/>
      </font>
      <fill>
        <patternFill>
          <bgColor rgb="FFF2E6BE"/>
        </patternFill>
      </fill>
    </dxf>
    <dxf>
      <font>
        <name val="Arial"/>
        <charset val="1"/>
        <family val="0"/>
        <color rgb="FF6B8E6E"/>
      </font>
      <fill>
        <patternFill>
          <bgColor rgb="FFDCE5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420"/>
      <rgbColor rgb="FF800080"/>
      <rgbColor rgb="FF008080"/>
      <rgbColor rgb="FFC9BFA6"/>
      <rgbColor rgb="FF878787"/>
      <rgbColor rgb="FF9999FF"/>
      <rgbColor rgb="FF8C4A3C"/>
      <rgbColor rgb="FFEDEAE0"/>
      <rgbColor rgb="FFE3DFD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5D4"/>
      <rgbColor rgb="FFF2E6BE"/>
      <rgbColor rgb="FFB7C9A0"/>
      <rgbColor rgb="FFFF99CC"/>
      <rgbColor rgb="FFCC99FF"/>
      <rgbColor rgb="FFEBCFC6"/>
      <rgbColor rgb="FF4F81BD"/>
      <rgbColor rgb="FF33CCCC"/>
      <rgbColor rgb="FF99CC00"/>
      <rgbColor rgb="FFFFCC00"/>
      <rgbColor rgb="FFFF9900"/>
      <rgbColor rgb="FFFF6600"/>
      <rgbColor rgb="FF7C7766"/>
      <rgbColor rgb="FFA3B18A"/>
      <rgbColor rgb="FF003366"/>
      <rgbColor rgb="FF6B8E6E"/>
      <rgbColor rgb="FF003300"/>
      <rgbColor rgb="FF3E4A3D"/>
      <rgbColor rgb="FF993300"/>
      <rgbColor rgb="FF993366"/>
      <rgbColor rgb="FF333399"/>
      <rgbColor rgb="FF2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Status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Não iniciado</c:v>
                </c:pt>
              </c:strCache>
            </c:strRef>
          </c:tx>
          <c:spPr>
            <a:solidFill>
              <a:srgbClr val="dce5d4"/>
            </a:solidFill>
            <a:ln w="0">
              <a:solidFill>
                <a:srgbClr val="dce5d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Dashboard!$D$11:$D$15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Dashboard!E10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Dashboard!$E$11:$E$15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Dashboard!F10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Dashboard!$F$11:$F$15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Dashboard!G10</c:f>
              <c:strCache>
                <c:ptCount val="1"/>
                <c:pt idx="0">
                  <c:v>Pausado</c:v>
                </c:pt>
              </c:strCache>
            </c:strRef>
          </c:tx>
          <c:spPr>
            <a:solidFill>
              <a:srgbClr val="c9bfa6"/>
            </a:solidFill>
            <a:ln w="0">
              <a:solidFill>
                <a:srgbClr val="c9bf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Dashboard!$G$11:$G$15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75104446"/>
        <c:axId val="45194488"/>
      </c:barChart>
      <c:catAx>
        <c:axId val="75104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4488"/>
        <c:crosses val="autoZero"/>
        <c:auto val="1"/>
        <c:lblAlgn val="ctr"/>
        <c:lblOffset val="100"/>
        <c:noMultiLvlLbl val="0"/>
      </c:catAx>
      <c:valAx>
        <c:axId val="4519448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04446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ce5d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3b18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b8e6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9bf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Dashboard!$D$10:$G$10</c:f>
              <c:strCache>
                <c:ptCount val="4"/>
                <c:pt idx="0">
                  <c:v>Não iniciado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Pausado</c:v>
                </c:pt>
              </c:strCache>
            </c:strRef>
          </c:cat>
          <c:val>
            <c:numRef>
              <c:f>Dashboard!$D$16:$G$16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Progresso médio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Dashboard!I10</c:f>
              <c:strCache>
                <c:ptCount val="1"/>
                <c:pt idx="0">
                  <c:v>% médio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Dashboard!$I$11:$I$15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0.375</c:v>
                </c:pt>
                <c:pt idx="3">
                  <c:v>0.3</c:v>
                </c:pt>
                <c:pt idx="4">
                  <c:v>0.222222222222222</c:v>
                </c:pt>
              </c:numCache>
            </c:numRef>
          </c:val>
        </c:ser>
        <c:gapWidth val="150"/>
        <c:overlap val="0"/>
        <c:axId val="81782484"/>
        <c:axId val="86369932"/>
      </c:barChart>
      <c:catAx>
        <c:axId val="817824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9932"/>
        <c:crosses val="autoZero"/>
        <c:auto val="1"/>
        <c:lblAlgn val="ctr"/>
        <c:lblOffset val="100"/>
        <c:noMultiLvlLbl val="0"/>
      </c:catAx>
      <c:valAx>
        <c:axId val="86369932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2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Investimento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Dashboard!H10</c:f>
              <c:strCache>
                <c:ptCount val="1"/>
                <c:pt idx="0">
                  <c:v>Investimento (R$)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Dashboard!$H$11:$H$15</c:f>
              <c:numCache>
                <c:formatCode>"R$ "#,##0.00</c:formatCode>
                <c:ptCount val="5"/>
                <c:pt idx="0">
                  <c:v>12600</c:v>
                </c:pt>
                <c:pt idx="1">
                  <c:v>1490</c:v>
                </c:pt>
                <c:pt idx="2">
                  <c:v>49.9</c:v>
                </c:pt>
                <c:pt idx="3">
                  <c:v>497</c:v>
                </c:pt>
                <c:pt idx="4">
                  <c:v>297</c:v>
                </c:pt>
              </c:numCache>
            </c:numRef>
          </c:val>
        </c:ser>
        <c:gapWidth val="150"/>
        <c:overlap val="0"/>
        <c:axId val="60468558"/>
        <c:axId val="22764052"/>
      </c:barChart>
      <c:catAx>
        <c:axId val="60468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4052"/>
        <c:crosses val="autoZero"/>
        <c:auto val="1"/>
        <c:lblAlgn val="ctr"/>
        <c:lblOffset val="100"/>
        <c:noMultiLvlLbl val="0"/>
      </c:catAx>
      <c:valAx>
        <c:axId val="2276405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68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Meta × Realizado por categoria (horas)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'Metas de Estudo'!C12</c:f>
              <c:strCache>
                <c:ptCount val="1"/>
                <c:pt idx="0">
                  <c:v>Meta (h)</c:v>
                </c:pt>
              </c:strCache>
            </c:strRef>
          </c:tx>
          <c:spPr>
            <a:solidFill>
              <a:srgbClr val="dce5d4"/>
            </a:solidFill>
            <a:ln w="0">
              <a:solidFill>
                <a:srgbClr val="b7c9a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Estudo'!$C$13:$C$17</c:f>
              <c:numCache>
                <c:formatCode>0.0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'Metas de Estudo'!D12</c:f>
              <c:strCache>
                <c:ptCount val="1"/>
                <c:pt idx="0">
                  <c:v>Realizado (h)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Estudo'!$D$13:$D$17</c:f>
              <c:numCache>
                <c:formatCode>0.0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2596790"/>
        <c:axId val="51168474"/>
      </c:barChart>
      <c:catAx>
        <c:axId val="22596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68474"/>
        <c:crosses val="autoZero"/>
        <c:auto val="1"/>
        <c:lblAlgn val="ctr"/>
        <c:lblOffset val="100"/>
        <c:noMultiLvlLbl val="0"/>
      </c:catAx>
      <c:valAx>
        <c:axId val="5116847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967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Onde suas horas foram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3a2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b8e6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3b18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7c9a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9bf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Estudo'!$D$13:$D$17</c:f>
              <c:numCache>
                <c:formatCode>0.0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6</xdr:col>
      <xdr:colOff>462600</xdr:colOff>
      <xdr:row>43</xdr:row>
      <xdr:rowOff>21960</xdr:rowOff>
    </xdr:to>
    <xdr:graphicFrame>
      <xdr:nvGraphicFramePr>
        <xdr:cNvPr id="0" name="Chart 1"/>
        <xdr:cNvGraphicFramePr/>
      </xdr:nvGraphicFramePr>
      <xdr:xfrm>
        <a:off x="211320" y="711504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815040</xdr:colOff>
      <xdr:row>43</xdr:row>
      <xdr:rowOff>21960</xdr:rowOff>
    </xdr:to>
    <xdr:graphicFrame>
      <xdr:nvGraphicFramePr>
        <xdr:cNvPr id="1" name="Chart 2"/>
        <xdr:cNvGraphicFramePr/>
      </xdr:nvGraphicFramePr>
      <xdr:xfrm>
        <a:off x="5850360" y="711504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462600</xdr:colOff>
      <xdr:row>60</xdr:row>
      <xdr:rowOff>21960</xdr:rowOff>
    </xdr:to>
    <xdr:graphicFrame>
      <xdr:nvGraphicFramePr>
        <xdr:cNvPr id="2" name="Chart 3"/>
        <xdr:cNvGraphicFramePr/>
      </xdr:nvGraphicFramePr>
      <xdr:xfrm>
        <a:off x="211320" y="1035360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815040</xdr:colOff>
      <xdr:row>60</xdr:row>
      <xdr:rowOff>21960</xdr:rowOff>
    </xdr:to>
    <xdr:graphicFrame>
      <xdr:nvGraphicFramePr>
        <xdr:cNvPr id="3" name="Chart 4"/>
        <xdr:cNvGraphicFramePr/>
      </xdr:nvGraphicFramePr>
      <xdr:xfrm>
        <a:off x="5850360" y="1035360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731160</xdr:colOff>
      <xdr:row>31</xdr:row>
      <xdr:rowOff>164880</xdr:rowOff>
    </xdr:to>
    <xdr:graphicFrame>
      <xdr:nvGraphicFramePr>
        <xdr:cNvPr id="4" name="Chart 1"/>
        <xdr:cNvGraphicFramePr/>
      </xdr:nvGraphicFramePr>
      <xdr:xfrm>
        <a:off x="211320" y="4581360"/>
        <a:ext cx="62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15</xdr:col>
      <xdr:colOff>480240</xdr:colOff>
      <xdr:row>41</xdr:row>
      <xdr:rowOff>21960</xdr:rowOff>
    </xdr:to>
    <xdr:graphicFrame>
      <xdr:nvGraphicFramePr>
        <xdr:cNvPr id="5" name="Chart 2"/>
        <xdr:cNvGraphicFramePr/>
      </xdr:nvGraphicFramePr>
      <xdr:xfrm>
        <a:off x="8105760" y="634356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3A2F"/>
    <pageSetUpPr fitToPage="true"/>
  </sheetPr>
  <dimension ref="A1:M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4"/>
  </cols>
  <sheetData>
    <row r="1" customFormat="false" ht="5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9.75" hidden="false" customHeight="true" outlineLevel="0" collapsed="false"/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30" hidden="false" customHeight="true" outlineLevel="0" collapsed="false">
      <c r="B6" s="5" t="s">
        <v>3</v>
      </c>
      <c r="C6" s="5"/>
      <c r="D6" s="5"/>
      <c r="E6" s="5" t="s">
        <v>4</v>
      </c>
      <c r="F6" s="5"/>
      <c r="G6" s="5"/>
      <c r="H6" s="5" t="s">
        <v>5</v>
      </c>
      <c r="I6" s="5"/>
      <c r="J6" s="5"/>
      <c r="K6" s="5" t="s">
        <v>6</v>
      </c>
      <c r="L6" s="5"/>
      <c r="M6" s="5"/>
    </row>
    <row r="7" customFormat="false" ht="30" hidden="false" customHeight="true" outlineLevel="0" collapsed="false">
      <c r="B7" s="6" t="s">
        <v>7</v>
      </c>
      <c r="C7" s="6"/>
      <c r="D7" s="6"/>
      <c r="E7" s="6" t="s">
        <v>8</v>
      </c>
      <c r="F7" s="6"/>
      <c r="G7" s="6"/>
      <c r="H7" s="6" t="s">
        <v>9</v>
      </c>
      <c r="I7" s="6"/>
      <c r="J7" s="6"/>
      <c r="K7" s="6" t="s">
        <v>10</v>
      </c>
      <c r="L7" s="6"/>
      <c r="M7" s="6"/>
    </row>
    <row r="8" customFormat="false" ht="7.5" hidden="false" customHeight="true" outlineLevel="0" collapsed="false"/>
    <row r="9" customFormat="false" ht="30" hidden="false" customHeight="true" outlineLevel="0" collapsed="false">
      <c r="B9" s="7" t="s">
        <v>11</v>
      </c>
      <c r="C9" s="7"/>
      <c r="D9" s="7"/>
      <c r="E9" s="7" t="s">
        <v>12</v>
      </c>
      <c r="F9" s="7"/>
      <c r="G9" s="7"/>
      <c r="H9" s="7" t="s">
        <v>13</v>
      </c>
      <c r="I9" s="7"/>
      <c r="J9" s="7"/>
      <c r="K9" s="7" t="s">
        <v>14</v>
      </c>
      <c r="L9" s="7"/>
      <c r="M9" s="7"/>
    </row>
    <row r="10" customFormat="false" ht="30" hidden="false" customHeight="true" outlineLevel="0" collapsed="false">
      <c r="B10" s="6" t="s">
        <v>15</v>
      </c>
      <c r="C10" s="6"/>
      <c r="D10" s="6"/>
      <c r="E10" s="6" t="s">
        <v>16</v>
      </c>
      <c r="F10" s="6"/>
      <c r="G10" s="6"/>
      <c r="H10" s="6" t="s">
        <v>17</v>
      </c>
      <c r="I10" s="6"/>
      <c r="J10" s="6"/>
      <c r="K10" s="6" t="s">
        <v>18</v>
      </c>
      <c r="L10" s="6"/>
      <c r="M10" s="6"/>
    </row>
    <row r="11" customFormat="false" ht="7.5" hidden="false" customHeight="true" outlineLevel="0" collapsed="false"/>
    <row r="12" customFormat="false" ht="30" hidden="false" customHeight="true" outlineLevel="0" collapsed="false">
      <c r="B12" s="7" t="s">
        <v>19</v>
      </c>
      <c r="C12" s="7"/>
      <c r="D12" s="7"/>
      <c r="E12" s="8" t="s">
        <v>20</v>
      </c>
      <c r="F12" s="8"/>
      <c r="G12" s="8"/>
    </row>
    <row r="13" customFormat="false" ht="30" hidden="false" customHeight="true" outlineLevel="0" collapsed="false">
      <c r="B13" s="6" t="s">
        <v>21</v>
      </c>
      <c r="C13" s="6"/>
      <c r="D13" s="6"/>
      <c r="E13" s="6" t="s">
        <v>22</v>
      </c>
      <c r="F13" s="6"/>
      <c r="G13" s="6"/>
    </row>
    <row r="14" customFormat="false" ht="7.5" hidden="false" customHeight="true" outlineLevel="0" collapsed="false"/>
    <row r="16" customFormat="false" ht="21.75" hidden="false" customHeight="true" outlineLevel="0" collapsed="false">
      <c r="B16" s="4" t="s">
        <v>23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7.75" hidden="false" customHeight="true" outlineLevel="0" collapsed="false">
      <c r="B17" s="9" t="s">
        <v>24</v>
      </c>
      <c r="C17" s="10" t="s">
        <v>25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27.75" hidden="false" customHeight="true" outlineLevel="0" collapsed="false">
      <c r="B18" s="9" t="s">
        <v>26</v>
      </c>
      <c r="C18" s="11" t="s">
        <v>27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27.75" hidden="false" customHeight="true" outlineLevel="0" collapsed="false">
      <c r="B19" s="9" t="s">
        <v>28</v>
      </c>
      <c r="C19" s="10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27.75" hidden="false" customHeight="true" outlineLevel="0" collapsed="false">
      <c r="B20" s="9" t="s">
        <v>30</v>
      </c>
      <c r="C20" s="11" t="s">
        <v>31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27.75" hidden="false" customHeight="true" outlineLevel="0" collapsed="false">
      <c r="B21" s="9" t="s">
        <v>32</v>
      </c>
      <c r="C21" s="10" t="s">
        <v>33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27.75" hidden="false" customHeight="true" outlineLevel="0" collapsed="false">
      <c r="B22" s="9" t="s">
        <v>34</v>
      </c>
      <c r="C22" s="11" t="s">
        <v>35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Format="false" ht="21.75" hidden="false" customHeight="true" outlineLevel="0" collapsed="false">
      <c r="B24" s="4" t="s">
        <v>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21.75" hidden="false" customHeight="true" outlineLevel="0" collapsed="false">
      <c r="B25" s="12" t="s">
        <v>37</v>
      </c>
      <c r="C25" s="12"/>
      <c r="D25" s="13" t="s">
        <v>38</v>
      </c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21.75" hidden="false" customHeight="true" outlineLevel="0" collapsed="false">
      <c r="B26" s="14" t="s">
        <v>39</v>
      </c>
      <c r="C26" s="14"/>
      <c r="D26" s="13" t="s">
        <v>40</v>
      </c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21.75" hidden="false" customHeight="true" outlineLevel="0" collapsed="false">
      <c r="B27" s="15" t="s">
        <v>41</v>
      </c>
      <c r="C27" s="15"/>
      <c r="D27" s="13" t="s">
        <v>42</v>
      </c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21.75" hidden="false" customHeight="true" outlineLevel="0" collapsed="false">
      <c r="B28" s="16" t="s">
        <v>43</v>
      </c>
      <c r="C28" s="16"/>
      <c r="D28" s="13" t="s">
        <v>44</v>
      </c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21.75" hidden="false" customHeight="true" outlineLevel="0" collapsed="false">
      <c r="B29" s="17" t="s">
        <v>45</v>
      </c>
      <c r="C29" s="17"/>
      <c r="D29" s="13" t="s">
        <v>46</v>
      </c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21.75" hidden="false" customHeight="true" outlineLevel="0" collapsed="false">
      <c r="B30" s="18" t="s">
        <v>47</v>
      </c>
      <c r="C30" s="18"/>
      <c r="D30" s="13" t="s">
        <v>48</v>
      </c>
      <c r="E30" s="13"/>
      <c r="F30" s="13"/>
      <c r="G30" s="13"/>
      <c r="H30" s="13"/>
      <c r="I30" s="13"/>
      <c r="J30" s="13"/>
      <c r="K30" s="13"/>
      <c r="L30" s="13"/>
      <c r="M30" s="13"/>
    </row>
    <row r="32" customFormat="false" ht="21.75" hidden="false" customHeight="true" outlineLevel="0" collapsed="false">
      <c r="B32" s="4" t="s">
        <v>49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30" hidden="false" customHeight="true" outlineLevel="0" collapsed="false">
      <c r="B33" s="19" t="s">
        <v>50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30" hidden="false" customHeight="true" outlineLevel="0" collapsed="false">
      <c r="B34" s="19" t="s">
        <v>51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customFormat="false" ht="30" hidden="false" customHeight="true" outlineLevel="0" collapsed="false">
      <c r="B35" s="19" t="s">
        <v>52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30" hidden="false" customHeight="true" outlineLevel="0" collapsed="false">
      <c r="B36" s="19" t="s">
        <v>53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</sheetData>
  <mergeCells count="48">
    <mergeCell ref="A1:M1"/>
    <mergeCell ref="A2:M2"/>
    <mergeCell ref="B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2:D12"/>
    <mergeCell ref="E12:G12"/>
    <mergeCell ref="B13:D13"/>
    <mergeCell ref="E13:G13"/>
    <mergeCell ref="B16:M16"/>
    <mergeCell ref="C17:M17"/>
    <mergeCell ref="C18:M18"/>
    <mergeCell ref="C19:M19"/>
    <mergeCell ref="C20:M20"/>
    <mergeCell ref="C21:M21"/>
    <mergeCell ref="C22:M22"/>
    <mergeCell ref="B24:M24"/>
    <mergeCell ref="B25:C25"/>
    <mergeCell ref="D25:M25"/>
    <mergeCell ref="B26:C26"/>
    <mergeCell ref="D26:M26"/>
    <mergeCell ref="B27:C27"/>
    <mergeCell ref="D27:M27"/>
    <mergeCell ref="B28:C28"/>
    <mergeCell ref="D28:M28"/>
    <mergeCell ref="B29:C29"/>
    <mergeCell ref="D29:M29"/>
    <mergeCell ref="B30:C30"/>
    <mergeCell ref="D30:M30"/>
    <mergeCell ref="B32:M32"/>
    <mergeCell ref="B33:M33"/>
    <mergeCell ref="B34:M34"/>
    <mergeCell ref="B35:M35"/>
    <mergeCell ref="B36:M36"/>
  </mergeCells>
  <hyperlinks>
    <hyperlink ref="B6" location="'Dashboard'!A1" display="Dashboard"/>
    <hyperlink ref="E6" location="'Roadmap'!A1" display="Roadmap"/>
    <hyperlink ref="H6" location="'Metas de Estudo'!A1" display="Metas de Estudo"/>
    <hyperlink ref="K6" location="'Diário de Estudo'!A1" display="Diário de Estudo"/>
    <hyperlink ref="B9" location="'Pós-graduação'!A1" display="Pós-graduação"/>
    <hyperlink ref="E9" location="'Concurso'!A1" display="Concurso"/>
    <hyperlink ref="H9" location="'Livros'!A1" display="Livros"/>
    <hyperlink ref="K9" location="'Cursos IA'!A1" display="Cursos IA"/>
    <hyperlink ref="B12" location="'Renda Extra'!A1" display="Renda Extra"/>
    <hyperlink ref="E12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13"/>
  </cols>
  <sheetData>
    <row r="1" customFormat="false" ht="37.5" hidden="false" customHeight="true" outlineLevel="0" collapsed="false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9.5" hidden="false" customHeight="true" outlineLevel="0" collapsed="false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2" t="s">
        <v>56</v>
      </c>
      <c r="L2" s="22"/>
      <c r="M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57</v>
      </c>
      <c r="C5" s="23"/>
      <c r="D5" s="23" t="s">
        <v>58</v>
      </c>
      <c r="E5" s="23"/>
      <c r="F5" s="23" t="s">
        <v>59</v>
      </c>
      <c r="G5" s="23"/>
      <c r="H5" s="23" t="s">
        <v>60</v>
      </c>
      <c r="I5" s="23"/>
      <c r="J5" s="23" t="s">
        <v>61</v>
      </c>
      <c r="K5" s="23"/>
      <c r="L5" s="23" t="s">
        <v>62</v>
      </c>
      <c r="M5" s="23"/>
    </row>
    <row r="6" customFormat="false" ht="27.75" hidden="false" customHeight="true" outlineLevel="0" collapsed="false">
      <c r="B6" s="24" t="n">
        <f aca="false">C16</f>
        <v>5</v>
      </c>
      <c r="C6" s="24"/>
      <c r="D6" s="24" t="n">
        <f aca="false">E16</f>
        <v>5</v>
      </c>
      <c r="E6" s="24"/>
      <c r="F6" s="24" t="n">
        <f aca="false">F16</f>
        <v>0</v>
      </c>
      <c r="G6" s="24"/>
      <c r="H6" s="25" t="n">
        <f aca="false">H16</f>
        <v>14933.9</v>
      </c>
      <c r="I6" s="25"/>
      <c r="J6" s="26" t="n">
        <f aca="false">I16</f>
        <v>0.249444444444444</v>
      </c>
      <c r="K6" s="26"/>
      <c r="L6" s="24" t="n">
        <f aca="false">M16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B8" s="30" t="s">
        <v>63</v>
      </c>
      <c r="C8" s="31" t="n">
        <f aca="true">TODAY()</f>
        <v>46298</v>
      </c>
    </row>
    <row r="9" customFormat="false" ht="21.75" hidden="false" customHeight="true" outlineLevel="0" collapsed="false">
      <c r="B9" s="4" t="s">
        <v>64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7.75" hidden="false" customHeight="true" outlineLevel="0" collapsed="false">
      <c r="B10" s="32" t="s">
        <v>65</v>
      </c>
      <c r="C10" s="32" t="s">
        <v>66</v>
      </c>
      <c r="D10" s="32" t="s">
        <v>67</v>
      </c>
      <c r="E10" s="32" t="s">
        <v>41</v>
      </c>
      <c r="F10" s="32" t="s">
        <v>43</v>
      </c>
      <c r="G10" s="32" t="s">
        <v>68</v>
      </c>
      <c r="H10" s="32" t="s">
        <v>69</v>
      </c>
      <c r="I10" s="32" t="s">
        <v>70</v>
      </c>
      <c r="J10" s="32" t="s">
        <v>71</v>
      </c>
      <c r="K10" s="32" t="s">
        <v>72</v>
      </c>
      <c r="L10" s="32" t="s">
        <v>73</v>
      </c>
      <c r="M10" s="32" t="s">
        <v>74</v>
      </c>
    </row>
    <row r="11" customFormat="false" ht="21.75" hidden="false" customHeight="true" outlineLevel="0" collapsed="false">
      <c r="B11" s="33" t="s">
        <v>11</v>
      </c>
      <c r="C11" s="34" t="n">
        <f aca="false">COUNTA('Pós-graduação'!B10:B49)</f>
        <v>1</v>
      </c>
      <c r="D11" s="34" t="n">
        <f aca="false">COUNTIF('Pós-graduação'!O10:O49,D$10)</f>
        <v>0</v>
      </c>
      <c r="E11" s="34" t="n">
        <f aca="false">COUNTIF('Pós-graduação'!O10:O49,E$10)</f>
        <v>1</v>
      </c>
      <c r="F11" s="34" t="n">
        <f aca="false">COUNTIF('Pós-graduação'!O10:O49,F$10)</f>
        <v>0</v>
      </c>
      <c r="G11" s="34" t="n">
        <f aca="false">COUNTIF('Pós-graduação'!O10:O49,G$10)</f>
        <v>0</v>
      </c>
      <c r="H11" s="35" t="n">
        <f aca="false">SUM('Pós-graduação'!F10:F49)</f>
        <v>12600</v>
      </c>
      <c r="I11" s="36" t="n">
        <f aca="false">IFERROR(AVERAGE('Pós-graduação'!N10:N49),0)</f>
        <v>0.1</v>
      </c>
      <c r="J11" s="37" t="str">
        <f aca="false">REPT("█",MIN(10,ROUND(I11*10,0)))&amp;REPT("░",10-MIN(10,ROUND(I11*10,0)))</f>
        <v>█░░░░░░░░░</v>
      </c>
      <c r="K11" s="34" t="n">
        <f aca="false">COUNTIF('Pós-graduação'!K10:K49,"*A vencer")</f>
        <v>0</v>
      </c>
      <c r="L11" s="34" t="n">
        <f aca="false">COUNTIF('Pós-graduação'!K10:K49,"*Vencido")</f>
        <v>0</v>
      </c>
      <c r="M11" s="34" t="n">
        <f aca="false">COUNTIF('Pós-graduação'!Q10:Q49,"Emitido")</f>
        <v>0</v>
      </c>
    </row>
    <row r="12" customFormat="false" ht="21.75" hidden="false" customHeight="true" outlineLevel="0" collapsed="false">
      <c r="B12" s="38" t="s">
        <v>12</v>
      </c>
      <c r="C12" s="39" t="n">
        <f aca="false">COUNTA(Concurso!B10:B49)</f>
        <v>1</v>
      </c>
      <c r="D12" s="39" t="n">
        <f aca="false">COUNTIF(Concurso!Q10:Q49,D$10)</f>
        <v>0</v>
      </c>
      <c r="E12" s="39" t="n">
        <f aca="false">COUNTIF(Concurso!Q10:Q49,E$10)</f>
        <v>1</v>
      </c>
      <c r="F12" s="39" t="n">
        <f aca="false">COUNTIF(Concurso!Q10:Q49,F$10)</f>
        <v>0</v>
      </c>
      <c r="G12" s="39" t="n">
        <f aca="false">COUNTIF(Concurso!Q10:Q49,G$10)</f>
        <v>0</v>
      </c>
      <c r="H12" s="40" t="n">
        <f aca="false">SUM(Concurso!H10:H49)</f>
        <v>1490</v>
      </c>
      <c r="I12" s="41" t="n">
        <f aca="false">IFERROR(AVERAGE(Concurso!P10:P49),0)</f>
        <v>0.25</v>
      </c>
      <c r="J12" s="42" t="str">
        <f aca="false">REPT("█",MIN(10,ROUND(I12*10,0)))&amp;REPT("░",10-MIN(10,ROUND(I12*10,0)))</f>
        <v>███░░░░░░░</v>
      </c>
      <c r="K12" s="39" t="n">
        <f aca="false">COUNTIF(Concurso!M10:M49,"*A vencer")</f>
        <v>0</v>
      </c>
      <c r="L12" s="39" t="n">
        <f aca="false">COUNTIF(Concurso!M10:M49,"*Vencido")</f>
        <v>0</v>
      </c>
      <c r="M12" s="39" t="n">
        <f aca="false">COUNTIF(Concurso!S10:S49,"Emitido")</f>
        <v>0</v>
      </c>
    </row>
    <row r="13" customFormat="false" ht="21.75" hidden="false" customHeight="true" outlineLevel="0" collapsed="false">
      <c r="B13" s="33" t="s">
        <v>13</v>
      </c>
      <c r="C13" s="34" t="n">
        <f aca="false">COUNTA(Livros!B10:B49)</f>
        <v>1</v>
      </c>
      <c r="D13" s="34" t="n">
        <f aca="false">COUNTIF(Livros!N10:N49,D$10)</f>
        <v>0</v>
      </c>
      <c r="E13" s="34" t="n">
        <f aca="false">COUNTIF(Livros!N10:N49,E$10)</f>
        <v>1</v>
      </c>
      <c r="F13" s="34" t="n">
        <f aca="false">COUNTIF(Livros!N10:N49,F$10)</f>
        <v>0</v>
      </c>
      <c r="G13" s="34" t="n">
        <f aca="false">COUNTIF(Livros!N10:N49,G$10)</f>
        <v>0</v>
      </c>
      <c r="H13" s="35" t="n">
        <f aca="false">SUM(Livros!H10:H49)</f>
        <v>49.9</v>
      </c>
      <c r="I13" s="36" t="n">
        <f aca="false">IFERROR(AVERAGE(Livros!M10:M49),0)</f>
        <v>0.375</v>
      </c>
      <c r="J13" s="37" t="str">
        <f aca="false">REPT("█",MIN(10,ROUND(I13*10,0)))&amp;REPT("░",10-MIN(10,ROUND(I13*10,0)))</f>
        <v>████░░░░░░</v>
      </c>
      <c r="K13" s="34" t="s">
        <v>75</v>
      </c>
      <c r="L13" s="34" t="s">
        <v>75</v>
      </c>
      <c r="M13" s="34" t="s">
        <v>75</v>
      </c>
    </row>
    <row r="14" customFormat="false" ht="21.75" hidden="false" customHeight="true" outlineLevel="0" collapsed="false">
      <c r="B14" s="38" t="s">
        <v>14</v>
      </c>
      <c r="C14" s="39" t="n">
        <f aca="false">COUNTA('Cursos IA'!B10:B49)</f>
        <v>1</v>
      </c>
      <c r="D14" s="39" t="n">
        <f aca="false">COUNTIF('Cursos IA'!O10:O49,D$10)</f>
        <v>0</v>
      </c>
      <c r="E14" s="39" t="n">
        <f aca="false">COUNTIF('Cursos IA'!O10:O49,E$10)</f>
        <v>1</v>
      </c>
      <c r="F14" s="39" t="n">
        <f aca="false">COUNTIF('Cursos IA'!O10:O49,F$10)</f>
        <v>0</v>
      </c>
      <c r="G14" s="39" t="n">
        <f aca="false">COUNTIF('Cursos IA'!O10:O49,G$10)</f>
        <v>0</v>
      </c>
      <c r="H14" s="40" t="n">
        <f aca="false">SUM('Cursos IA'!F10:F49)</f>
        <v>497</v>
      </c>
      <c r="I14" s="41" t="n">
        <f aca="false">IFERROR(AVERAGE('Cursos IA'!N10:N49),0)</f>
        <v>0.3</v>
      </c>
      <c r="J14" s="42" t="str">
        <f aca="false">REPT("█",MIN(10,ROUND(I14*10,0)))&amp;REPT("░",10-MIN(10,ROUND(I14*10,0)))</f>
        <v>███░░░░░░░</v>
      </c>
      <c r="K14" s="39" t="n">
        <f aca="false">COUNTIF('Cursos IA'!K10:K49,"*A vencer")</f>
        <v>0</v>
      </c>
      <c r="L14" s="39" t="n">
        <f aca="false">COUNTIF('Cursos IA'!K10:K49,"*Vencido")</f>
        <v>0</v>
      </c>
      <c r="M14" s="39" t="n">
        <f aca="false">COUNTIF('Cursos IA'!Q10:Q49,"Emitido")</f>
        <v>0</v>
      </c>
    </row>
    <row r="15" customFormat="false" ht="21.75" hidden="false" customHeight="true" outlineLevel="0" collapsed="false">
      <c r="B15" s="33" t="s">
        <v>19</v>
      </c>
      <c r="C15" s="34" t="n">
        <f aca="false">COUNTA('Renda Extra'!B10:B49)</f>
        <v>1</v>
      </c>
      <c r="D15" s="34" t="n">
        <f aca="false">COUNTIF('Renda Extra'!O10:O49,D$10)</f>
        <v>0</v>
      </c>
      <c r="E15" s="34" t="n">
        <f aca="false">COUNTIF('Renda Extra'!O10:O49,E$10)</f>
        <v>1</v>
      </c>
      <c r="F15" s="34" t="n">
        <f aca="false">COUNTIF('Renda Extra'!O10:O49,F$10)</f>
        <v>0</v>
      </c>
      <c r="G15" s="34" t="n">
        <f aca="false">COUNTIF('Renda Extra'!O10:O49,G$10)</f>
        <v>0</v>
      </c>
      <c r="H15" s="35" t="n">
        <f aca="false">SUM('Renda Extra'!F10:F49)</f>
        <v>297</v>
      </c>
      <c r="I15" s="36" t="n">
        <f aca="false">IFERROR(AVERAGE('Renda Extra'!N10:N49),0)</f>
        <v>0.222222222222222</v>
      </c>
      <c r="J15" s="37" t="str">
        <f aca="false">REPT("█",MIN(10,ROUND(I15*10,0)))&amp;REPT("░",10-MIN(10,ROUND(I15*10,0)))</f>
        <v>██░░░░░░░░</v>
      </c>
      <c r="K15" s="34" t="n">
        <f aca="false">COUNTIF('Renda Extra'!K10:K49,"*A vencer")</f>
        <v>0</v>
      </c>
      <c r="L15" s="34" t="n">
        <f aca="false">COUNTIF('Renda Extra'!K10:K49,"*Vencido")</f>
        <v>0</v>
      </c>
      <c r="M15" s="34" t="n">
        <f aca="false">COUNTIF('Renda Extra'!Q10:Q49,"Emitido")</f>
        <v>0</v>
      </c>
    </row>
    <row r="16" customFormat="false" ht="24" hidden="false" customHeight="true" outlineLevel="0" collapsed="false">
      <c r="B16" s="16" t="s">
        <v>76</v>
      </c>
      <c r="C16" s="16" t="n">
        <f aca="false">SUM(C11:C15)</f>
        <v>5</v>
      </c>
      <c r="D16" s="16" t="n">
        <f aca="false">SUM(D11:D15)</f>
        <v>0</v>
      </c>
      <c r="E16" s="16" t="n">
        <f aca="false">SUM(E11:E15)</f>
        <v>5</v>
      </c>
      <c r="F16" s="16" t="n">
        <f aca="false">SUM(F11:F15)</f>
        <v>0</v>
      </c>
      <c r="G16" s="16" t="n">
        <f aca="false">SUM(G11:G15)</f>
        <v>0</v>
      </c>
      <c r="H16" s="43" t="n">
        <f aca="false">SUM(H11:H15)</f>
        <v>14933.9</v>
      </c>
      <c r="I16" s="44" t="n">
        <f aca="false">IFERROR(SUMPRODUCT(C11:C15,I11:I15)/C16,0)</f>
        <v>0.249444444444444</v>
      </c>
      <c r="J16" s="45" t="str">
        <f aca="false">REPT("█",MIN(10,ROUND(I16*10,0)))&amp;REPT("░",10-MIN(10,ROUND(I16*10,0)))</f>
        <v>██░░░░░░░░</v>
      </c>
      <c r="K16" s="16" t="n">
        <f aca="false">SUM(K11:K15)</f>
        <v>0</v>
      </c>
      <c r="L16" s="46" t="n">
        <f aca="false">SUM(L11:L15)</f>
        <v>0</v>
      </c>
      <c r="M16" s="16" t="n">
        <f aca="false">SUM(M11:M15)</f>
        <v>0</v>
      </c>
    </row>
    <row r="18" customFormat="false" ht="21.75" hidden="false" customHeight="true" outlineLevel="0" collapsed="false">
      <c r="B18" s="4" t="s">
        <v>77</v>
      </c>
      <c r="C18" s="4"/>
      <c r="D18" s="4"/>
      <c r="E18" s="4"/>
      <c r="F18" s="4"/>
      <c r="G18" s="4"/>
      <c r="H18" s="4" t="s">
        <v>78</v>
      </c>
      <c r="I18" s="4"/>
      <c r="J18" s="4"/>
      <c r="K18" s="4"/>
      <c r="L18" s="4"/>
      <c r="M18" s="47" t="n">
        <f aca="false">'Metas de Estudo'!E5</f>
        <v>46296</v>
      </c>
    </row>
    <row r="19" customFormat="false" ht="21.75" hidden="false" customHeight="true" outlineLevel="0" collapsed="false">
      <c r="B19" s="32" t="s">
        <v>65</v>
      </c>
      <c r="C19" s="32" t="s">
        <v>79</v>
      </c>
      <c r="D19" s="32"/>
      <c r="E19" s="32"/>
      <c r="F19" s="32" t="s">
        <v>80</v>
      </c>
      <c r="G19" s="32" t="s">
        <v>81</v>
      </c>
      <c r="H19" s="32" t="s">
        <v>65</v>
      </c>
      <c r="I19" s="32"/>
      <c r="J19" s="32" t="s">
        <v>82</v>
      </c>
      <c r="K19" s="32" t="s">
        <v>83</v>
      </c>
      <c r="L19" s="32" t="s">
        <v>84</v>
      </c>
      <c r="M19" s="32" t="s">
        <v>71</v>
      </c>
    </row>
    <row r="20" customFormat="false" ht="21.75" hidden="false" customHeight="true" outlineLevel="0" collapsed="false">
      <c r="B20" s="48" t="str">
        <f aca="false">IF(Apoio!$H$5="","",INDEX(Apoio!$A$5:$A$164,Apoio!$H$5))</f>
        <v>Concurso</v>
      </c>
      <c r="C20" s="49" t="str">
        <f aca="false">IF(Apoio!$H$5="","",INDEX(Apoio!$B$5:$B$164,Apoio!$H$5))</f>
        <v>Curso Preparatório Completo (exemplo)</v>
      </c>
      <c r="D20" s="49"/>
      <c r="E20" s="49"/>
      <c r="F20" s="50" t="n">
        <f aca="false">IF(Apoio!$H$5="","",INDEX(Apoio!$C$5:$C$164,Apoio!$H$5))</f>
        <v>46568</v>
      </c>
      <c r="G20" s="51" t="n">
        <f aca="false">IF(Apoio!$H$5="","",INDEX(Apoio!$D$5:$D$164,Apoio!$H$5))</f>
        <v>270</v>
      </c>
      <c r="H20" s="52" t="str">
        <f aca="false">'Metas de Estudo'!B13</f>
        <v>Pós-graduação</v>
      </c>
      <c r="I20" s="52"/>
      <c r="J20" s="53" t="n">
        <f aca="false">'Metas de Estudo'!C13</f>
        <v>20</v>
      </c>
      <c r="K20" s="53" t="n">
        <f aca="false">'Metas de Estudo'!D13</f>
        <v>2</v>
      </c>
      <c r="L20" s="54" t="n">
        <f aca="false">'Metas de Estudo'!E13</f>
        <v>0.1</v>
      </c>
      <c r="M20" s="55" t="str">
        <f aca="false">'Metas de Estudo'!F13</f>
        <v>█░░░░░░░░░</v>
      </c>
    </row>
    <row r="21" customFormat="false" ht="21.75" hidden="false" customHeight="true" outlineLevel="0" collapsed="false">
      <c r="B21" s="56" t="str">
        <f aca="false">IF(Apoio!$H$6="","",INDEX(Apoio!$A$5:$A$164,Apoio!$H$6))</f>
        <v>Renda Extra</v>
      </c>
      <c r="C21" s="57" t="str">
        <f aca="false">IF(Apoio!$H$6="","",INDEX(Apoio!$B$5:$B$164,Apoio!$H$6))</f>
        <v>Marketing de Afiliados do Zero (exemplo)</v>
      </c>
      <c r="D21" s="57"/>
      <c r="E21" s="57"/>
      <c r="F21" s="58" t="n">
        <f aca="false">IF(Apoio!$H$6="","",INDEX(Apoio!$C$5:$C$164,Apoio!$H$6))</f>
        <v>46631</v>
      </c>
      <c r="G21" s="59" t="n">
        <f aca="false">IF(Apoio!$H$6="","",INDEX(Apoio!$D$5:$D$164,Apoio!$H$6))</f>
        <v>333</v>
      </c>
      <c r="H21" s="60" t="str">
        <f aca="false">'Metas de Estudo'!B14</f>
        <v>Concurso</v>
      </c>
      <c r="I21" s="60"/>
      <c r="J21" s="61" t="n">
        <f aca="false">'Metas de Estudo'!C14</f>
        <v>20</v>
      </c>
      <c r="K21" s="61" t="n">
        <f aca="false">'Metas de Estudo'!D14</f>
        <v>0</v>
      </c>
      <c r="L21" s="62" t="n">
        <f aca="false">'Metas de Estudo'!E14</f>
        <v>0</v>
      </c>
      <c r="M21" s="63" t="str">
        <f aca="false">'Metas de Estudo'!F14</f>
        <v>░░░░░░░░░░</v>
      </c>
    </row>
    <row r="22" customFormat="false" ht="21.75" hidden="false" customHeight="true" outlineLevel="0" collapsed="false">
      <c r="B22" s="48" t="str">
        <f aca="false">IF(Apoio!$H$7="","",INDEX(Apoio!$A$5:$A$164,Apoio!$H$7))</f>
        <v>Cursos IA</v>
      </c>
      <c r="C22" s="49" t="str">
        <f aca="false">IF(Apoio!$H$7="","",INDEX(Apoio!$B$5:$B$164,Apoio!$H$7))</f>
        <v>Agentes de IA na Prática (exemplo)</v>
      </c>
      <c r="D22" s="49"/>
      <c r="E22" s="49"/>
      <c r="F22" s="50" t="n">
        <f aca="false">IF(Apoio!$H$7="","",INDEX(Apoio!$C$5:$C$164,Apoio!$H$7))</f>
        <v>46642</v>
      </c>
      <c r="G22" s="51" t="n">
        <f aca="false">IF(Apoio!$H$7="","",INDEX(Apoio!$D$5:$D$164,Apoio!$H$7))</f>
        <v>344</v>
      </c>
      <c r="H22" s="52" t="str">
        <f aca="false">'Metas de Estudo'!B15</f>
        <v>Livros</v>
      </c>
      <c r="I22" s="52"/>
      <c r="J22" s="53" t="n">
        <f aca="false">'Metas de Estudo'!C15</f>
        <v>8</v>
      </c>
      <c r="K22" s="53" t="n">
        <f aca="false">'Metas de Estudo'!D15</f>
        <v>1</v>
      </c>
      <c r="L22" s="54" t="n">
        <f aca="false">'Metas de Estudo'!E15</f>
        <v>0.125</v>
      </c>
      <c r="M22" s="55" t="str">
        <f aca="false">'Metas de Estudo'!F15</f>
        <v>█░░░░░░░░░</v>
      </c>
    </row>
    <row r="23" customFormat="false" ht="21.75" hidden="false" customHeight="true" outlineLevel="0" collapsed="false">
      <c r="B23" s="56" t="str">
        <f aca="false">IF(Apoio!$H$8="","",INDEX(Apoio!$A$5:$A$164,Apoio!$H$8))</f>
        <v>Pós-graduação</v>
      </c>
      <c r="C23" s="57" t="str">
        <f aca="false">IF(Apoio!$H$8="","",INDEX(Apoio!$B$5:$B$164,Apoio!$H$8))</f>
        <v>MBA em Inteligência Artificial (exemplo)</v>
      </c>
      <c r="D23" s="57"/>
      <c r="E23" s="57"/>
      <c r="F23" s="58" t="n">
        <f aca="false">IF(Apoio!$H$8="","",INDEX(Apoio!$C$5:$C$164,Apoio!$H$8))</f>
        <v>46997</v>
      </c>
      <c r="G23" s="59" t="n">
        <f aca="false">IF(Apoio!$H$8="","",INDEX(Apoio!$D$5:$D$164,Apoio!$H$8))</f>
        <v>699</v>
      </c>
      <c r="H23" s="60" t="str">
        <f aca="false">'Metas de Estudo'!B16</f>
        <v>Cursos IA</v>
      </c>
      <c r="I23" s="60"/>
      <c r="J23" s="61" t="n">
        <f aca="false">'Metas de Estudo'!C16</f>
        <v>15</v>
      </c>
      <c r="K23" s="61" t="n">
        <f aca="false">'Metas de Estudo'!D16</f>
        <v>1.5</v>
      </c>
      <c r="L23" s="62" t="n">
        <f aca="false">'Metas de Estudo'!E16</f>
        <v>0.1</v>
      </c>
      <c r="M23" s="63" t="str">
        <f aca="false">'Metas de Estudo'!F16</f>
        <v>█░░░░░░░░░</v>
      </c>
    </row>
    <row r="24" customFormat="false" ht="21.75" hidden="false" customHeight="true" outlineLevel="0" collapsed="false">
      <c r="B24" s="48" t="str">
        <f aca="false">IF(Apoio!$H$9="","",INDEX(Apoio!$A$5:$A$164,Apoio!$H$9))</f>
        <v/>
      </c>
      <c r="C24" s="49" t="str">
        <f aca="false">IF(Apoio!$H$9="","",INDEX(Apoio!$B$5:$B$164,Apoio!$H$9))</f>
        <v/>
      </c>
      <c r="D24" s="49"/>
      <c r="E24" s="49"/>
      <c r="F24" s="50" t="str">
        <f aca="false">IF(Apoio!$H$9="","",INDEX(Apoio!$C$5:$C$164,Apoio!$H$9))</f>
        <v/>
      </c>
      <c r="G24" s="51" t="str">
        <f aca="false">IF(Apoio!$H$9="","",INDEX(Apoio!$D$5:$D$164,Apoio!$H$9))</f>
        <v/>
      </c>
      <c r="H24" s="52" t="str">
        <f aca="false">'Metas de Estudo'!B17</f>
        <v>Renda Extra</v>
      </c>
      <c r="I24" s="52"/>
      <c r="J24" s="53" t="n">
        <f aca="false">'Metas de Estudo'!C17</f>
        <v>10</v>
      </c>
      <c r="K24" s="53" t="n">
        <f aca="false">'Metas de Estudo'!D17</f>
        <v>0</v>
      </c>
      <c r="L24" s="54" t="n">
        <f aca="false">'Metas de Estudo'!E17</f>
        <v>0</v>
      </c>
      <c r="M24" s="55" t="str">
        <f aca="false">'Metas de Estudo'!F17</f>
        <v>░░░░░░░░░░</v>
      </c>
    </row>
    <row r="25" customFormat="false" ht="21.75" hidden="false" customHeight="true" outlineLevel="0" collapsed="false">
      <c r="B25" s="56" t="str">
        <f aca="false">IF(Apoio!$H$10="","",INDEX(Apoio!$A$5:$A$164,Apoio!$H$10))</f>
        <v/>
      </c>
      <c r="C25" s="57" t="str">
        <f aca="false">IF(Apoio!$H$10="","",INDEX(Apoio!$B$5:$B$164,Apoio!$H$10))</f>
        <v/>
      </c>
      <c r="D25" s="57"/>
      <c r="E25" s="57"/>
      <c r="F25" s="58" t="str">
        <f aca="false">IF(Apoio!$H$10="","",INDEX(Apoio!$C$5:$C$164,Apoio!$H$10))</f>
        <v/>
      </c>
      <c r="G25" s="59" t="str">
        <f aca="false">IF(Apoio!$H$10="","",INDEX(Apoio!$D$5:$D$164,Apoio!$H$10))</f>
        <v/>
      </c>
      <c r="H25" s="64" t="s">
        <v>85</v>
      </c>
      <c r="I25" s="64"/>
      <c r="J25" s="65" t="n">
        <f aca="false">'Metas de Estudo'!G8</f>
        <v>3</v>
      </c>
      <c r="K25" s="65"/>
      <c r="L25" s="65"/>
      <c r="M25" s="65"/>
    </row>
    <row r="26" customFormat="false" ht="21.75" hidden="false" customHeight="true" outlineLevel="0" collapsed="false">
      <c r="B26" s="48" t="str">
        <f aca="false">IF(Apoio!$H$11="","",INDEX(Apoio!$A$5:$A$164,Apoio!$H$11))</f>
        <v/>
      </c>
      <c r="C26" s="49" t="str">
        <f aca="false">IF(Apoio!$H$11="","",INDEX(Apoio!$B$5:$B$164,Apoio!$H$11))</f>
        <v/>
      </c>
      <c r="D26" s="49"/>
      <c r="E26" s="49"/>
      <c r="F26" s="50" t="str">
        <f aca="false">IF(Apoio!$H$11="","",INDEX(Apoio!$C$5:$C$164,Apoio!$H$11))</f>
        <v/>
      </c>
      <c r="G26" s="51" t="str">
        <f aca="false">IF(Apoio!$H$11="","",INDEX(Apoio!$D$5:$D$164,Apoio!$H$11))</f>
        <v/>
      </c>
      <c r="H26" s="64" t="s">
        <v>86</v>
      </c>
      <c r="I26" s="64"/>
      <c r="J26" s="66" t="n">
        <f aca="false">IFERROR('Metas de Estudo'!D18/'Metas de Estudo'!G8,0)</f>
        <v>1.5</v>
      </c>
      <c r="K26" s="66"/>
      <c r="L26" s="66"/>
      <c r="M26" s="66"/>
    </row>
    <row r="27" customFormat="false" ht="21.75" hidden="false" customHeight="true" outlineLevel="0" collapsed="false">
      <c r="B27" s="56" t="str">
        <f aca="false">IF(Apoio!$H$12="","",INDEX(Apoio!$A$5:$A$164,Apoio!$H$12))</f>
        <v/>
      </c>
      <c r="C27" s="57" t="str">
        <f aca="false">IF(Apoio!$H$12="","",INDEX(Apoio!$B$5:$B$164,Apoio!$H$12))</f>
        <v/>
      </c>
      <c r="D27" s="57"/>
      <c r="E27" s="57"/>
      <c r="F27" s="58" t="str">
        <f aca="false">IF(Apoio!$H$12="","",INDEX(Apoio!$C$5:$C$164,Apoio!$H$12))</f>
        <v/>
      </c>
      <c r="G27" s="59" t="str">
        <f aca="false">IF(Apoio!$H$12="","",INDEX(Apoio!$D$5:$D$164,Apoio!$H$12))</f>
        <v/>
      </c>
      <c r="H27" s="67" t="s">
        <v>87</v>
      </c>
      <c r="I27" s="67"/>
      <c r="J27" s="68" t="n">
        <f aca="false">'Metas de Estudo'!D18</f>
        <v>4.5</v>
      </c>
      <c r="K27" s="68"/>
      <c r="L27" s="68"/>
      <c r="M27" s="68"/>
    </row>
    <row r="64" customFormat="false" ht="15" hidden="false" customHeight="false" outlineLevel="0" collapsed="false">
      <c r="B64" s="30" t="s">
        <v>88</v>
      </c>
    </row>
  </sheetData>
  <mergeCells count="45">
    <mergeCell ref="A1:M1"/>
    <mergeCell ref="A2:J2"/>
    <mergeCell ref="K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M9"/>
    <mergeCell ref="B18:G18"/>
    <mergeCell ref="H18:L18"/>
    <mergeCell ref="C19:E19"/>
    <mergeCell ref="H19:I19"/>
    <mergeCell ref="C20:E20"/>
    <mergeCell ref="H20:I20"/>
    <mergeCell ref="C21:E21"/>
    <mergeCell ref="H21:I21"/>
    <mergeCell ref="C22:E22"/>
    <mergeCell ref="H22:I22"/>
    <mergeCell ref="C23:E23"/>
    <mergeCell ref="H23:I23"/>
    <mergeCell ref="C24:E24"/>
    <mergeCell ref="H24:I24"/>
    <mergeCell ref="C25:E25"/>
    <mergeCell ref="H25:I25"/>
    <mergeCell ref="J25:M25"/>
    <mergeCell ref="C26:E26"/>
    <mergeCell ref="H26:I26"/>
    <mergeCell ref="J26:M26"/>
    <mergeCell ref="C27:E27"/>
    <mergeCell ref="H27:I27"/>
    <mergeCell ref="J27:M27"/>
  </mergeCells>
  <conditionalFormatting sqref="L11:L16">
    <cfRule type="cellIs" priority="2" operator="greaterThan" aboveAverage="0" equalAverage="0" bottom="0" percent="0" rank="0" text="" dxfId="0">
      <formula>0</formula>
    </cfRule>
  </conditionalFormatting>
  <conditionalFormatting sqref="K11:K15">
    <cfRule type="cellIs" priority="3" operator="greaterThan" aboveAverage="0" equalAverage="0" bottom="0" percent="0" rank="0" text="" dxfId="1">
      <formula>0</formula>
    </cfRule>
  </conditionalFormatting>
  <conditionalFormatting sqref="G20:G27">
    <cfRule type="expression" priority="4" aboveAverage="0" equalAverage="0" bottom="0" percent="0" rank="0" text="" dxfId="0">
      <formula>AND(ISNUMBER(G20),G20&lt;0)</formula>
    </cfRule>
    <cfRule type="expression" priority="5" aboveAverage="0" equalAverage="0" bottom="0" percent="0" rank="0" text="" dxfId="1">
      <formula>AND(ISNUMBER(G20),G20&lt;=Listas!$H$6)</formula>
    </cfRule>
  </conditionalFormatting>
  <conditionalFormatting sqref="L20:L24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{AA5447BD-3B60-46C3-97C3-5876963BBAF3}</x14:id>
        </ext>
      </extLst>
    </cfRule>
  </conditionalFormatting>
  <hyperlinks>
    <hyperlink ref="K2" location="'Início'!A1" display="← Voltar ao Início"/>
    <hyperlink ref="B11" location="'Pós-graduação'!A1" display="Pós-graduação"/>
    <hyperlink ref="B12" location="'Concurso'!A1" display="Concurso"/>
    <hyperlink ref="B13" location="'Livros'!A1" display="Livros"/>
    <hyperlink ref="B14" location="'Cursos IA'!A1" display="Cursos IA"/>
    <hyperlink ref="B15" location="'Renda Extra'!A1" display="Renda Extr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447BD-3B60-46C3-97C3-5876963BBA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L20:L24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S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9" min="8" style="0" width="7.5"/>
  </cols>
  <sheetData>
    <row r="1" customFormat="false" ht="37.5" hidden="false" customHeight="true" outlineLevel="0" collapsed="false">
      <c r="A1" s="20" t="s">
        <v>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customFormat="false" ht="19.5" hidden="false" customHeight="true" outlineLevel="0" collapsed="false">
      <c r="A2" s="21" t="s">
        <v>90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 t="s">
        <v>56</v>
      </c>
      <c r="R2" s="22"/>
      <c r="S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/>
    <row r="5" customFormat="false" ht="21.75" hidden="false" customHeight="true" outlineLevel="0" collapsed="false">
      <c r="A5" s="69" t="s">
        <v>91</v>
      </c>
      <c r="B5" s="70" t="n">
        <v>46296</v>
      </c>
      <c r="C5" s="30" t="s">
        <v>92</v>
      </c>
    </row>
    <row r="7" customFormat="false" ht="27.75" hidden="false" customHeight="true" outlineLevel="0" collapsed="false">
      <c r="A7" s="32" t="s">
        <v>65</v>
      </c>
      <c r="B7" s="32" t="s">
        <v>79</v>
      </c>
      <c r="C7" s="32" t="s">
        <v>93</v>
      </c>
      <c r="D7" s="32" t="s">
        <v>94</v>
      </c>
      <c r="E7" s="32" t="s">
        <v>95</v>
      </c>
      <c r="F7" s="32" t="s">
        <v>96</v>
      </c>
      <c r="G7" s="32" t="s">
        <v>97</v>
      </c>
      <c r="H7" s="71" t="n">
        <f aca="false">$B$5</f>
        <v>46296</v>
      </c>
      <c r="I7" s="71" t="n">
        <f aca="false">EDATE(H7,1)</f>
        <v>46327</v>
      </c>
      <c r="J7" s="71" t="n">
        <f aca="false">EDATE(I7,1)</f>
        <v>46357</v>
      </c>
      <c r="K7" s="71" t="n">
        <f aca="false">EDATE(J7,1)</f>
        <v>46388</v>
      </c>
      <c r="L7" s="71" t="n">
        <f aca="false">EDATE(K7,1)</f>
        <v>46419</v>
      </c>
      <c r="M7" s="71" t="n">
        <f aca="false">EDATE(L7,1)</f>
        <v>46447</v>
      </c>
      <c r="N7" s="71" t="n">
        <f aca="false">EDATE(M7,1)</f>
        <v>46478</v>
      </c>
      <c r="O7" s="71" t="n">
        <f aca="false">EDATE(N7,1)</f>
        <v>46508</v>
      </c>
      <c r="P7" s="71" t="n">
        <f aca="false">EDATE(O7,1)</f>
        <v>46539</v>
      </c>
      <c r="Q7" s="71" t="n">
        <f aca="false">EDATE(P7,1)</f>
        <v>46569</v>
      </c>
      <c r="R7" s="71" t="n">
        <f aca="false">EDATE(Q7,1)</f>
        <v>46600</v>
      </c>
      <c r="S7" s="71" t="n">
        <f aca="false">EDATE(R7,1)</f>
        <v>46631</v>
      </c>
    </row>
    <row r="8" customFormat="false" ht="19.5" hidden="false" customHeight="true" outlineLevel="0" collapsed="false">
      <c r="A8" s="72" t="s">
        <v>98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</row>
    <row r="9" customFormat="false" ht="19.5" hidden="false" customHeight="true" outlineLevel="0" collapsed="false">
      <c r="A9" s="48" t="str">
        <f aca="false">IF($B9="","","Pós-graduação")</f>
        <v>Pós-graduação</v>
      </c>
      <c r="B9" s="13" t="str">
        <f aca="false">IF('Pós-graduação'!B10="","",'Pós-graduação'!B10)</f>
        <v>MBA em Inteligência Artificial (exemplo)</v>
      </c>
      <c r="C9" s="73" t="str">
        <f aca="false">IF($B9="","",IF('Pós-graduação'!O10="","",'Pós-graduação'!O10))</f>
        <v>Em andamento</v>
      </c>
      <c r="D9" s="50" t="n">
        <f aca="false">IF($B9="","",IF('Pós-graduação'!G10="","",'Pós-graduação'!G10))</f>
        <v>46266</v>
      </c>
      <c r="E9" s="50" t="n">
        <f aca="false">IF($B9="","",IF('Pós-graduação'!H10&lt;&gt;"",'Pós-graduação'!H10,IF('Pós-graduação'!I10&lt;&gt;"",'Pós-graduação'!I10,"")))</f>
        <v>46813</v>
      </c>
      <c r="F9" s="50" t="n">
        <f aca="false">IF($B9="","",IF('Pós-graduação'!I10="","",'Pós-graduação'!I10))</f>
        <v>46997</v>
      </c>
      <c r="G9" s="36" t="n">
        <f aca="false">IF($B9="","",'Pós-graduação'!N10)</f>
        <v>0.1</v>
      </c>
      <c r="H9" s="74" t="str">
        <f aca="false">IF(OR($B9="",$F9=""),"",IF(AND($F9&gt;=H$7,$F9&lt;EDATE(H$7,1)),"▼",""))</f>
        <v/>
      </c>
      <c r="I9" s="74" t="str">
        <f aca="false">IF(OR($B9="",$F9=""),"",IF(AND($F9&gt;=I$7,$F9&lt;EDATE(I$7,1)),"▼",""))</f>
        <v/>
      </c>
      <c r="J9" s="74" t="str">
        <f aca="false">IF(OR($B9="",$F9=""),"",IF(AND($F9&gt;=J$7,$F9&lt;EDATE(J$7,1)),"▼",""))</f>
        <v/>
      </c>
      <c r="K9" s="74" t="str">
        <f aca="false">IF(OR($B9="",$F9=""),"",IF(AND($F9&gt;=K$7,$F9&lt;EDATE(K$7,1)),"▼",""))</f>
        <v/>
      </c>
      <c r="L9" s="74" t="str">
        <f aca="false">IF(OR($B9="",$F9=""),"",IF(AND($F9&gt;=L$7,$F9&lt;EDATE(L$7,1)),"▼",""))</f>
        <v/>
      </c>
      <c r="M9" s="74" t="str">
        <f aca="false">IF(OR($B9="",$F9=""),"",IF(AND($F9&gt;=M$7,$F9&lt;EDATE(M$7,1)),"▼",""))</f>
        <v/>
      </c>
      <c r="N9" s="74" t="str">
        <f aca="false">IF(OR($B9="",$F9=""),"",IF(AND($F9&gt;=N$7,$F9&lt;EDATE(N$7,1)),"▼",""))</f>
        <v/>
      </c>
      <c r="O9" s="74" t="str">
        <f aca="false">IF(OR($B9="",$F9=""),"",IF(AND($F9&gt;=O$7,$F9&lt;EDATE(O$7,1)),"▼",""))</f>
        <v/>
      </c>
      <c r="P9" s="74" t="str">
        <f aca="false">IF(OR($B9="",$F9=""),"",IF(AND($F9&gt;=P$7,$F9&lt;EDATE(P$7,1)),"▼",""))</f>
        <v/>
      </c>
      <c r="Q9" s="74" t="str">
        <f aca="false">IF(OR($B9="",$F9=""),"",IF(AND($F9&gt;=Q$7,$F9&lt;EDATE(Q$7,1)),"▼",""))</f>
        <v/>
      </c>
      <c r="R9" s="74" t="str">
        <f aca="false">IF(OR($B9="",$F9=""),"",IF(AND($F9&gt;=R$7,$F9&lt;EDATE(R$7,1)),"▼",""))</f>
        <v/>
      </c>
      <c r="S9" s="74" t="str">
        <f aca="false">IF(OR($B9="",$F9=""),"",IF(AND($F9&gt;=S$7,$F9&lt;EDATE(S$7,1)),"▼",""))</f>
        <v/>
      </c>
    </row>
    <row r="10" customFormat="false" ht="19.5" hidden="false" customHeight="true" outlineLevel="0" collapsed="false">
      <c r="A10" s="48" t="str">
        <f aca="false">IF($B10="","","Pós-graduação")</f>
        <v/>
      </c>
      <c r="B10" s="13" t="str">
        <f aca="false">IF('Pós-graduação'!B11="","",'Pós-graduação'!B11)</f>
        <v/>
      </c>
      <c r="C10" s="73" t="str">
        <f aca="false">IF($B10="","",IF('Pós-graduação'!O11="","",'Pós-graduação'!O11))</f>
        <v/>
      </c>
      <c r="D10" s="50" t="str">
        <f aca="false">IF($B10="","",IF('Pós-graduação'!G11="","",'Pós-graduação'!G11))</f>
        <v/>
      </c>
      <c r="E10" s="50" t="str">
        <f aca="false">IF($B10="","",IF('Pós-graduação'!H11&lt;&gt;"",'Pós-graduação'!H11,IF('Pós-graduação'!I11&lt;&gt;"",'Pós-graduação'!I11,"")))</f>
        <v/>
      </c>
      <c r="F10" s="50" t="str">
        <f aca="false">IF($B10="","",IF('Pós-graduação'!I11="","",'Pós-graduação'!I11))</f>
        <v/>
      </c>
      <c r="G10" s="36" t="str">
        <f aca="false">IF($B10="","",'Pós-graduação'!N11)</f>
        <v/>
      </c>
      <c r="H10" s="74" t="str">
        <f aca="false">IF(OR($B10="",$F10=""),"",IF(AND($F10&gt;=H$7,$F10&lt;EDATE(H$7,1)),"▼",""))</f>
        <v/>
      </c>
      <c r="I10" s="74" t="str">
        <f aca="false">IF(OR($B10="",$F10=""),"",IF(AND($F10&gt;=I$7,$F10&lt;EDATE(I$7,1)),"▼",""))</f>
        <v/>
      </c>
      <c r="J10" s="74" t="str">
        <f aca="false">IF(OR($B10="",$F10=""),"",IF(AND($F10&gt;=J$7,$F10&lt;EDATE(J$7,1)),"▼",""))</f>
        <v/>
      </c>
      <c r="K10" s="74" t="str">
        <f aca="false">IF(OR($B10="",$F10=""),"",IF(AND($F10&gt;=K$7,$F10&lt;EDATE(K$7,1)),"▼",""))</f>
        <v/>
      </c>
      <c r="L10" s="74" t="str">
        <f aca="false">IF(OR($B10="",$F10=""),"",IF(AND($F10&gt;=L$7,$F10&lt;EDATE(L$7,1)),"▼",""))</f>
        <v/>
      </c>
      <c r="M10" s="74" t="str">
        <f aca="false">IF(OR($B10="",$F10=""),"",IF(AND($F10&gt;=M$7,$F10&lt;EDATE(M$7,1)),"▼",""))</f>
        <v/>
      </c>
      <c r="N10" s="74" t="str">
        <f aca="false">IF(OR($B10="",$F10=""),"",IF(AND($F10&gt;=N$7,$F10&lt;EDATE(N$7,1)),"▼",""))</f>
        <v/>
      </c>
      <c r="O10" s="74" t="str">
        <f aca="false">IF(OR($B10="",$F10=""),"",IF(AND($F10&gt;=O$7,$F10&lt;EDATE(O$7,1)),"▼",""))</f>
        <v/>
      </c>
      <c r="P10" s="74" t="str">
        <f aca="false">IF(OR($B10="",$F10=""),"",IF(AND($F10&gt;=P$7,$F10&lt;EDATE(P$7,1)),"▼",""))</f>
        <v/>
      </c>
      <c r="Q10" s="74" t="str">
        <f aca="false">IF(OR($B10="",$F10=""),"",IF(AND($F10&gt;=Q$7,$F10&lt;EDATE(Q$7,1)),"▼",""))</f>
        <v/>
      </c>
      <c r="R10" s="74" t="str">
        <f aca="false">IF(OR($B10="",$F10=""),"",IF(AND($F10&gt;=R$7,$F10&lt;EDATE(R$7,1)),"▼",""))</f>
        <v/>
      </c>
      <c r="S10" s="74" t="str">
        <f aca="false">IF(OR($B10="",$F10=""),"",IF(AND($F10&gt;=S$7,$F10&lt;EDATE(S$7,1)),"▼",""))</f>
        <v/>
      </c>
    </row>
    <row r="11" customFormat="false" ht="19.5" hidden="false" customHeight="true" outlineLevel="0" collapsed="false">
      <c r="A11" s="48" t="str">
        <f aca="false">IF($B11="","","Pós-graduação")</f>
        <v/>
      </c>
      <c r="B11" s="13" t="str">
        <f aca="false">IF('Pós-graduação'!B12="","",'Pós-graduação'!B12)</f>
        <v/>
      </c>
      <c r="C11" s="73" t="str">
        <f aca="false">IF($B11="","",IF('Pós-graduação'!O12="","",'Pós-graduação'!O12))</f>
        <v/>
      </c>
      <c r="D11" s="50" t="str">
        <f aca="false">IF($B11="","",IF('Pós-graduação'!G12="","",'Pós-graduação'!G12))</f>
        <v/>
      </c>
      <c r="E11" s="50" t="str">
        <f aca="false">IF($B11="","",IF('Pós-graduação'!H12&lt;&gt;"",'Pós-graduação'!H12,IF('Pós-graduação'!I12&lt;&gt;"",'Pós-graduação'!I12,"")))</f>
        <v/>
      </c>
      <c r="F11" s="50" t="str">
        <f aca="false">IF($B11="","",IF('Pós-graduação'!I12="","",'Pós-graduação'!I12))</f>
        <v/>
      </c>
      <c r="G11" s="36" t="str">
        <f aca="false">IF($B11="","",'Pós-graduação'!N12)</f>
        <v/>
      </c>
      <c r="H11" s="74" t="str">
        <f aca="false">IF(OR($B11="",$F11=""),"",IF(AND($F11&gt;=H$7,$F11&lt;EDATE(H$7,1)),"▼",""))</f>
        <v/>
      </c>
      <c r="I11" s="74" t="str">
        <f aca="false">IF(OR($B11="",$F11=""),"",IF(AND($F11&gt;=I$7,$F11&lt;EDATE(I$7,1)),"▼",""))</f>
        <v/>
      </c>
      <c r="J11" s="74" t="str">
        <f aca="false">IF(OR($B11="",$F11=""),"",IF(AND($F11&gt;=J$7,$F11&lt;EDATE(J$7,1)),"▼",""))</f>
        <v/>
      </c>
      <c r="K11" s="74" t="str">
        <f aca="false">IF(OR($B11="",$F11=""),"",IF(AND($F11&gt;=K$7,$F11&lt;EDATE(K$7,1)),"▼",""))</f>
        <v/>
      </c>
      <c r="L11" s="74" t="str">
        <f aca="false">IF(OR($B11="",$F11=""),"",IF(AND($F11&gt;=L$7,$F11&lt;EDATE(L$7,1)),"▼",""))</f>
        <v/>
      </c>
      <c r="M11" s="74" t="str">
        <f aca="false">IF(OR($B11="",$F11=""),"",IF(AND($F11&gt;=M$7,$F11&lt;EDATE(M$7,1)),"▼",""))</f>
        <v/>
      </c>
      <c r="N11" s="74" t="str">
        <f aca="false">IF(OR($B11="",$F11=""),"",IF(AND($F11&gt;=N$7,$F11&lt;EDATE(N$7,1)),"▼",""))</f>
        <v/>
      </c>
      <c r="O11" s="74" t="str">
        <f aca="false">IF(OR($B11="",$F11=""),"",IF(AND($F11&gt;=O$7,$F11&lt;EDATE(O$7,1)),"▼",""))</f>
        <v/>
      </c>
      <c r="P11" s="74" t="str">
        <f aca="false">IF(OR($B11="",$F11=""),"",IF(AND($F11&gt;=P$7,$F11&lt;EDATE(P$7,1)),"▼",""))</f>
        <v/>
      </c>
      <c r="Q11" s="74" t="str">
        <f aca="false">IF(OR($B11="",$F11=""),"",IF(AND($F11&gt;=Q$7,$F11&lt;EDATE(Q$7,1)),"▼",""))</f>
        <v/>
      </c>
      <c r="R11" s="74" t="str">
        <f aca="false">IF(OR($B11="",$F11=""),"",IF(AND($F11&gt;=R$7,$F11&lt;EDATE(R$7,1)),"▼",""))</f>
        <v/>
      </c>
      <c r="S11" s="74" t="str">
        <f aca="false">IF(OR($B11="",$F11=""),"",IF(AND($F11&gt;=S$7,$F11&lt;EDATE(S$7,1)),"▼",""))</f>
        <v/>
      </c>
    </row>
    <row r="12" customFormat="false" ht="19.5" hidden="false" customHeight="true" outlineLevel="0" collapsed="false">
      <c r="A12" s="48" t="str">
        <f aca="false">IF($B12="","","Pós-graduação")</f>
        <v/>
      </c>
      <c r="B12" s="13" t="str">
        <f aca="false">IF('Pós-graduação'!B13="","",'Pós-graduação'!B13)</f>
        <v/>
      </c>
      <c r="C12" s="73" t="str">
        <f aca="false">IF($B12="","",IF('Pós-graduação'!O13="","",'Pós-graduação'!O13))</f>
        <v/>
      </c>
      <c r="D12" s="50" t="str">
        <f aca="false">IF($B12="","",IF('Pós-graduação'!G13="","",'Pós-graduação'!G13))</f>
        <v/>
      </c>
      <c r="E12" s="50" t="str">
        <f aca="false">IF($B12="","",IF('Pós-graduação'!H13&lt;&gt;"",'Pós-graduação'!H13,IF('Pós-graduação'!I13&lt;&gt;"",'Pós-graduação'!I13,"")))</f>
        <v/>
      </c>
      <c r="F12" s="50" t="str">
        <f aca="false">IF($B12="","",IF('Pós-graduação'!I13="","",'Pós-graduação'!I13))</f>
        <v/>
      </c>
      <c r="G12" s="36" t="str">
        <f aca="false">IF($B12="","",'Pós-graduação'!N13)</f>
        <v/>
      </c>
      <c r="H12" s="74" t="str">
        <f aca="false">IF(OR($B12="",$F12=""),"",IF(AND($F12&gt;=H$7,$F12&lt;EDATE(H$7,1)),"▼",""))</f>
        <v/>
      </c>
      <c r="I12" s="74" t="str">
        <f aca="false">IF(OR($B12="",$F12=""),"",IF(AND($F12&gt;=I$7,$F12&lt;EDATE(I$7,1)),"▼",""))</f>
        <v/>
      </c>
      <c r="J12" s="74" t="str">
        <f aca="false">IF(OR($B12="",$F12=""),"",IF(AND($F12&gt;=J$7,$F12&lt;EDATE(J$7,1)),"▼",""))</f>
        <v/>
      </c>
      <c r="K12" s="74" t="str">
        <f aca="false">IF(OR($B12="",$F12=""),"",IF(AND($F12&gt;=K$7,$F12&lt;EDATE(K$7,1)),"▼",""))</f>
        <v/>
      </c>
      <c r="L12" s="74" t="str">
        <f aca="false">IF(OR($B12="",$F12=""),"",IF(AND($F12&gt;=L$7,$F12&lt;EDATE(L$7,1)),"▼",""))</f>
        <v/>
      </c>
      <c r="M12" s="74" t="str">
        <f aca="false">IF(OR($B12="",$F12=""),"",IF(AND($F12&gt;=M$7,$F12&lt;EDATE(M$7,1)),"▼",""))</f>
        <v/>
      </c>
      <c r="N12" s="74" t="str">
        <f aca="false">IF(OR($B12="",$F12=""),"",IF(AND($F12&gt;=N$7,$F12&lt;EDATE(N$7,1)),"▼",""))</f>
        <v/>
      </c>
      <c r="O12" s="74" t="str">
        <f aca="false">IF(OR($B12="",$F12=""),"",IF(AND($F12&gt;=O$7,$F12&lt;EDATE(O$7,1)),"▼",""))</f>
        <v/>
      </c>
      <c r="P12" s="74" t="str">
        <f aca="false">IF(OR($B12="",$F12=""),"",IF(AND($F12&gt;=P$7,$F12&lt;EDATE(P$7,1)),"▼",""))</f>
        <v/>
      </c>
      <c r="Q12" s="74" t="str">
        <f aca="false">IF(OR($B12="",$F12=""),"",IF(AND($F12&gt;=Q$7,$F12&lt;EDATE(Q$7,1)),"▼",""))</f>
        <v/>
      </c>
      <c r="R12" s="74" t="str">
        <f aca="false">IF(OR($B12="",$F12=""),"",IF(AND($F12&gt;=R$7,$F12&lt;EDATE(R$7,1)),"▼",""))</f>
        <v/>
      </c>
      <c r="S12" s="74" t="str">
        <f aca="false">IF(OR($B12="",$F12=""),"",IF(AND($F12&gt;=S$7,$F12&lt;EDATE(S$7,1)),"▼",""))</f>
        <v/>
      </c>
    </row>
    <row r="13" customFormat="false" ht="19.5" hidden="false" customHeight="true" outlineLevel="0" collapsed="false">
      <c r="A13" s="48" t="str">
        <f aca="false">IF($B13="","","Pós-graduação")</f>
        <v/>
      </c>
      <c r="B13" s="13" t="str">
        <f aca="false">IF('Pós-graduação'!B14="","",'Pós-graduação'!B14)</f>
        <v/>
      </c>
      <c r="C13" s="73" t="str">
        <f aca="false">IF($B13="","",IF('Pós-graduação'!O14="","",'Pós-graduação'!O14))</f>
        <v/>
      </c>
      <c r="D13" s="50" t="str">
        <f aca="false">IF($B13="","",IF('Pós-graduação'!G14="","",'Pós-graduação'!G14))</f>
        <v/>
      </c>
      <c r="E13" s="50" t="str">
        <f aca="false">IF($B13="","",IF('Pós-graduação'!H14&lt;&gt;"",'Pós-graduação'!H14,IF('Pós-graduação'!I14&lt;&gt;"",'Pós-graduação'!I14,"")))</f>
        <v/>
      </c>
      <c r="F13" s="50" t="str">
        <f aca="false">IF($B13="","",IF('Pós-graduação'!I14="","",'Pós-graduação'!I14))</f>
        <v/>
      </c>
      <c r="G13" s="36" t="str">
        <f aca="false">IF($B13="","",'Pós-graduação'!N14)</f>
        <v/>
      </c>
      <c r="H13" s="74" t="str">
        <f aca="false">IF(OR($B13="",$F13=""),"",IF(AND($F13&gt;=H$7,$F13&lt;EDATE(H$7,1)),"▼",""))</f>
        <v/>
      </c>
      <c r="I13" s="74" t="str">
        <f aca="false">IF(OR($B13="",$F13=""),"",IF(AND($F13&gt;=I$7,$F13&lt;EDATE(I$7,1)),"▼",""))</f>
        <v/>
      </c>
      <c r="J13" s="74" t="str">
        <f aca="false">IF(OR($B13="",$F13=""),"",IF(AND($F13&gt;=J$7,$F13&lt;EDATE(J$7,1)),"▼",""))</f>
        <v/>
      </c>
      <c r="K13" s="74" t="str">
        <f aca="false">IF(OR($B13="",$F13=""),"",IF(AND($F13&gt;=K$7,$F13&lt;EDATE(K$7,1)),"▼",""))</f>
        <v/>
      </c>
      <c r="L13" s="74" t="str">
        <f aca="false">IF(OR($B13="",$F13=""),"",IF(AND($F13&gt;=L$7,$F13&lt;EDATE(L$7,1)),"▼",""))</f>
        <v/>
      </c>
      <c r="M13" s="74" t="str">
        <f aca="false">IF(OR($B13="",$F13=""),"",IF(AND($F13&gt;=M$7,$F13&lt;EDATE(M$7,1)),"▼",""))</f>
        <v/>
      </c>
      <c r="N13" s="74" t="str">
        <f aca="false">IF(OR($B13="",$F13=""),"",IF(AND($F13&gt;=N$7,$F13&lt;EDATE(N$7,1)),"▼",""))</f>
        <v/>
      </c>
      <c r="O13" s="74" t="str">
        <f aca="false">IF(OR($B13="",$F13=""),"",IF(AND($F13&gt;=O$7,$F13&lt;EDATE(O$7,1)),"▼",""))</f>
        <v/>
      </c>
      <c r="P13" s="74" t="str">
        <f aca="false">IF(OR($B13="",$F13=""),"",IF(AND($F13&gt;=P$7,$F13&lt;EDATE(P$7,1)),"▼",""))</f>
        <v/>
      </c>
      <c r="Q13" s="74" t="str">
        <f aca="false">IF(OR($B13="",$F13=""),"",IF(AND($F13&gt;=Q$7,$F13&lt;EDATE(Q$7,1)),"▼",""))</f>
        <v/>
      </c>
      <c r="R13" s="74" t="str">
        <f aca="false">IF(OR($B13="",$F13=""),"",IF(AND($F13&gt;=R$7,$F13&lt;EDATE(R$7,1)),"▼",""))</f>
        <v/>
      </c>
      <c r="S13" s="74" t="str">
        <f aca="false">IF(OR($B13="",$F13=""),"",IF(AND($F13&gt;=S$7,$F13&lt;EDATE(S$7,1)),"▼",""))</f>
        <v/>
      </c>
    </row>
    <row r="14" customFormat="false" ht="19.5" hidden="false" customHeight="true" outlineLevel="0" collapsed="false">
      <c r="A14" s="48" t="str">
        <f aca="false">IF($B14="","","Pós-graduação")</f>
        <v/>
      </c>
      <c r="B14" s="13" t="str">
        <f aca="false">IF('Pós-graduação'!B15="","",'Pós-graduação'!B15)</f>
        <v/>
      </c>
      <c r="C14" s="73" t="str">
        <f aca="false">IF($B14="","",IF('Pós-graduação'!O15="","",'Pós-graduação'!O15))</f>
        <v/>
      </c>
      <c r="D14" s="50" t="str">
        <f aca="false">IF($B14="","",IF('Pós-graduação'!G15="","",'Pós-graduação'!G15))</f>
        <v/>
      </c>
      <c r="E14" s="50" t="str">
        <f aca="false">IF($B14="","",IF('Pós-graduação'!H15&lt;&gt;"",'Pós-graduação'!H15,IF('Pós-graduação'!I15&lt;&gt;"",'Pós-graduação'!I15,"")))</f>
        <v/>
      </c>
      <c r="F14" s="50" t="str">
        <f aca="false">IF($B14="","",IF('Pós-graduação'!I15="","",'Pós-graduação'!I15))</f>
        <v/>
      </c>
      <c r="G14" s="36" t="str">
        <f aca="false">IF($B14="","",'Pós-graduação'!N15)</f>
        <v/>
      </c>
      <c r="H14" s="74" t="str">
        <f aca="false">IF(OR($B14="",$F14=""),"",IF(AND($F14&gt;=H$7,$F14&lt;EDATE(H$7,1)),"▼",""))</f>
        <v/>
      </c>
      <c r="I14" s="74" t="str">
        <f aca="false">IF(OR($B14="",$F14=""),"",IF(AND($F14&gt;=I$7,$F14&lt;EDATE(I$7,1)),"▼",""))</f>
        <v/>
      </c>
      <c r="J14" s="74" t="str">
        <f aca="false">IF(OR($B14="",$F14=""),"",IF(AND($F14&gt;=J$7,$F14&lt;EDATE(J$7,1)),"▼",""))</f>
        <v/>
      </c>
      <c r="K14" s="74" t="str">
        <f aca="false">IF(OR($B14="",$F14=""),"",IF(AND($F14&gt;=K$7,$F14&lt;EDATE(K$7,1)),"▼",""))</f>
        <v/>
      </c>
      <c r="L14" s="74" t="str">
        <f aca="false">IF(OR($B14="",$F14=""),"",IF(AND($F14&gt;=L$7,$F14&lt;EDATE(L$7,1)),"▼",""))</f>
        <v/>
      </c>
      <c r="M14" s="74" t="str">
        <f aca="false">IF(OR($B14="",$F14=""),"",IF(AND($F14&gt;=M$7,$F14&lt;EDATE(M$7,1)),"▼",""))</f>
        <v/>
      </c>
      <c r="N14" s="74" t="str">
        <f aca="false">IF(OR($B14="",$F14=""),"",IF(AND($F14&gt;=N$7,$F14&lt;EDATE(N$7,1)),"▼",""))</f>
        <v/>
      </c>
      <c r="O14" s="74" t="str">
        <f aca="false">IF(OR($B14="",$F14=""),"",IF(AND($F14&gt;=O$7,$F14&lt;EDATE(O$7,1)),"▼",""))</f>
        <v/>
      </c>
      <c r="P14" s="74" t="str">
        <f aca="false">IF(OR($B14="",$F14=""),"",IF(AND($F14&gt;=P$7,$F14&lt;EDATE(P$7,1)),"▼",""))</f>
        <v/>
      </c>
      <c r="Q14" s="74" t="str">
        <f aca="false">IF(OR($B14="",$F14=""),"",IF(AND($F14&gt;=Q$7,$F14&lt;EDATE(Q$7,1)),"▼",""))</f>
        <v/>
      </c>
      <c r="R14" s="74" t="str">
        <f aca="false">IF(OR($B14="",$F14=""),"",IF(AND($F14&gt;=R$7,$F14&lt;EDATE(R$7,1)),"▼",""))</f>
        <v/>
      </c>
      <c r="S14" s="74" t="str">
        <f aca="false">IF(OR($B14="",$F14=""),"",IF(AND($F14&gt;=S$7,$F14&lt;EDATE(S$7,1)),"▼",""))</f>
        <v/>
      </c>
    </row>
    <row r="15" customFormat="false" ht="19.5" hidden="false" customHeight="true" outlineLevel="0" collapsed="false">
      <c r="A15" s="48" t="str">
        <f aca="false">IF($B15="","","Pós-graduação")</f>
        <v/>
      </c>
      <c r="B15" s="13" t="str">
        <f aca="false">IF('Pós-graduação'!B16="","",'Pós-graduação'!B16)</f>
        <v/>
      </c>
      <c r="C15" s="73" t="str">
        <f aca="false">IF($B15="","",IF('Pós-graduação'!O16="","",'Pós-graduação'!O16))</f>
        <v/>
      </c>
      <c r="D15" s="50" t="str">
        <f aca="false">IF($B15="","",IF('Pós-graduação'!G16="","",'Pós-graduação'!G16))</f>
        <v/>
      </c>
      <c r="E15" s="50" t="str">
        <f aca="false">IF($B15="","",IF('Pós-graduação'!H16&lt;&gt;"",'Pós-graduação'!H16,IF('Pós-graduação'!I16&lt;&gt;"",'Pós-graduação'!I16,"")))</f>
        <v/>
      </c>
      <c r="F15" s="50" t="str">
        <f aca="false">IF($B15="","",IF('Pós-graduação'!I16="","",'Pós-graduação'!I16))</f>
        <v/>
      </c>
      <c r="G15" s="36" t="str">
        <f aca="false">IF($B15="","",'Pós-graduação'!N16)</f>
        <v/>
      </c>
      <c r="H15" s="74" t="str">
        <f aca="false">IF(OR($B15="",$F15=""),"",IF(AND($F15&gt;=H$7,$F15&lt;EDATE(H$7,1)),"▼",""))</f>
        <v/>
      </c>
      <c r="I15" s="74" t="str">
        <f aca="false">IF(OR($B15="",$F15=""),"",IF(AND($F15&gt;=I$7,$F15&lt;EDATE(I$7,1)),"▼",""))</f>
        <v/>
      </c>
      <c r="J15" s="74" t="str">
        <f aca="false">IF(OR($B15="",$F15=""),"",IF(AND($F15&gt;=J$7,$F15&lt;EDATE(J$7,1)),"▼",""))</f>
        <v/>
      </c>
      <c r="K15" s="74" t="str">
        <f aca="false">IF(OR($B15="",$F15=""),"",IF(AND($F15&gt;=K$7,$F15&lt;EDATE(K$7,1)),"▼",""))</f>
        <v/>
      </c>
      <c r="L15" s="74" t="str">
        <f aca="false">IF(OR($B15="",$F15=""),"",IF(AND($F15&gt;=L$7,$F15&lt;EDATE(L$7,1)),"▼",""))</f>
        <v/>
      </c>
      <c r="M15" s="74" t="str">
        <f aca="false">IF(OR($B15="",$F15=""),"",IF(AND($F15&gt;=M$7,$F15&lt;EDATE(M$7,1)),"▼",""))</f>
        <v/>
      </c>
      <c r="N15" s="74" t="str">
        <f aca="false">IF(OR($B15="",$F15=""),"",IF(AND($F15&gt;=N$7,$F15&lt;EDATE(N$7,1)),"▼",""))</f>
        <v/>
      </c>
      <c r="O15" s="74" t="str">
        <f aca="false">IF(OR($B15="",$F15=""),"",IF(AND($F15&gt;=O$7,$F15&lt;EDATE(O$7,1)),"▼",""))</f>
        <v/>
      </c>
      <c r="P15" s="74" t="str">
        <f aca="false">IF(OR($B15="",$F15=""),"",IF(AND($F15&gt;=P$7,$F15&lt;EDATE(P$7,1)),"▼",""))</f>
        <v/>
      </c>
      <c r="Q15" s="74" t="str">
        <f aca="false">IF(OR($B15="",$F15=""),"",IF(AND($F15&gt;=Q$7,$F15&lt;EDATE(Q$7,1)),"▼",""))</f>
        <v/>
      </c>
      <c r="R15" s="74" t="str">
        <f aca="false">IF(OR($B15="",$F15=""),"",IF(AND($F15&gt;=R$7,$F15&lt;EDATE(R$7,1)),"▼",""))</f>
        <v/>
      </c>
      <c r="S15" s="74" t="str">
        <f aca="false">IF(OR($B15="",$F15=""),"",IF(AND($F15&gt;=S$7,$F15&lt;EDATE(S$7,1)),"▼",""))</f>
        <v/>
      </c>
    </row>
    <row r="16" customFormat="false" ht="19.5" hidden="false" customHeight="true" outlineLevel="0" collapsed="false">
      <c r="A16" s="48" t="str">
        <f aca="false">IF($B16="","","Pós-graduação")</f>
        <v/>
      </c>
      <c r="B16" s="13" t="str">
        <f aca="false">IF('Pós-graduação'!B17="","",'Pós-graduação'!B17)</f>
        <v/>
      </c>
      <c r="C16" s="73" t="str">
        <f aca="false">IF($B16="","",IF('Pós-graduação'!O17="","",'Pós-graduação'!O17))</f>
        <v/>
      </c>
      <c r="D16" s="50" t="str">
        <f aca="false">IF($B16="","",IF('Pós-graduação'!G17="","",'Pós-graduação'!G17))</f>
        <v/>
      </c>
      <c r="E16" s="50" t="str">
        <f aca="false">IF($B16="","",IF('Pós-graduação'!H17&lt;&gt;"",'Pós-graduação'!H17,IF('Pós-graduação'!I17&lt;&gt;"",'Pós-graduação'!I17,"")))</f>
        <v/>
      </c>
      <c r="F16" s="50" t="str">
        <f aca="false">IF($B16="","",IF('Pós-graduação'!I17="","",'Pós-graduação'!I17))</f>
        <v/>
      </c>
      <c r="G16" s="36" t="str">
        <f aca="false">IF($B16="","",'Pós-graduação'!N17)</f>
        <v/>
      </c>
      <c r="H16" s="74" t="str">
        <f aca="false">IF(OR($B16="",$F16=""),"",IF(AND($F16&gt;=H$7,$F16&lt;EDATE(H$7,1)),"▼",""))</f>
        <v/>
      </c>
      <c r="I16" s="74" t="str">
        <f aca="false">IF(OR($B16="",$F16=""),"",IF(AND($F16&gt;=I$7,$F16&lt;EDATE(I$7,1)),"▼",""))</f>
        <v/>
      </c>
      <c r="J16" s="74" t="str">
        <f aca="false">IF(OR($B16="",$F16=""),"",IF(AND($F16&gt;=J$7,$F16&lt;EDATE(J$7,1)),"▼",""))</f>
        <v/>
      </c>
      <c r="K16" s="74" t="str">
        <f aca="false">IF(OR($B16="",$F16=""),"",IF(AND($F16&gt;=K$7,$F16&lt;EDATE(K$7,1)),"▼",""))</f>
        <v/>
      </c>
      <c r="L16" s="74" t="str">
        <f aca="false">IF(OR($B16="",$F16=""),"",IF(AND($F16&gt;=L$7,$F16&lt;EDATE(L$7,1)),"▼",""))</f>
        <v/>
      </c>
      <c r="M16" s="74" t="str">
        <f aca="false">IF(OR($B16="",$F16=""),"",IF(AND($F16&gt;=M$7,$F16&lt;EDATE(M$7,1)),"▼",""))</f>
        <v/>
      </c>
      <c r="N16" s="74" t="str">
        <f aca="false">IF(OR($B16="",$F16=""),"",IF(AND($F16&gt;=N$7,$F16&lt;EDATE(N$7,1)),"▼",""))</f>
        <v/>
      </c>
      <c r="O16" s="74" t="str">
        <f aca="false">IF(OR($B16="",$F16=""),"",IF(AND($F16&gt;=O$7,$F16&lt;EDATE(O$7,1)),"▼",""))</f>
        <v/>
      </c>
      <c r="P16" s="74" t="str">
        <f aca="false">IF(OR($B16="",$F16=""),"",IF(AND($F16&gt;=P$7,$F16&lt;EDATE(P$7,1)),"▼",""))</f>
        <v/>
      </c>
      <c r="Q16" s="74" t="str">
        <f aca="false">IF(OR($B16="",$F16=""),"",IF(AND($F16&gt;=Q$7,$F16&lt;EDATE(Q$7,1)),"▼",""))</f>
        <v/>
      </c>
      <c r="R16" s="74" t="str">
        <f aca="false">IF(OR($B16="",$F16=""),"",IF(AND($F16&gt;=R$7,$F16&lt;EDATE(R$7,1)),"▼",""))</f>
        <v/>
      </c>
      <c r="S16" s="74" t="str">
        <f aca="false">IF(OR($B16="",$F16=""),"",IF(AND($F16&gt;=S$7,$F16&lt;EDATE(S$7,1)),"▼",""))</f>
        <v/>
      </c>
    </row>
    <row r="17" customFormat="false" ht="19.5" hidden="false" customHeight="true" outlineLevel="0" collapsed="false">
      <c r="A17" s="48" t="str">
        <f aca="false">IF($B17="","","Pós-graduação")</f>
        <v/>
      </c>
      <c r="B17" s="13" t="str">
        <f aca="false">IF('Pós-graduação'!B18="","",'Pós-graduação'!B18)</f>
        <v/>
      </c>
      <c r="C17" s="73" t="str">
        <f aca="false">IF($B17="","",IF('Pós-graduação'!O18="","",'Pós-graduação'!O18))</f>
        <v/>
      </c>
      <c r="D17" s="50" t="str">
        <f aca="false">IF($B17="","",IF('Pós-graduação'!G18="","",'Pós-graduação'!G18))</f>
        <v/>
      </c>
      <c r="E17" s="50" t="str">
        <f aca="false">IF($B17="","",IF('Pós-graduação'!H18&lt;&gt;"",'Pós-graduação'!H18,IF('Pós-graduação'!I18&lt;&gt;"",'Pós-graduação'!I18,"")))</f>
        <v/>
      </c>
      <c r="F17" s="50" t="str">
        <f aca="false">IF($B17="","",IF('Pós-graduação'!I18="","",'Pós-graduação'!I18))</f>
        <v/>
      </c>
      <c r="G17" s="36" t="str">
        <f aca="false">IF($B17="","",'Pós-graduação'!N18)</f>
        <v/>
      </c>
      <c r="H17" s="74" t="str">
        <f aca="false">IF(OR($B17="",$F17=""),"",IF(AND($F17&gt;=H$7,$F17&lt;EDATE(H$7,1)),"▼",""))</f>
        <v/>
      </c>
      <c r="I17" s="74" t="str">
        <f aca="false">IF(OR($B17="",$F17=""),"",IF(AND($F17&gt;=I$7,$F17&lt;EDATE(I$7,1)),"▼",""))</f>
        <v/>
      </c>
      <c r="J17" s="74" t="str">
        <f aca="false">IF(OR($B17="",$F17=""),"",IF(AND($F17&gt;=J$7,$F17&lt;EDATE(J$7,1)),"▼",""))</f>
        <v/>
      </c>
      <c r="K17" s="74" t="str">
        <f aca="false">IF(OR($B17="",$F17=""),"",IF(AND($F17&gt;=K$7,$F17&lt;EDATE(K$7,1)),"▼",""))</f>
        <v/>
      </c>
      <c r="L17" s="74" t="str">
        <f aca="false">IF(OR($B17="",$F17=""),"",IF(AND($F17&gt;=L$7,$F17&lt;EDATE(L$7,1)),"▼",""))</f>
        <v/>
      </c>
      <c r="M17" s="74" t="str">
        <f aca="false">IF(OR($B17="",$F17=""),"",IF(AND($F17&gt;=M$7,$F17&lt;EDATE(M$7,1)),"▼",""))</f>
        <v/>
      </c>
      <c r="N17" s="74" t="str">
        <f aca="false">IF(OR($B17="",$F17=""),"",IF(AND($F17&gt;=N$7,$F17&lt;EDATE(N$7,1)),"▼",""))</f>
        <v/>
      </c>
      <c r="O17" s="74" t="str">
        <f aca="false">IF(OR($B17="",$F17=""),"",IF(AND($F17&gt;=O$7,$F17&lt;EDATE(O$7,1)),"▼",""))</f>
        <v/>
      </c>
      <c r="P17" s="74" t="str">
        <f aca="false">IF(OR($B17="",$F17=""),"",IF(AND($F17&gt;=P$7,$F17&lt;EDATE(P$7,1)),"▼",""))</f>
        <v/>
      </c>
      <c r="Q17" s="74" t="str">
        <f aca="false">IF(OR($B17="",$F17=""),"",IF(AND($F17&gt;=Q$7,$F17&lt;EDATE(Q$7,1)),"▼",""))</f>
        <v/>
      </c>
      <c r="R17" s="74" t="str">
        <f aca="false">IF(OR($B17="",$F17=""),"",IF(AND($F17&gt;=R$7,$F17&lt;EDATE(R$7,1)),"▼",""))</f>
        <v/>
      </c>
      <c r="S17" s="74" t="str">
        <f aca="false">IF(OR($B17="",$F17=""),"",IF(AND($F17&gt;=S$7,$F17&lt;EDATE(S$7,1)),"▼",""))</f>
        <v/>
      </c>
    </row>
    <row r="18" customFormat="false" ht="19.5" hidden="false" customHeight="true" outlineLevel="0" collapsed="false">
      <c r="A18" s="48" t="str">
        <f aca="false">IF($B18="","","Pós-graduação")</f>
        <v/>
      </c>
      <c r="B18" s="13" t="str">
        <f aca="false">IF('Pós-graduação'!B19="","",'Pós-graduação'!B19)</f>
        <v/>
      </c>
      <c r="C18" s="73" t="str">
        <f aca="false">IF($B18="","",IF('Pós-graduação'!O19="","",'Pós-graduação'!O19))</f>
        <v/>
      </c>
      <c r="D18" s="50" t="str">
        <f aca="false">IF($B18="","",IF('Pós-graduação'!G19="","",'Pós-graduação'!G19))</f>
        <v/>
      </c>
      <c r="E18" s="50" t="str">
        <f aca="false">IF($B18="","",IF('Pós-graduação'!H19&lt;&gt;"",'Pós-graduação'!H19,IF('Pós-graduação'!I19&lt;&gt;"",'Pós-graduação'!I19,"")))</f>
        <v/>
      </c>
      <c r="F18" s="50" t="str">
        <f aca="false">IF($B18="","",IF('Pós-graduação'!I19="","",'Pós-graduação'!I19))</f>
        <v/>
      </c>
      <c r="G18" s="36" t="str">
        <f aca="false">IF($B18="","",'Pós-graduação'!N19)</f>
        <v/>
      </c>
      <c r="H18" s="74" t="str">
        <f aca="false">IF(OR($B18="",$F18=""),"",IF(AND($F18&gt;=H$7,$F18&lt;EDATE(H$7,1)),"▼",""))</f>
        <v/>
      </c>
      <c r="I18" s="74" t="str">
        <f aca="false">IF(OR($B18="",$F18=""),"",IF(AND($F18&gt;=I$7,$F18&lt;EDATE(I$7,1)),"▼",""))</f>
        <v/>
      </c>
      <c r="J18" s="74" t="str">
        <f aca="false">IF(OR($B18="",$F18=""),"",IF(AND($F18&gt;=J$7,$F18&lt;EDATE(J$7,1)),"▼",""))</f>
        <v/>
      </c>
      <c r="K18" s="74" t="str">
        <f aca="false">IF(OR($B18="",$F18=""),"",IF(AND($F18&gt;=K$7,$F18&lt;EDATE(K$7,1)),"▼",""))</f>
        <v/>
      </c>
      <c r="L18" s="74" t="str">
        <f aca="false">IF(OR($B18="",$F18=""),"",IF(AND($F18&gt;=L$7,$F18&lt;EDATE(L$7,1)),"▼",""))</f>
        <v/>
      </c>
      <c r="M18" s="74" t="str">
        <f aca="false">IF(OR($B18="",$F18=""),"",IF(AND($F18&gt;=M$7,$F18&lt;EDATE(M$7,1)),"▼",""))</f>
        <v/>
      </c>
      <c r="N18" s="74" t="str">
        <f aca="false">IF(OR($B18="",$F18=""),"",IF(AND($F18&gt;=N$7,$F18&lt;EDATE(N$7,1)),"▼",""))</f>
        <v/>
      </c>
      <c r="O18" s="74" t="str">
        <f aca="false">IF(OR($B18="",$F18=""),"",IF(AND($F18&gt;=O$7,$F18&lt;EDATE(O$7,1)),"▼",""))</f>
        <v/>
      </c>
      <c r="P18" s="74" t="str">
        <f aca="false">IF(OR($B18="",$F18=""),"",IF(AND($F18&gt;=P$7,$F18&lt;EDATE(P$7,1)),"▼",""))</f>
        <v/>
      </c>
      <c r="Q18" s="74" t="str">
        <f aca="false">IF(OR($B18="",$F18=""),"",IF(AND($F18&gt;=Q$7,$F18&lt;EDATE(Q$7,1)),"▼",""))</f>
        <v/>
      </c>
      <c r="R18" s="74" t="str">
        <f aca="false">IF(OR($B18="",$F18=""),"",IF(AND($F18&gt;=R$7,$F18&lt;EDATE(R$7,1)),"▼",""))</f>
        <v/>
      </c>
      <c r="S18" s="74" t="str">
        <f aca="false">IF(OR($B18="",$F18=""),"",IF(AND($F18&gt;=S$7,$F18&lt;EDATE(S$7,1)),"▼",""))</f>
        <v/>
      </c>
    </row>
    <row r="19" customFormat="false" ht="19.5" hidden="false" customHeight="true" outlineLevel="0" collapsed="false">
      <c r="A19" s="48" t="str">
        <f aca="false">IF($B19="","","Pós-graduação")</f>
        <v/>
      </c>
      <c r="B19" s="13" t="str">
        <f aca="false">IF('Pós-graduação'!B20="","",'Pós-graduação'!B20)</f>
        <v/>
      </c>
      <c r="C19" s="73" t="str">
        <f aca="false">IF($B19="","",IF('Pós-graduação'!O20="","",'Pós-graduação'!O20))</f>
        <v/>
      </c>
      <c r="D19" s="50" t="str">
        <f aca="false">IF($B19="","",IF('Pós-graduação'!G20="","",'Pós-graduação'!G20))</f>
        <v/>
      </c>
      <c r="E19" s="50" t="str">
        <f aca="false">IF($B19="","",IF('Pós-graduação'!H20&lt;&gt;"",'Pós-graduação'!H20,IF('Pós-graduação'!I20&lt;&gt;"",'Pós-graduação'!I20,"")))</f>
        <v/>
      </c>
      <c r="F19" s="50" t="str">
        <f aca="false">IF($B19="","",IF('Pós-graduação'!I20="","",'Pós-graduação'!I20))</f>
        <v/>
      </c>
      <c r="G19" s="36" t="str">
        <f aca="false">IF($B19="","",'Pós-graduação'!N20)</f>
        <v/>
      </c>
      <c r="H19" s="74" t="str">
        <f aca="false">IF(OR($B19="",$F19=""),"",IF(AND($F19&gt;=H$7,$F19&lt;EDATE(H$7,1)),"▼",""))</f>
        <v/>
      </c>
      <c r="I19" s="74" t="str">
        <f aca="false">IF(OR($B19="",$F19=""),"",IF(AND($F19&gt;=I$7,$F19&lt;EDATE(I$7,1)),"▼",""))</f>
        <v/>
      </c>
      <c r="J19" s="74" t="str">
        <f aca="false">IF(OR($B19="",$F19=""),"",IF(AND($F19&gt;=J$7,$F19&lt;EDATE(J$7,1)),"▼",""))</f>
        <v/>
      </c>
      <c r="K19" s="74" t="str">
        <f aca="false">IF(OR($B19="",$F19=""),"",IF(AND($F19&gt;=K$7,$F19&lt;EDATE(K$7,1)),"▼",""))</f>
        <v/>
      </c>
      <c r="L19" s="74" t="str">
        <f aca="false">IF(OR($B19="",$F19=""),"",IF(AND($F19&gt;=L$7,$F19&lt;EDATE(L$7,1)),"▼",""))</f>
        <v/>
      </c>
      <c r="M19" s="74" t="str">
        <f aca="false">IF(OR($B19="",$F19=""),"",IF(AND($F19&gt;=M$7,$F19&lt;EDATE(M$7,1)),"▼",""))</f>
        <v/>
      </c>
      <c r="N19" s="74" t="str">
        <f aca="false">IF(OR($B19="",$F19=""),"",IF(AND($F19&gt;=N$7,$F19&lt;EDATE(N$7,1)),"▼",""))</f>
        <v/>
      </c>
      <c r="O19" s="74" t="str">
        <f aca="false">IF(OR($B19="",$F19=""),"",IF(AND($F19&gt;=O$7,$F19&lt;EDATE(O$7,1)),"▼",""))</f>
        <v/>
      </c>
      <c r="P19" s="74" t="str">
        <f aca="false">IF(OR($B19="",$F19=""),"",IF(AND($F19&gt;=P$7,$F19&lt;EDATE(P$7,1)),"▼",""))</f>
        <v/>
      </c>
      <c r="Q19" s="74" t="str">
        <f aca="false">IF(OR($B19="",$F19=""),"",IF(AND($F19&gt;=Q$7,$F19&lt;EDATE(Q$7,1)),"▼",""))</f>
        <v/>
      </c>
      <c r="R19" s="74" t="str">
        <f aca="false">IF(OR($B19="",$F19=""),"",IF(AND($F19&gt;=R$7,$F19&lt;EDATE(R$7,1)),"▼",""))</f>
        <v/>
      </c>
      <c r="S19" s="74" t="str">
        <f aca="false">IF(OR($B19="",$F19=""),"",IF(AND($F19&gt;=S$7,$F19&lt;EDATE(S$7,1)),"▼",""))</f>
        <v/>
      </c>
    </row>
    <row r="20" customFormat="false" ht="19.5" hidden="false" customHeight="true" outlineLevel="0" collapsed="false">
      <c r="A20" s="48" t="str">
        <f aca="false">IF($B20="","","Pós-graduação")</f>
        <v/>
      </c>
      <c r="B20" s="13" t="str">
        <f aca="false">IF('Pós-graduação'!B21="","",'Pós-graduação'!B21)</f>
        <v/>
      </c>
      <c r="C20" s="73" t="str">
        <f aca="false">IF($B20="","",IF('Pós-graduação'!O21="","",'Pós-graduação'!O21))</f>
        <v/>
      </c>
      <c r="D20" s="50" t="str">
        <f aca="false">IF($B20="","",IF('Pós-graduação'!G21="","",'Pós-graduação'!G21))</f>
        <v/>
      </c>
      <c r="E20" s="50" t="str">
        <f aca="false">IF($B20="","",IF('Pós-graduação'!H21&lt;&gt;"",'Pós-graduação'!H21,IF('Pós-graduação'!I21&lt;&gt;"",'Pós-graduação'!I21,"")))</f>
        <v/>
      </c>
      <c r="F20" s="50" t="str">
        <f aca="false">IF($B20="","",IF('Pós-graduação'!I21="","",'Pós-graduação'!I21))</f>
        <v/>
      </c>
      <c r="G20" s="36" t="str">
        <f aca="false">IF($B20="","",'Pós-graduação'!N21)</f>
        <v/>
      </c>
      <c r="H20" s="74" t="str">
        <f aca="false">IF(OR($B20="",$F20=""),"",IF(AND($F20&gt;=H$7,$F20&lt;EDATE(H$7,1)),"▼",""))</f>
        <v/>
      </c>
      <c r="I20" s="74" t="str">
        <f aca="false">IF(OR($B20="",$F20=""),"",IF(AND($F20&gt;=I$7,$F20&lt;EDATE(I$7,1)),"▼",""))</f>
        <v/>
      </c>
      <c r="J20" s="74" t="str">
        <f aca="false">IF(OR($B20="",$F20=""),"",IF(AND($F20&gt;=J$7,$F20&lt;EDATE(J$7,1)),"▼",""))</f>
        <v/>
      </c>
      <c r="K20" s="74" t="str">
        <f aca="false">IF(OR($B20="",$F20=""),"",IF(AND($F20&gt;=K$7,$F20&lt;EDATE(K$7,1)),"▼",""))</f>
        <v/>
      </c>
      <c r="L20" s="74" t="str">
        <f aca="false">IF(OR($B20="",$F20=""),"",IF(AND($F20&gt;=L$7,$F20&lt;EDATE(L$7,1)),"▼",""))</f>
        <v/>
      </c>
      <c r="M20" s="74" t="str">
        <f aca="false">IF(OR($B20="",$F20=""),"",IF(AND($F20&gt;=M$7,$F20&lt;EDATE(M$7,1)),"▼",""))</f>
        <v/>
      </c>
      <c r="N20" s="74" t="str">
        <f aca="false">IF(OR($B20="",$F20=""),"",IF(AND($F20&gt;=N$7,$F20&lt;EDATE(N$7,1)),"▼",""))</f>
        <v/>
      </c>
      <c r="O20" s="74" t="str">
        <f aca="false">IF(OR($B20="",$F20=""),"",IF(AND($F20&gt;=O$7,$F20&lt;EDATE(O$7,1)),"▼",""))</f>
        <v/>
      </c>
      <c r="P20" s="74" t="str">
        <f aca="false">IF(OR($B20="",$F20=""),"",IF(AND($F20&gt;=P$7,$F20&lt;EDATE(P$7,1)),"▼",""))</f>
        <v/>
      </c>
      <c r="Q20" s="74" t="str">
        <f aca="false">IF(OR($B20="",$F20=""),"",IF(AND($F20&gt;=Q$7,$F20&lt;EDATE(Q$7,1)),"▼",""))</f>
        <v/>
      </c>
      <c r="R20" s="74" t="str">
        <f aca="false">IF(OR($B20="",$F20=""),"",IF(AND($F20&gt;=R$7,$F20&lt;EDATE(R$7,1)),"▼",""))</f>
        <v/>
      </c>
      <c r="S20" s="74" t="str">
        <f aca="false">IF(OR($B20="",$F20=""),"",IF(AND($F20&gt;=S$7,$F20&lt;EDATE(S$7,1)),"▼",""))</f>
        <v/>
      </c>
    </row>
    <row r="21" customFormat="false" ht="19.5" hidden="false" customHeight="true" outlineLevel="0" collapsed="false">
      <c r="A21" s="75" t="s">
        <v>99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</row>
    <row r="22" customFormat="false" ht="19.5" hidden="false" customHeight="true" outlineLevel="0" collapsed="false">
      <c r="A22" s="48" t="str">
        <f aca="false">IF($B22="","","Concurso")</f>
        <v>Concurso</v>
      </c>
      <c r="B22" s="13" t="str">
        <f aca="false">IF(Concurso!B10="","",Concurso!B10)</f>
        <v>Curso Preparatório Completo (exemplo)</v>
      </c>
      <c r="C22" s="73" t="str">
        <f aca="false">IF($B22="","",IF(Concurso!Q10="","",Concurso!Q10))</f>
        <v>Em andamento</v>
      </c>
      <c r="D22" s="50" t="n">
        <f aca="false">IF($B22="","",IF(Concurso!I10="","",Concurso!I10))</f>
        <v>46280</v>
      </c>
      <c r="E22" s="50" t="n">
        <f aca="false">IF($B22="","",IF(Concurso!J10&lt;&gt;"",Concurso!J10,IF(Concurso!K10&lt;&gt;"",Concurso!K10,"")))</f>
        <v>46446</v>
      </c>
      <c r="F22" s="50" t="n">
        <f aca="false">IF($B22="","",IF(Concurso!K10="","",Concurso!K10))</f>
        <v>46568</v>
      </c>
      <c r="G22" s="36" t="n">
        <f aca="false">IF($B22="","",Concurso!P10)</f>
        <v>0.25</v>
      </c>
      <c r="H22" s="74" t="str">
        <f aca="false">IF(OR($B22="",$F22=""),"",IF(AND($F22&gt;=H$7,$F22&lt;EDATE(H$7,1)),"▼",""))</f>
        <v/>
      </c>
      <c r="I22" s="74" t="str">
        <f aca="false">IF(OR($B22="",$F22=""),"",IF(AND($F22&gt;=I$7,$F22&lt;EDATE(I$7,1)),"▼",""))</f>
        <v/>
      </c>
      <c r="J22" s="74" t="str">
        <f aca="false">IF(OR($B22="",$F22=""),"",IF(AND($F22&gt;=J$7,$F22&lt;EDATE(J$7,1)),"▼",""))</f>
        <v/>
      </c>
      <c r="K22" s="74" t="str">
        <f aca="false">IF(OR($B22="",$F22=""),"",IF(AND($F22&gt;=K$7,$F22&lt;EDATE(K$7,1)),"▼",""))</f>
        <v/>
      </c>
      <c r="L22" s="74" t="str">
        <f aca="false">IF(OR($B22="",$F22=""),"",IF(AND($F22&gt;=L$7,$F22&lt;EDATE(L$7,1)),"▼",""))</f>
        <v/>
      </c>
      <c r="M22" s="74" t="str">
        <f aca="false">IF(OR($B22="",$F22=""),"",IF(AND($F22&gt;=M$7,$F22&lt;EDATE(M$7,1)),"▼",""))</f>
        <v/>
      </c>
      <c r="N22" s="74" t="str">
        <f aca="false">IF(OR($B22="",$F22=""),"",IF(AND($F22&gt;=N$7,$F22&lt;EDATE(N$7,1)),"▼",""))</f>
        <v/>
      </c>
      <c r="O22" s="74" t="str">
        <f aca="false">IF(OR($B22="",$F22=""),"",IF(AND($F22&gt;=O$7,$F22&lt;EDATE(O$7,1)),"▼",""))</f>
        <v/>
      </c>
      <c r="P22" s="74" t="str">
        <f aca="false">IF(OR($B22="",$F22=""),"",IF(AND($F22&gt;=P$7,$F22&lt;EDATE(P$7,1)),"▼",""))</f>
        <v>▼</v>
      </c>
      <c r="Q22" s="74" t="str">
        <f aca="false">IF(OR($B22="",$F22=""),"",IF(AND($F22&gt;=Q$7,$F22&lt;EDATE(Q$7,1)),"▼",""))</f>
        <v/>
      </c>
      <c r="R22" s="74" t="str">
        <f aca="false">IF(OR($B22="",$F22=""),"",IF(AND($F22&gt;=R$7,$F22&lt;EDATE(R$7,1)),"▼",""))</f>
        <v/>
      </c>
      <c r="S22" s="74" t="str">
        <f aca="false">IF(OR($B22="",$F22=""),"",IF(AND($F22&gt;=S$7,$F22&lt;EDATE(S$7,1)),"▼",""))</f>
        <v/>
      </c>
    </row>
    <row r="23" customFormat="false" ht="19.5" hidden="false" customHeight="true" outlineLevel="0" collapsed="false">
      <c r="A23" s="48" t="str">
        <f aca="false">IF($B23="","","Concurso")</f>
        <v/>
      </c>
      <c r="B23" s="13" t="str">
        <f aca="false">IF(Concurso!B11="","",Concurso!B11)</f>
        <v/>
      </c>
      <c r="C23" s="73" t="str">
        <f aca="false">IF($B23="","",IF(Concurso!Q11="","",Concurso!Q11))</f>
        <v/>
      </c>
      <c r="D23" s="50" t="str">
        <f aca="false">IF($B23="","",IF(Concurso!I11="","",Concurso!I11))</f>
        <v/>
      </c>
      <c r="E23" s="50" t="str">
        <f aca="false">IF($B23="","",IF(Concurso!J11&lt;&gt;"",Concurso!J11,IF(Concurso!K11&lt;&gt;"",Concurso!K11,"")))</f>
        <v/>
      </c>
      <c r="F23" s="50" t="str">
        <f aca="false">IF($B23="","",IF(Concurso!K11="","",Concurso!K11))</f>
        <v/>
      </c>
      <c r="G23" s="36" t="str">
        <f aca="false">IF($B23="","",Concurso!P11)</f>
        <v/>
      </c>
      <c r="H23" s="74" t="str">
        <f aca="false">IF(OR($B23="",$F23=""),"",IF(AND($F23&gt;=H$7,$F23&lt;EDATE(H$7,1)),"▼",""))</f>
        <v/>
      </c>
      <c r="I23" s="74" t="str">
        <f aca="false">IF(OR($B23="",$F23=""),"",IF(AND($F23&gt;=I$7,$F23&lt;EDATE(I$7,1)),"▼",""))</f>
        <v/>
      </c>
      <c r="J23" s="74" t="str">
        <f aca="false">IF(OR($B23="",$F23=""),"",IF(AND($F23&gt;=J$7,$F23&lt;EDATE(J$7,1)),"▼",""))</f>
        <v/>
      </c>
      <c r="K23" s="74" t="str">
        <f aca="false">IF(OR($B23="",$F23=""),"",IF(AND($F23&gt;=K$7,$F23&lt;EDATE(K$7,1)),"▼",""))</f>
        <v/>
      </c>
      <c r="L23" s="74" t="str">
        <f aca="false">IF(OR($B23="",$F23=""),"",IF(AND($F23&gt;=L$7,$F23&lt;EDATE(L$7,1)),"▼",""))</f>
        <v/>
      </c>
      <c r="M23" s="74" t="str">
        <f aca="false">IF(OR($B23="",$F23=""),"",IF(AND($F23&gt;=M$7,$F23&lt;EDATE(M$7,1)),"▼",""))</f>
        <v/>
      </c>
      <c r="N23" s="74" t="str">
        <f aca="false">IF(OR($B23="",$F23=""),"",IF(AND($F23&gt;=N$7,$F23&lt;EDATE(N$7,1)),"▼",""))</f>
        <v/>
      </c>
      <c r="O23" s="74" t="str">
        <f aca="false">IF(OR($B23="",$F23=""),"",IF(AND($F23&gt;=O$7,$F23&lt;EDATE(O$7,1)),"▼",""))</f>
        <v/>
      </c>
      <c r="P23" s="74" t="str">
        <f aca="false">IF(OR($B23="",$F23=""),"",IF(AND($F23&gt;=P$7,$F23&lt;EDATE(P$7,1)),"▼",""))</f>
        <v/>
      </c>
      <c r="Q23" s="74" t="str">
        <f aca="false">IF(OR($B23="",$F23=""),"",IF(AND($F23&gt;=Q$7,$F23&lt;EDATE(Q$7,1)),"▼",""))</f>
        <v/>
      </c>
      <c r="R23" s="74" t="str">
        <f aca="false">IF(OR($B23="",$F23=""),"",IF(AND($F23&gt;=R$7,$F23&lt;EDATE(R$7,1)),"▼",""))</f>
        <v/>
      </c>
      <c r="S23" s="74" t="str">
        <f aca="false">IF(OR($B23="",$F23=""),"",IF(AND($F23&gt;=S$7,$F23&lt;EDATE(S$7,1)),"▼",""))</f>
        <v/>
      </c>
    </row>
    <row r="24" customFormat="false" ht="19.5" hidden="false" customHeight="true" outlineLevel="0" collapsed="false">
      <c r="A24" s="48" t="str">
        <f aca="false">IF($B24="","","Concurso")</f>
        <v/>
      </c>
      <c r="B24" s="13" t="str">
        <f aca="false">IF(Concurso!B12="","",Concurso!B12)</f>
        <v/>
      </c>
      <c r="C24" s="73" t="str">
        <f aca="false">IF($B24="","",IF(Concurso!Q12="","",Concurso!Q12))</f>
        <v/>
      </c>
      <c r="D24" s="50" t="str">
        <f aca="false">IF($B24="","",IF(Concurso!I12="","",Concurso!I12))</f>
        <v/>
      </c>
      <c r="E24" s="50" t="str">
        <f aca="false">IF($B24="","",IF(Concurso!J12&lt;&gt;"",Concurso!J12,IF(Concurso!K12&lt;&gt;"",Concurso!K12,"")))</f>
        <v/>
      </c>
      <c r="F24" s="50" t="str">
        <f aca="false">IF($B24="","",IF(Concurso!K12="","",Concurso!K12))</f>
        <v/>
      </c>
      <c r="G24" s="36" t="str">
        <f aca="false">IF($B24="","",Concurso!P12)</f>
        <v/>
      </c>
      <c r="H24" s="74" t="str">
        <f aca="false">IF(OR($B24="",$F24=""),"",IF(AND($F24&gt;=H$7,$F24&lt;EDATE(H$7,1)),"▼",""))</f>
        <v/>
      </c>
      <c r="I24" s="74" t="str">
        <f aca="false">IF(OR($B24="",$F24=""),"",IF(AND($F24&gt;=I$7,$F24&lt;EDATE(I$7,1)),"▼",""))</f>
        <v/>
      </c>
      <c r="J24" s="74" t="str">
        <f aca="false">IF(OR($B24="",$F24=""),"",IF(AND($F24&gt;=J$7,$F24&lt;EDATE(J$7,1)),"▼",""))</f>
        <v/>
      </c>
      <c r="K24" s="74" t="str">
        <f aca="false">IF(OR($B24="",$F24=""),"",IF(AND($F24&gt;=K$7,$F24&lt;EDATE(K$7,1)),"▼",""))</f>
        <v/>
      </c>
      <c r="L24" s="74" t="str">
        <f aca="false">IF(OR($B24="",$F24=""),"",IF(AND($F24&gt;=L$7,$F24&lt;EDATE(L$7,1)),"▼",""))</f>
        <v/>
      </c>
      <c r="M24" s="74" t="str">
        <f aca="false">IF(OR($B24="",$F24=""),"",IF(AND($F24&gt;=M$7,$F24&lt;EDATE(M$7,1)),"▼",""))</f>
        <v/>
      </c>
      <c r="N24" s="74" t="str">
        <f aca="false">IF(OR($B24="",$F24=""),"",IF(AND($F24&gt;=N$7,$F24&lt;EDATE(N$7,1)),"▼",""))</f>
        <v/>
      </c>
      <c r="O24" s="74" t="str">
        <f aca="false">IF(OR($B24="",$F24=""),"",IF(AND($F24&gt;=O$7,$F24&lt;EDATE(O$7,1)),"▼",""))</f>
        <v/>
      </c>
      <c r="P24" s="74" t="str">
        <f aca="false">IF(OR($B24="",$F24=""),"",IF(AND($F24&gt;=P$7,$F24&lt;EDATE(P$7,1)),"▼",""))</f>
        <v/>
      </c>
      <c r="Q24" s="74" t="str">
        <f aca="false">IF(OR($B24="",$F24=""),"",IF(AND($F24&gt;=Q$7,$F24&lt;EDATE(Q$7,1)),"▼",""))</f>
        <v/>
      </c>
      <c r="R24" s="74" t="str">
        <f aca="false">IF(OR($B24="",$F24=""),"",IF(AND($F24&gt;=R$7,$F24&lt;EDATE(R$7,1)),"▼",""))</f>
        <v/>
      </c>
      <c r="S24" s="74" t="str">
        <f aca="false">IF(OR($B24="",$F24=""),"",IF(AND($F24&gt;=S$7,$F24&lt;EDATE(S$7,1)),"▼",""))</f>
        <v/>
      </c>
    </row>
    <row r="25" customFormat="false" ht="19.5" hidden="false" customHeight="true" outlineLevel="0" collapsed="false">
      <c r="A25" s="48" t="str">
        <f aca="false">IF($B25="","","Concurso")</f>
        <v/>
      </c>
      <c r="B25" s="13" t="str">
        <f aca="false">IF(Concurso!B13="","",Concurso!B13)</f>
        <v/>
      </c>
      <c r="C25" s="73" t="str">
        <f aca="false">IF($B25="","",IF(Concurso!Q13="","",Concurso!Q13))</f>
        <v/>
      </c>
      <c r="D25" s="50" t="str">
        <f aca="false">IF($B25="","",IF(Concurso!I13="","",Concurso!I13))</f>
        <v/>
      </c>
      <c r="E25" s="50" t="str">
        <f aca="false">IF($B25="","",IF(Concurso!J13&lt;&gt;"",Concurso!J13,IF(Concurso!K13&lt;&gt;"",Concurso!K13,"")))</f>
        <v/>
      </c>
      <c r="F25" s="50" t="str">
        <f aca="false">IF($B25="","",IF(Concurso!K13="","",Concurso!K13))</f>
        <v/>
      </c>
      <c r="G25" s="36" t="str">
        <f aca="false">IF($B25="","",Concurso!P13)</f>
        <v/>
      </c>
      <c r="H25" s="74" t="str">
        <f aca="false">IF(OR($B25="",$F25=""),"",IF(AND($F25&gt;=H$7,$F25&lt;EDATE(H$7,1)),"▼",""))</f>
        <v/>
      </c>
      <c r="I25" s="74" t="str">
        <f aca="false">IF(OR($B25="",$F25=""),"",IF(AND($F25&gt;=I$7,$F25&lt;EDATE(I$7,1)),"▼",""))</f>
        <v/>
      </c>
      <c r="J25" s="74" t="str">
        <f aca="false">IF(OR($B25="",$F25=""),"",IF(AND($F25&gt;=J$7,$F25&lt;EDATE(J$7,1)),"▼",""))</f>
        <v/>
      </c>
      <c r="K25" s="74" t="str">
        <f aca="false">IF(OR($B25="",$F25=""),"",IF(AND($F25&gt;=K$7,$F25&lt;EDATE(K$7,1)),"▼",""))</f>
        <v/>
      </c>
      <c r="L25" s="74" t="str">
        <f aca="false">IF(OR($B25="",$F25=""),"",IF(AND($F25&gt;=L$7,$F25&lt;EDATE(L$7,1)),"▼",""))</f>
        <v/>
      </c>
      <c r="M25" s="74" t="str">
        <f aca="false">IF(OR($B25="",$F25=""),"",IF(AND($F25&gt;=M$7,$F25&lt;EDATE(M$7,1)),"▼",""))</f>
        <v/>
      </c>
      <c r="N25" s="74" t="str">
        <f aca="false">IF(OR($B25="",$F25=""),"",IF(AND($F25&gt;=N$7,$F25&lt;EDATE(N$7,1)),"▼",""))</f>
        <v/>
      </c>
      <c r="O25" s="74" t="str">
        <f aca="false">IF(OR($B25="",$F25=""),"",IF(AND($F25&gt;=O$7,$F25&lt;EDATE(O$7,1)),"▼",""))</f>
        <v/>
      </c>
      <c r="P25" s="74" t="str">
        <f aca="false">IF(OR($B25="",$F25=""),"",IF(AND($F25&gt;=P$7,$F25&lt;EDATE(P$7,1)),"▼",""))</f>
        <v/>
      </c>
      <c r="Q25" s="74" t="str">
        <f aca="false">IF(OR($B25="",$F25=""),"",IF(AND($F25&gt;=Q$7,$F25&lt;EDATE(Q$7,1)),"▼",""))</f>
        <v/>
      </c>
      <c r="R25" s="74" t="str">
        <f aca="false">IF(OR($B25="",$F25=""),"",IF(AND($F25&gt;=R$7,$F25&lt;EDATE(R$7,1)),"▼",""))</f>
        <v/>
      </c>
      <c r="S25" s="74" t="str">
        <f aca="false">IF(OR($B25="",$F25=""),"",IF(AND($F25&gt;=S$7,$F25&lt;EDATE(S$7,1)),"▼",""))</f>
        <v/>
      </c>
    </row>
    <row r="26" customFormat="false" ht="19.5" hidden="false" customHeight="true" outlineLevel="0" collapsed="false">
      <c r="A26" s="48" t="str">
        <f aca="false">IF($B26="","","Concurso")</f>
        <v/>
      </c>
      <c r="B26" s="13" t="str">
        <f aca="false">IF(Concurso!B14="","",Concurso!B14)</f>
        <v/>
      </c>
      <c r="C26" s="73" t="str">
        <f aca="false">IF($B26="","",IF(Concurso!Q14="","",Concurso!Q14))</f>
        <v/>
      </c>
      <c r="D26" s="50" t="str">
        <f aca="false">IF($B26="","",IF(Concurso!I14="","",Concurso!I14))</f>
        <v/>
      </c>
      <c r="E26" s="50" t="str">
        <f aca="false">IF($B26="","",IF(Concurso!J14&lt;&gt;"",Concurso!J14,IF(Concurso!K14&lt;&gt;"",Concurso!K14,"")))</f>
        <v/>
      </c>
      <c r="F26" s="50" t="str">
        <f aca="false">IF($B26="","",IF(Concurso!K14="","",Concurso!K14))</f>
        <v/>
      </c>
      <c r="G26" s="36" t="str">
        <f aca="false">IF($B26="","",Concurso!P14)</f>
        <v/>
      </c>
      <c r="H26" s="74" t="str">
        <f aca="false">IF(OR($B26="",$F26=""),"",IF(AND($F26&gt;=H$7,$F26&lt;EDATE(H$7,1)),"▼",""))</f>
        <v/>
      </c>
      <c r="I26" s="74" t="str">
        <f aca="false">IF(OR($B26="",$F26=""),"",IF(AND($F26&gt;=I$7,$F26&lt;EDATE(I$7,1)),"▼",""))</f>
        <v/>
      </c>
      <c r="J26" s="74" t="str">
        <f aca="false">IF(OR($B26="",$F26=""),"",IF(AND($F26&gt;=J$7,$F26&lt;EDATE(J$7,1)),"▼",""))</f>
        <v/>
      </c>
      <c r="K26" s="74" t="str">
        <f aca="false">IF(OR($B26="",$F26=""),"",IF(AND($F26&gt;=K$7,$F26&lt;EDATE(K$7,1)),"▼",""))</f>
        <v/>
      </c>
      <c r="L26" s="74" t="str">
        <f aca="false">IF(OR($B26="",$F26=""),"",IF(AND($F26&gt;=L$7,$F26&lt;EDATE(L$7,1)),"▼",""))</f>
        <v/>
      </c>
      <c r="M26" s="74" t="str">
        <f aca="false">IF(OR($B26="",$F26=""),"",IF(AND($F26&gt;=M$7,$F26&lt;EDATE(M$7,1)),"▼",""))</f>
        <v/>
      </c>
      <c r="N26" s="74" t="str">
        <f aca="false">IF(OR($B26="",$F26=""),"",IF(AND($F26&gt;=N$7,$F26&lt;EDATE(N$7,1)),"▼",""))</f>
        <v/>
      </c>
      <c r="O26" s="74" t="str">
        <f aca="false">IF(OR($B26="",$F26=""),"",IF(AND($F26&gt;=O$7,$F26&lt;EDATE(O$7,1)),"▼",""))</f>
        <v/>
      </c>
      <c r="P26" s="74" t="str">
        <f aca="false">IF(OR($B26="",$F26=""),"",IF(AND($F26&gt;=P$7,$F26&lt;EDATE(P$7,1)),"▼",""))</f>
        <v/>
      </c>
      <c r="Q26" s="74" t="str">
        <f aca="false">IF(OR($B26="",$F26=""),"",IF(AND($F26&gt;=Q$7,$F26&lt;EDATE(Q$7,1)),"▼",""))</f>
        <v/>
      </c>
      <c r="R26" s="74" t="str">
        <f aca="false">IF(OR($B26="",$F26=""),"",IF(AND($F26&gt;=R$7,$F26&lt;EDATE(R$7,1)),"▼",""))</f>
        <v/>
      </c>
      <c r="S26" s="74" t="str">
        <f aca="false">IF(OR($B26="",$F26=""),"",IF(AND($F26&gt;=S$7,$F26&lt;EDATE(S$7,1)),"▼",""))</f>
        <v/>
      </c>
    </row>
    <row r="27" customFormat="false" ht="19.5" hidden="false" customHeight="true" outlineLevel="0" collapsed="false">
      <c r="A27" s="48" t="str">
        <f aca="false">IF($B27="","","Concurso")</f>
        <v/>
      </c>
      <c r="B27" s="13" t="str">
        <f aca="false">IF(Concurso!B15="","",Concurso!B15)</f>
        <v/>
      </c>
      <c r="C27" s="73" t="str">
        <f aca="false">IF($B27="","",IF(Concurso!Q15="","",Concurso!Q15))</f>
        <v/>
      </c>
      <c r="D27" s="50" t="str">
        <f aca="false">IF($B27="","",IF(Concurso!I15="","",Concurso!I15))</f>
        <v/>
      </c>
      <c r="E27" s="50" t="str">
        <f aca="false">IF($B27="","",IF(Concurso!J15&lt;&gt;"",Concurso!J15,IF(Concurso!K15&lt;&gt;"",Concurso!K15,"")))</f>
        <v/>
      </c>
      <c r="F27" s="50" t="str">
        <f aca="false">IF($B27="","",IF(Concurso!K15="","",Concurso!K15))</f>
        <v/>
      </c>
      <c r="G27" s="36" t="str">
        <f aca="false">IF($B27="","",Concurso!P15)</f>
        <v/>
      </c>
      <c r="H27" s="74" t="str">
        <f aca="false">IF(OR($B27="",$F27=""),"",IF(AND($F27&gt;=H$7,$F27&lt;EDATE(H$7,1)),"▼",""))</f>
        <v/>
      </c>
      <c r="I27" s="74" t="str">
        <f aca="false">IF(OR($B27="",$F27=""),"",IF(AND($F27&gt;=I$7,$F27&lt;EDATE(I$7,1)),"▼",""))</f>
        <v/>
      </c>
      <c r="J27" s="74" t="str">
        <f aca="false">IF(OR($B27="",$F27=""),"",IF(AND($F27&gt;=J$7,$F27&lt;EDATE(J$7,1)),"▼",""))</f>
        <v/>
      </c>
      <c r="K27" s="74" t="str">
        <f aca="false">IF(OR($B27="",$F27=""),"",IF(AND($F27&gt;=K$7,$F27&lt;EDATE(K$7,1)),"▼",""))</f>
        <v/>
      </c>
      <c r="L27" s="74" t="str">
        <f aca="false">IF(OR($B27="",$F27=""),"",IF(AND($F27&gt;=L$7,$F27&lt;EDATE(L$7,1)),"▼",""))</f>
        <v/>
      </c>
      <c r="M27" s="74" t="str">
        <f aca="false">IF(OR($B27="",$F27=""),"",IF(AND($F27&gt;=M$7,$F27&lt;EDATE(M$7,1)),"▼",""))</f>
        <v/>
      </c>
      <c r="N27" s="74" t="str">
        <f aca="false">IF(OR($B27="",$F27=""),"",IF(AND($F27&gt;=N$7,$F27&lt;EDATE(N$7,1)),"▼",""))</f>
        <v/>
      </c>
      <c r="O27" s="74" t="str">
        <f aca="false">IF(OR($B27="",$F27=""),"",IF(AND($F27&gt;=O$7,$F27&lt;EDATE(O$7,1)),"▼",""))</f>
        <v/>
      </c>
      <c r="P27" s="74" t="str">
        <f aca="false">IF(OR($B27="",$F27=""),"",IF(AND($F27&gt;=P$7,$F27&lt;EDATE(P$7,1)),"▼",""))</f>
        <v/>
      </c>
      <c r="Q27" s="74" t="str">
        <f aca="false">IF(OR($B27="",$F27=""),"",IF(AND($F27&gt;=Q$7,$F27&lt;EDATE(Q$7,1)),"▼",""))</f>
        <v/>
      </c>
      <c r="R27" s="74" t="str">
        <f aca="false">IF(OR($B27="",$F27=""),"",IF(AND($F27&gt;=R$7,$F27&lt;EDATE(R$7,1)),"▼",""))</f>
        <v/>
      </c>
      <c r="S27" s="74" t="str">
        <f aca="false">IF(OR($B27="",$F27=""),"",IF(AND($F27&gt;=S$7,$F27&lt;EDATE(S$7,1)),"▼",""))</f>
        <v/>
      </c>
    </row>
    <row r="28" customFormat="false" ht="19.5" hidden="false" customHeight="true" outlineLevel="0" collapsed="false">
      <c r="A28" s="48" t="str">
        <f aca="false">IF($B28="","","Concurso")</f>
        <v/>
      </c>
      <c r="B28" s="13" t="str">
        <f aca="false">IF(Concurso!B16="","",Concurso!B16)</f>
        <v/>
      </c>
      <c r="C28" s="73" t="str">
        <f aca="false">IF($B28="","",IF(Concurso!Q16="","",Concurso!Q16))</f>
        <v/>
      </c>
      <c r="D28" s="50" t="str">
        <f aca="false">IF($B28="","",IF(Concurso!I16="","",Concurso!I16))</f>
        <v/>
      </c>
      <c r="E28" s="50" t="str">
        <f aca="false">IF($B28="","",IF(Concurso!J16&lt;&gt;"",Concurso!J16,IF(Concurso!K16&lt;&gt;"",Concurso!K16,"")))</f>
        <v/>
      </c>
      <c r="F28" s="50" t="str">
        <f aca="false">IF($B28="","",IF(Concurso!K16="","",Concurso!K16))</f>
        <v/>
      </c>
      <c r="G28" s="36" t="str">
        <f aca="false">IF($B28="","",Concurso!P16)</f>
        <v/>
      </c>
      <c r="H28" s="74" t="str">
        <f aca="false">IF(OR($B28="",$F28=""),"",IF(AND($F28&gt;=H$7,$F28&lt;EDATE(H$7,1)),"▼",""))</f>
        <v/>
      </c>
      <c r="I28" s="74" t="str">
        <f aca="false">IF(OR($B28="",$F28=""),"",IF(AND($F28&gt;=I$7,$F28&lt;EDATE(I$7,1)),"▼",""))</f>
        <v/>
      </c>
      <c r="J28" s="74" t="str">
        <f aca="false">IF(OR($B28="",$F28=""),"",IF(AND($F28&gt;=J$7,$F28&lt;EDATE(J$7,1)),"▼",""))</f>
        <v/>
      </c>
      <c r="K28" s="74" t="str">
        <f aca="false">IF(OR($B28="",$F28=""),"",IF(AND($F28&gt;=K$7,$F28&lt;EDATE(K$7,1)),"▼",""))</f>
        <v/>
      </c>
      <c r="L28" s="74" t="str">
        <f aca="false">IF(OR($B28="",$F28=""),"",IF(AND($F28&gt;=L$7,$F28&lt;EDATE(L$7,1)),"▼",""))</f>
        <v/>
      </c>
      <c r="M28" s="74" t="str">
        <f aca="false">IF(OR($B28="",$F28=""),"",IF(AND($F28&gt;=M$7,$F28&lt;EDATE(M$7,1)),"▼",""))</f>
        <v/>
      </c>
      <c r="N28" s="74" t="str">
        <f aca="false">IF(OR($B28="",$F28=""),"",IF(AND($F28&gt;=N$7,$F28&lt;EDATE(N$7,1)),"▼",""))</f>
        <v/>
      </c>
      <c r="O28" s="74" t="str">
        <f aca="false">IF(OR($B28="",$F28=""),"",IF(AND($F28&gt;=O$7,$F28&lt;EDATE(O$7,1)),"▼",""))</f>
        <v/>
      </c>
      <c r="P28" s="74" t="str">
        <f aca="false">IF(OR($B28="",$F28=""),"",IF(AND($F28&gt;=P$7,$F28&lt;EDATE(P$7,1)),"▼",""))</f>
        <v/>
      </c>
      <c r="Q28" s="74" t="str">
        <f aca="false">IF(OR($B28="",$F28=""),"",IF(AND($F28&gt;=Q$7,$F28&lt;EDATE(Q$7,1)),"▼",""))</f>
        <v/>
      </c>
      <c r="R28" s="74" t="str">
        <f aca="false">IF(OR($B28="",$F28=""),"",IF(AND($F28&gt;=R$7,$F28&lt;EDATE(R$7,1)),"▼",""))</f>
        <v/>
      </c>
      <c r="S28" s="74" t="str">
        <f aca="false">IF(OR($B28="",$F28=""),"",IF(AND($F28&gt;=S$7,$F28&lt;EDATE(S$7,1)),"▼",""))</f>
        <v/>
      </c>
    </row>
    <row r="29" customFormat="false" ht="19.5" hidden="false" customHeight="true" outlineLevel="0" collapsed="false">
      <c r="A29" s="48" t="str">
        <f aca="false">IF($B29="","","Concurso")</f>
        <v/>
      </c>
      <c r="B29" s="13" t="str">
        <f aca="false">IF(Concurso!B17="","",Concurso!B17)</f>
        <v/>
      </c>
      <c r="C29" s="73" t="str">
        <f aca="false">IF($B29="","",IF(Concurso!Q17="","",Concurso!Q17))</f>
        <v/>
      </c>
      <c r="D29" s="50" t="str">
        <f aca="false">IF($B29="","",IF(Concurso!I17="","",Concurso!I17))</f>
        <v/>
      </c>
      <c r="E29" s="50" t="str">
        <f aca="false">IF($B29="","",IF(Concurso!J17&lt;&gt;"",Concurso!J17,IF(Concurso!K17&lt;&gt;"",Concurso!K17,"")))</f>
        <v/>
      </c>
      <c r="F29" s="50" t="str">
        <f aca="false">IF($B29="","",IF(Concurso!K17="","",Concurso!K17))</f>
        <v/>
      </c>
      <c r="G29" s="36" t="str">
        <f aca="false">IF($B29="","",Concurso!P17)</f>
        <v/>
      </c>
      <c r="H29" s="74" t="str">
        <f aca="false">IF(OR($B29="",$F29=""),"",IF(AND($F29&gt;=H$7,$F29&lt;EDATE(H$7,1)),"▼",""))</f>
        <v/>
      </c>
      <c r="I29" s="74" t="str">
        <f aca="false">IF(OR($B29="",$F29=""),"",IF(AND($F29&gt;=I$7,$F29&lt;EDATE(I$7,1)),"▼",""))</f>
        <v/>
      </c>
      <c r="J29" s="74" t="str">
        <f aca="false">IF(OR($B29="",$F29=""),"",IF(AND($F29&gt;=J$7,$F29&lt;EDATE(J$7,1)),"▼",""))</f>
        <v/>
      </c>
      <c r="K29" s="74" t="str">
        <f aca="false">IF(OR($B29="",$F29=""),"",IF(AND($F29&gt;=K$7,$F29&lt;EDATE(K$7,1)),"▼",""))</f>
        <v/>
      </c>
      <c r="L29" s="74" t="str">
        <f aca="false">IF(OR($B29="",$F29=""),"",IF(AND($F29&gt;=L$7,$F29&lt;EDATE(L$7,1)),"▼",""))</f>
        <v/>
      </c>
      <c r="M29" s="74" t="str">
        <f aca="false">IF(OR($B29="",$F29=""),"",IF(AND($F29&gt;=M$7,$F29&lt;EDATE(M$7,1)),"▼",""))</f>
        <v/>
      </c>
      <c r="N29" s="74" t="str">
        <f aca="false">IF(OR($B29="",$F29=""),"",IF(AND($F29&gt;=N$7,$F29&lt;EDATE(N$7,1)),"▼",""))</f>
        <v/>
      </c>
      <c r="O29" s="74" t="str">
        <f aca="false">IF(OR($B29="",$F29=""),"",IF(AND($F29&gt;=O$7,$F29&lt;EDATE(O$7,1)),"▼",""))</f>
        <v/>
      </c>
      <c r="P29" s="74" t="str">
        <f aca="false">IF(OR($B29="",$F29=""),"",IF(AND($F29&gt;=P$7,$F29&lt;EDATE(P$7,1)),"▼",""))</f>
        <v/>
      </c>
      <c r="Q29" s="74" t="str">
        <f aca="false">IF(OR($B29="",$F29=""),"",IF(AND($F29&gt;=Q$7,$F29&lt;EDATE(Q$7,1)),"▼",""))</f>
        <v/>
      </c>
      <c r="R29" s="74" t="str">
        <f aca="false">IF(OR($B29="",$F29=""),"",IF(AND($F29&gt;=R$7,$F29&lt;EDATE(R$7,1)),"▼",""))</f>
        <v/>
      </c>
      <c r="S29" s="74" t="str">
        <f aca="false">IF(OR($B29="",$F29=""),"",IF(AND($F29&gt;=S$7,$F29&lt;EDATE(S$7,1)),"▼",""))</f>
        <v/>
      </c>
    </row>
    <row r="30" customFormat="false" ht="19.5" hidden="false" customHeight="true" outlineLevel="0" collapsed="false">
      <c r="A30" s="48" t="str">
        <f aca="false">IF($B30="","","Concurso")</f>
        <v/>
      </c>
      <c r="B30" s="13" t="str">
        <f aca="false">IF(Concurso!B18="","",Concurso!B18)</f>
        <v/>
      </c>
      <c r="C30" s="73" t="str">
        <f aca="false">IF($B30="","",IF(Concurso!Q18="","",Concurso!Q18))</f>
        <v/>
      </c>
      <c r="D30" s="50" t="str">
        <f aca="false">IF($B30="","",IF(Concurso!I18="","",Concurso!I18))</f>
        <v/>
      </c>
      <c r="E30" s="50" t="str">
        <f aca="false">IF($B30="","",IF(Concurso!J18&lt;&gt;"",Concurso!J18,IF(Concurso!K18&lt;&gt;"",Concurso!K18,"")))</f>
        <v/>
      </c>
      <c r="F30" s="50" t="str">
        <f aca="false">IF($B30="","",IF(Concurso!K18="","",Concurso!K18))</f>
        <v/>
      </c>
      <c r="G30" s="36" t="str">
        <f aca="false">IF($B30="","",Concurso!P18)</f>
        <v/>
      </c>
      <c r="H30" s="74" t="str">
        <f aca="false">IF(OR($B30="",$F30=""),"",IF(AND($F30&gt;=H$7,$F30&lt;EDATE(H$7,1)),"▼",""))</f>
        <v/>
      </c>
      <c r="I30" s="74" t="str">
        <f aca="false">IF(OR($B30="",$F30=""),"",IF(AND($F30&gt;=I$7,$F30&lt;EDATE(I$7,1)),"▼",""))</f>
        <v/>
      </c>
      <c r="J30" s="74" t="str">
        <f aca="false">IF(OR($B30="",$F30=""),"",IF(AND($F30&gt;=J$7,$F30&lt;EDATE(J$7,1)),"▼",""))</f>
        <v/>
      </c>
      <c r="K30" s="74" t="str">
        <f aca="false">IF(OR($B30="",$F30=""),"",IF(AND($F30&gt;=K$7,$F30&lt;EDATE(K$7,1)),"▼",""))</f>
        <v/>
      </c>
      <c r="L30" s="74" t="str">
        <f aca="false">IF(OR($B30="",$F30=""),"",IF(AND($F30&gt;=L$7,$F30&lt;EDATE(L$7,1)),"▼",""))</f>
        <v/>
      </c>
      <c r="M30" s="74" t="str">
        <f aca="false">IF(OR($B30="",$F30=""),"",IF(AND($F30&gt;=M$7,$F30&lt;EDATE(M$7,1)),"▼",""))</f>
        <v/>
      </c>
      <c r="N30" s="74" t="str">
        <f aca="false">IF(OR($B30="",$F30=""),"",IF(AND($F30&gt;=N$7,$F30&lt;EDATE(N$7,1)),"▼",""))</f>
        <v/>
      </c>
      <c r="O30" s="74" t="str">
        <f aca="false">IF(OR($B30="",$F30=""),"",IF(AND($F30&gt;=O$7,$F30&lt;EDATE(O$7,1)),"▼",""))</f>
        <v/>
      </c>
      <c r="P30" s="74" t="str">
        <f aca="false">IF(OR($B30="",$F30=""),"",IF(AND($F30&gt;=P$7,$F30&lt;EDATE(P$7,1)),"▼",""))</f>
        <v/>
      </c>
      <c r="Q30" s="74" t="str">
        <f aca="false">IF(OR($B30="",$F30=""),"",IF(AND($F30&gt;=Q$7,$F30&lt;EDATE(Q$7,1)),"▼",""))</f>
        <v/>
      </c>
      <c r="R30" s="74" t="str">
        <f aca="false">IF(OR($B30="",$F30=""),"",IF(AND($F30&gt;=R$7,$F30&lt;EDATE(R$7,1)),"▼",""))</f>
        <v/>
      </c>
      <c r="S30" s="74" t="str">
        <f aca="false">IF(OR($B30="",$F30=""),"",IF(AND($F30&gt;=S$7,$F30&lt;EDATE(S$7,1)),"▼",""))</f>
        <v/>
      </c>
    </row>
    <row r="31" customFormat="false" ht="19.5" hidden="false" customHeight="true" outlineLevel="0" collapsed="false">
      <c r="A31" s="48" t="str">
        <f aca="false">IF($B31="","","Concurso")</f>
        <v/>
      </c>
      <c r="B31" s="13" t="str">
        <f aca="false">IF(Concurso!B19="","",Concurso!B19)</f>
        <v/>
      </c>
      <c r="C31" s="73" t="str">
        <f aca="false">IF($B31="","",IF(Concurso!Q19="","",Concurso!Q19))</f>
        <v/>
      </c>
      <c r="D31" s="50" t="str">
        <f aca="false">IF($B31="","",IF(Concurso!I19="","",Concurso!I19))</f>
        <v/>
      </c>
      <c r="E31" s="50" t="str">
        <f aca="false">IF($B31="","",IF(Concurso!J19&lt;&gt;"",Concurso!J19,IF(Concurso!K19&lt;&gt;"",Concurso!K19,"")))</f>
        <v/>
      </c>
      <c r="F31" s="50" t="str">
        <f aca="false">IF($B31="","",IF(Concurso!K19="","",Concurso!K19))</f>
        <v/>
      </c>
      <c r="G31" s="36" t="str">
        <f aca="false">IF($B31="","",Concurso!P19)</f>
        <v/>
      </c>
      <c r="H31" s="74" t="str">
        <f aca="false">IF(OR($B31="",$F31=""),"",IF(AND($F31&gt;=H$7,$F31&lt;EDATE(H$7,1)),"▼",""))</f>
        <v/>
      </c>
      <c r="I31" s="74" t="str">
        <f aca="false">IF(OR($B31="",$F31=""),"",IF(AND($F31&gt;=I$7,$F31&lt;EDATE(I$7,1)),"▼",""))</f>
        <v/>
      </c>
      <c r="J31" s="74" t="str">
        <f aca="false">IF(OR($B31="",$F31=""),"",IF(AND($F31&gt;=J$7,$F31&lt;EDATE(J$7,1)),"▼",""))</f>
        <v/>
      </c>
      <c r="K31" s="74" t="str">
        <f aca="false">IF(OR($B31="",$F31=""),"",IF(AND($F31&gt;=K$7,$F31&lt;EDATE(K$7,1)),"▼",""))</f>
        <v/>
      </c>
      <c r="L31" s="74" t="str">
        <f aca="false">IF(OR($B31="",$F31=""),"",IF(AND($F31&gt;=L$7,$F31&lt;EDATE(L$7,1)),"▼",""))</f>
        <v/>
      </c>
      <c r="M31" s="74" t="str">
        <f aca="false">IF(OR($B31="",$F31=""),"",IF(AND($F31&gt;=M$7,$F31&lt;EDATE(M$7,1)),"▼",""))</f>
        <v/>
      </c>
      <c r="N31" s="74" t="str">
        <f aca="false">IF(OR($B31="",$F31=""),"",IF(AND($F31&gt;=N$7,$F31&lt;EDATE(N$7,1)),"▼",""))</f>
        <v/>
      </c>
      <c r="O31" s="74" t="str">
        <f aca="false">IF(OR($B31="",$F31=""),"",IF(AND($F31&gt;=O$7,$F31&lt;EDATE(O$7,1)),"▼",""))</f>
        <v/>
      </c>
      <c r="P31" s="74" t="str">
        <f aca="false">IF(OR($B31="",$F31=""),"",IF(AND($F31&gt;=P$7,$F31&lt;EDATE(P$7,1)),"▼",""))</f>
        <v/>
      </c>
      <c r="Q31" s="74" t="str">
        <f aca="false">IF(OR($B31="",$F31=""),"",IF(AND($F31&gt;=Q$7,$F31&lt;EDATE(Q$7,1)),"▼",""))</f>
        <v/>
      </c>
      <c r="R31" s="74" t="str">
        <f aca="false">IF(OR($B31="",$F31=""),"",IF(AND($F31&gt;=R$7,$F31&lt;EDATE(R$7,1)),"▼",""))</f>
        <v/>
      </c>
      <c r="S31" s="74" t="str">
        <f aca="false">IF(OR($B31="",$F31=""),"",IF(AND($F31&gt;=S$7,$F31&lt;EDATE(S$7,1)),"▼",""))</f>
        <v/>
      </c>
    </row>
    <row r="32" customFormat="false" ht="19.5" hidden="false" customHeight="true" outlineLevel="0" collapsed="false">
      <c r="A32" s="48" t="str">
        <f aca="false">IF($B32="","","Concurso")</f>
        <v/>
      </c>
      <c r="B32" s="13" t="str">
        <f aca="false">IF(Concurso!B20="","",Concurso!B20)</f>
        <v/>
      </c>
      <c r="C32" s="73" t="str">
        <f aca="false">IF($B32="","",IF(Concurso!Q20="","",Concurso!Q20))</f>
        <v/>
      </c>
      <c r="D32" s="50" t="str">
        <f aca="false">IF($B32="","",IF(Concurso!I20="","",Concurso!I20))</f>
        <v/>
      </c>
      <c r="E32" s="50" t="str">
        <f aca="false">IF($B32="","",IF(Concurso!J20&lt;&gt;"",Concurso!J20,IF(Concurso!K20&lt;&gt;"",Concurso!K20,"")))</f>
        <v/>
      </c>
      <c r="F32" s="50" t="str">
        <f aca="false">IF($B32="","",IF(Concurso!K20="","",Concurso!K20))</f>
        <v/>
      </c>
      <c r="G32" s="36" t="str">
        <f aca="false">IF($B32="","",Concurso!P20)</f>
        <v/>
      </c>
      <c r="H32" s="74" t="str">
        <f aca="false">IF(OR($B32="",$F32=""),"",IF(AND($F32&gt;=H$7,$F32&lt;EDATE(H$7,1)),"▼",""))</f>
        <v/>
      </c>
      <c r="I32" s="74" t="str">
        <f aca="false">IF(OR($B32="",$F32=""),"",IF(AND($F32&gt;=I$7,$F32&lt;EDATE(I$7,1)),"▼",""))</f>
        <v/>
      </c>
      <c r="J32" s="74" t="str">
        <f aca="false">IF(OR($B32="",$F32=""),"",IF(AND($F32&gt;=J$7,$F32&lt;EDATE(J$7,1)),"▼",""))</f>
        <v/>
      </c>
      <c r="K32" s="74" t="str">
        <f aca="false">IF(OR($B32="",$F32=""),"",IF(AND($F32&gt;=K$7,$F32&lt;EDATE(K$7,1)),"▼",""))</f>
        <v/>
      </c>
      <c r="L32" s="74" t="str">
        <f aca="false">IF(OR($B32="",$F32=""),"",IF(AND($F32&gt;=L$7,$F32&lt;EDATE(L$7,1)),"▼",""))</f>
        <v/>
      </c>
      <c r="M32" s="74" t="str">
        <f aca="false">IF(OR($B32="",$F32=""),"",IF(AND($F32&gt;=M$7,$F32&lt;EDATE(M$7,1)),"▼",""))</f>
        <v/>
      </c>
      <c r="N32" s="74" t="str">
        <f aca="false">IF(OR($B32="",$F32=""),"",IF(AND($F32&gt;=N$7,$F32&lt;EDATE(N$7,1)),"▼",""))</f>
        <v/>
      </c>
      <c r="O32" s="74" t="str">
        <f aca="false">IF(OR($B32="",$F32=""),"",IF(AND($F32&gt;=O$7,$F32&lt;EDATE(O$7,1)),"▼",""))</f>
        <v/>
      </c>
      <c r="P32" s="74" t="str">
        <f aca="false">IF(OR($B32="",$F32=""),"",IF(AND($F32&gt;=P$7,$F32&lt;EDATE(P$7,1)),"▼",""))</f>
        <v/>
      </c>
      <c r="Q32" s="74" t="str">
        <f aca="false">IF(OR($B32="",$F32=""),"",IF(AND($F32&gt;=Q$7,$F32&lt;EDATE(Q$7,1)),"▼",""))</f>
        <v/>
      </c>
      <c r="R32" s="74" t="str">
        <f aca="false">IF(OR($B32="",$F32=""),"",IF(AND($F32&gt;=R$7,$F32&lt;EDATE(R$7,1)),"▼",""))</f>
        <v/>
      </c>
      <c r="S32" s="74" t="str">
        <f aca="false">IF(OR($B32="",$F32=""),"",IF(AND($F32&gt;=S$7,$F32&lt;EDATE(S$7,1)),"▼",""))</f>
        <v/>
      </c>
    </row>
    <row r="33" customFormat="false" ht="19.5" hidden="false" customHeight="true" outlineLevel="0" collapsed="false">
      <c r="A33" s="48" t="str">
        <f aca="false">IF($B33="","","Concurso")</f>
        <v/>
      </c>
      <c r="B33" s="13" t="str">
        <f aca="false">IF(Concurso!B21="","",Concurso!B21)</f>
        <v/>
      </c>
      <c r="C33" s="73" t="str">
        <f aca="false">IF($B33="","",IF(Concurso!Q21="","",Concurso!Q21))</f>
        <v/>
      </c>
      <c r="D33" s="50" t="str">
        <f aca="false">IF($B33="","",IF(Concurso!I21="","",Concurso!I21))</f>
        <v/>
      </c>
      <c r="E33" s="50" t="str">
        <f aca="false">IF($B33="","",IF(Concurso!J21&lt;&gt;"",Concurso!J21,IF(Concurso!K21&lt;&gt;"",Concurso!K21,"")))</f>
        <v/>
      </c>
      <c r="F33" s="50" t="str">
        <f aca="false">IF($B33="","",IF(Concurso!K21="","",Concurso!K21))</f>
        <v/>
      </c>
      <c r="G33" s="36" t="str">
        <f aca="false">IF($B33="","",Concurso!P21)</f>
        <v/>
      </c>
      <c r="H33" s="74" t="str">
        <f aca="false">IF(OR($B33="",$F33=""),"",IF(AND($F33&gt;=H$7,$F33&lt;EDATE(H$7,1)),"▼",""))</f>
        <v/>
      </c>
      <c r="I33" s="74" t="str">
        <f aca="false">IF(OR($B33="",$F33=""),"",IF(AND($F33&gt;=I$7,$F33&lt;EDATE(I$7,1)),"▼",""))</f>
        <v/>
      </c>
      <c r="J33" s="74" t="str">
        <f aca="false">IF(OR($B33="",$F33=""),"",IF(AND($F33&gt;=J$7,$F33&lt;EDATE(J$7,1)),"▼",""))</f>
        <v/>
      </c>
      <c r="K33" s="74" t="str">
        <f aca="false">IF(OR($B33="",$F33=""),"",IF(AND($F33&gt;=K$7,$F33&lt;EDATE(K$7,1)),"▼",""))</f>
        <v/>
      </c>
      <c r="L33" s="74" t="str">
        <f aca="false">IF(OR($B33="",$F33=""),"",IF(AND($F33&gt;=L$7,$F33&lt;EDATE(L$7,1)),"▼",""))</f>
        <v/>
      </c>
      <c r="M33" s="74" t="str">
        <f aca="false">IF(OR($B33="",$F33=""),"",IF(AND($F33&gt;=M$7,$F33&lt;EDATE(M$7,1)),"▼",""))</f>
        <v/>
      </c>
      <c r="N33" s="74" t="str">
        <f aca="false">IF(OR($B33="",$F33=""),"",IF(AND($F33&gt;=N$7,$F33&lt;EDATE(N$7,1)),"▼",""))</f>
        <v/>
      </c>
      <c r="O33" s="74" t="str">
        <f aca="false">IF(OR($B33="",$F33=""),"",IF(AND($F33&gt;=O$7,$F33&lt;EDATE(O$7,1)),"▼",""))</f>
        <v/>
      </c>
      <c r="P33" s="74" t="str">
        <f aca="false">IF(OR($B33="",$F33=""),"",IF(AND($F33&gt;=P$7,$F33&lt;EDATE(P$7,1)),"▼",""))</f>
        <v/>
      </c>
      <c r="Q33" s="74" t="str">
        <f aca="false">IF(OR($B33="",$F33=""),"",IF(AND($F33&gt;=Q$7,$F33&lt;EDATE(Q$7,1)),"▼",""))</f>
        <v/>
      </c>
      <c r="R33" s="74" t="str">
        <f aca="false">IF(OR($B33="",$F33=""),"",IF(AND($F33&gt;=R$7,$F33&lt;EDATE(R$7,1)),"▼",""))</f>
        <v/>
      </c>
      <c r="S33" s="74" t="str">
        <f aca="false">IF(OR($B33="",$F33=""),"",IF(AND($F33&gt;=S$7,$F33&lt;EDATE(S$7,1)),"▼",""))</f>
        <v/>
      </c>
    </row>
    <row r="34" customFormat="false" ht="19.5" hidden="false" customHeight="true" outlineLevel="0" collapsed="false">
      <c r="A34" s="75" t="s">
        <v>100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</row>
    <row r="35" customFormat="false" ht="19.5" hidden="false" customHeight="true" outlineLevel="0" collapsed="false">
      <c r="A35" s="48" t="str">
        <f aca="false">IF($B35="","","Livros")</f>
        <v>Livros</v>
      </c>
      <c r="B35" s="13" t="str">
        <f aca="false">IF(Livros!B10="","",Livros!B10)</f>
        <v>Hábitos Atômicos (exemplo)</v>
      </c>
      <c r="C35" s="73" t="str">
        <f aca="false">IF($B35="","",IF(Livros!N10="","",Livros!N10))</f>
        <v>Em andamento</v>
      </c>
      <c r="D35" s="50" t="n">
        <f aca="false">IF($B35="","",IF(Livros!I10="","",Livros!I10))</f>
        <v>46290</v>
      </c>
      <c r="E35" s="50" t="n">
        <f aca="false">IF($B35="","",IF(Livros!J10="","",Livros!J10))</f>
        <v>46341</v>
      </c>
      <c r="F35" s="50" t="str">
        <f aca="false">""</f>
        <v/>
      </c>
      <c r="G35" s="36" t="n">
        <f aca="false">IF($B35="","",Livros!M10)</f>
        <v>0.375</v>
      </c>
      <c r="H35" s="74" t="str">
        <f aca="false">IF(OR($B35="",$F35=""),"",IF(AND($F35&gt;=H$7,$F35&lt;EDATE(H$7,1)),"▼",""))</f>
        <v/>
      </c>
      <c r="I35" s="74" t="str">
        <f aca="false">IF(OR($B35="",$F35=""),"",IF(AND($F35&gt;=I$7,$F35&lt;EDATE(I$7,1)),"▼",""))</f>
        <v/>
      </c>
      <c r="J35" s="74" t="str">
        <f aca="false">IF(OR($B35="",$F35=""),"",IF(AND($F35&gt;=J$7,$F35&lt;EDATE(J$7,1)),"▼",""))</f>
        <v/>
      </c>
      <c r="K35" s="74" t="str">
        <f aca="false">IF(OR($B35="",$F35=""),"",IF(AND($F35&gt;=K$7,$F35&lt;EDATE(K$7,1)),"▼",""))</f>
        <v/>
      </c>
      <c r="L35" s="74" t="str">
        <f aca="false">IF(OR($B35="",$F35=""),"",IF(AND($F35&gt;=L$7,$F35&lt;EDATE(L$7,1)),"▼",""))</f>
        <v/>
      </c>
      <c r="M35" s="74" t="str">
        <f aca="false">IF(OR($B35="",$F35=""),"",IF(AND($F35&gt;=M$7,$F35&lt;EDATE(M$7,1)),"▼",""))</f>
        <v/>
      </c>
      <c r="N35" s="74" t="str">
        <f aca="false">IF(OR($B35="",$F35=""),"",IF(AND($F35&gt;=N$7,$F35&lt;EDATE(N$7,1)),"▼",""))</f>
        <v/>
      </c>
      <c r="O35" s="74" t="str">
        <f aca="false">IF(OR($B35="",$F35=""),"",IF(AND($F35&gt;=O$7,$F35&lt;EDATE(O$7,1)),"▼",""))</f>
        <v/>
      </c>
      <c r="P35" s="74" t="str">
        <f aca="false">IF(OR($B35="",$F35=""),"",IF(AND($F35&gt;=P$7,$F35&lt;EDATE(P$7,1)),"▼",""))</f>
        <v/>
      </c>
      <c r="Q35" s="74" t="str">
        <f aca="false">IF(OR($B35="",$F35=""),"",IF(AND($F35&gt;=Q$7,$F35&lt;EDATE(Q$7,1)),"▼",""))</f>
        <v/>
      </c>
      <c r="R35" s="74" t="str">
        <f aca="false">IF(OR($B35="",$F35=""),"",IF(AND($F35&gt;=R$7,$F35&lt;EDATE(R$7,1)),"▼",""))</f>
        <v/>
      </c>
      <c r="S35" s="74" t="str">
        <f aca="false">IF(OR($B35="",$F35=""),"",IF(AND($F35&gt;=S$7,$F35&lt;EDATE(S$7,1)),"▼",""))</f>
        <v/>
      </c>
    </row>
    <row r="36" customFormat="false" ht="19.5" hidden="false" customHeight="true" outlineLevel="0" collapsed="false">
      <c r="A36" s="48" t="str">
        <f aca="false">IF($B36="","","Livros")</f>
        <v/>
      </c>
      <c r="B36" s="13" t="str">
        <f aca="false">IF(Livros!B11="","",Livros!B11)</f>
        <v/>
      </c>
      <c r="C36" s="73" t="str">
        <f aca="false">IF($B36="","",IF(Livros!N11="","",Livros!N11))</f>
        <v/>
      </c>
      <c r="D36" s="50" t="str">
        <f aca="false">IF($B36="","",IF(Livros!I11="","",Livros!I11))</f>
        <v/>
      </c>
      <c r="E36" s="50" t="str">
        <f aca="false">IF($B36="","",IF(Livros!J11="","",Livros!J11))</f>
        <v/>
      </c>
      <c r="F36" s="50" t="str">
        <f aca="false">""</f>
        <v/>
      </c>
      <c r="G36" s="36" t="str">
        <f aca="false">IF($B36="","",Livros!M11)</f>
        <v/>
      </c>
      <c r="H36" s="74" t="str">
        <f aca="false">IF(OR($B36="",$F36=""),"",IF(AND($F36&gt;=H$7,$F36&lt;EDATE(H$7,1)),"▼",""))</f>
        <v/>
      </c>
      <c r="I36" s="74" t="str">
        <f aca="false">IF(OR($B36="",$F36=""),"",IF(AND($F36&gt;=I$7,$F36&lt;EDATE(I$7,1)),"▼",""))</f>
        <v/>
      </c>
      <c r="J36" s="74" t="str">
        <f aca="false">IF(OR($B36="",$F36=""),"",IF(AND($F36&gt;=J$7,$F36&lt;EDATE(J$7,1)),"▼",""))</f>
        <v/>
      </c>
      <c r="K36" s="74" t="str">
        <f aca="false">IF(OR($B36="",$F36=""),"",IF(AND($F36&gt;=K$7,$F36&lt;EDATE(K$7,1)),"▼",""))</f>
        <v/>
      </c>
      <c r="L36" s="74" t="str">
        <f aca="false">IF(OR($B36="",$F36=""),"",IF(AND($F36&gt;=L$7,$F36&lt;EDATE(L$7,1)),"▼",""))</f>
        <v/>
      </c>
      <c r="M36" s="74" t="str">
        <f aca="false">IF(OR($B36="",$F36=""),"",IF(AND($F36&gt;=M$7,$F36&lt;EDATE(M$7,1)),"▼",""))</f>
        <v/>
      </c>
      <c r="N36" s="74" t="str">
        <f aca="false">IF(OR($B36="",$F36=""),"",IF(AND($F36&gt;=N$7,$F36&lt;EDATE(N$7,1)),"▼",""))</f>
        <v/>
      </c>
      <c r="O36" s="74" t="str">
        <f aca="false">IF(OR($B36="",$F36=""),"",IF(AND($F36&gt;=O$7,$F36&lt;EDATE(O$7,1)),"▼",""))</f>
        <v/>
      </c>
      <c r="P36" s="74" t="str">
        <f aca="false">IF(OR($B36="",$F36=""),"",IF(AND($F36&gt;=P$7,$F36&lt;EDATE(P$7,1)),"▼",""))</f>
        <v/>
      </c>
      <c r="Q36" s="74" t="str">
        <f aca="false">IF(OR($B36="",$F36=""),"",IF(AND($F36&gt;=Q$7,$F36&lt;EDATE(Q$7,1)),"▼",""))</f>
        <v/>
      </c>
      <c r="R36" s="74" t="str">
        <f aca="false">IF(OR($B36="",$F36=""),"",IF(AND($F36&gt;=R$7,$F36&lt;EDATE(R$7,1)),"▼",""))</f>
        <v/>
      </c>
      <c r="S36" s="74" t="str">
        <f aca="false">IF(OR($B36="",$F36=""),"",IF(AND($F36&gt;=S$7,$F36&lt;EDATE(S$7,1)),"▼",""))</f>
        <v/>
      </c>
    </row>
    <row r="37" customFormat="false" ht="19.5" hidden="false" customHeight="true" outlineLevel="0" collapsed="false">
      <c r="A37" s="48" t="str">
        <f aca="false">IF($B37="","","Livros")</f>
        <v/>
      </c>
      <c r="B37" s="13" t="str">
        <f aca="false">IF(Livros!B12="","",Livros!B12)</f>
        <v/>
      </c>
      <c r="C37" s="73" t="str">
        <f aca="false">IF($B37="","",IF(Livros!N12="","",Livros!N12))</f>
        <v/>
      </c>
      <c r="D37" s="50" t="str">
        <f aca="false">IF($B37="","",IF(Livros!I12="","",Livros!I12))</f>
        <v/>
      </c>
      <c r="E37" s="50" t="str">
        <f aca="false">IF($B37="","",IF(Livros!J12="","",Livros!J12))</f>
        <v/>
      </c>
      <c r="F37" s="50" t="str">
        <f aca="false">""</f>
        <v/>
      </c>
      <c r="G37" s="36" t="str">
        <f aca="false">IF($B37="","",Livros!M12)</f>
        <v/>
      </c>
      <c r="H37" s="74" t="str">
        <f aca="false">IF(OR($B37="",$F37=""),"",IF(AND($F37&gt;=H$7,$F37&lt;EDATE(H$7,1)),"▼",""))</f>
        <v/>
      </c>
      <c r="I37" s="74" t="str">
        <f aca="false">IF(OR($B37="",$F37=""),"",IF(AND($F37&gt;=I$7,$F37&lt;EDATE(I$7,1)),"▼",""))</f>
        <v/>
      </c>
      <c r="J37" s="74" t="str">
        <f aca="false">IF(OR($B37="",$F37=""),"",IF(AND($F37&gt;=J$7,$F37&lt;EDATE(J$7,1)),"▼",""))</f>
        <v/>
      </c>
      <c r="K37" s="74" t="str">
        <f aca="false">IF(OR($B37="",$F37=""),"",IF(AND($F37&gt;=K$7,$F37&lt;EDATE(K$7,1)),"▼",""))</f>
        <v/>
      </c>
      <c r="L37" s="74" t="str">
        <f aca="false">IF(OR($B37="",$F37=""),"",IF(AND($F37&gt;=L$7,$F37&lt;EDATE(L$7,1)),"▼",""))</f>
        <v/>
      </c>
      <c r="M37" s="74" t="str">
        <f aca="false">IF(OR($B37="",$F37=""),"",IF(AND($F37&gt;=M$7,$F37&lt;EDATE(M$7,1)),"▼",""))</f>
        <v/>
      </c>
      <c r="N37" s="74" t="str">
        <f aca="false">IF(OR($B37="",$F37=""),"",IF(AND($F37&gt;=N$7,$F37&lt;EDATE(N$7,1)),"▼",""))</f>
        <v/>
      </c>
      <c r="O37" s="74" t="str">
        <f aca="false">IF(OR($B37="",$F37=""),"",IF(AND($F37&gt;=O$7,$F37&lt;EDATE(O$7,1)),"▼",""))</f>
        <v/>
      </c>
      <c r="P37" s="74" t="str">
        <f aca="false">IF(OR($B37="",$F37=""),"",IF(AND($F37&gt;=P$7,$F37&lt;EDATE(P$7,1)),"▼",""))</f>
        <v/>
      </c>
      <c r="Q37" s="74" t="str">
        <f aca="false">IF(OR($B37="",$F37=""),"",IF(AND($F37&gt;=Q$7,$F37&lt;EDATE(Q$7,1)),"▼",""))</f>
        <v/>
      </c>
      <c r="R37" s="74" t="str">
        <f aca="false">IF(OR($B37="",$F37=""),"",IF(AND($F37&gt;=R$7,$F37&lt;EDATE(R$7,1)),"▼",""))</f>
        <v/>
      </c>
      <c r="S37" s="74" t="str">
        <f aca="false">IF(OR($B37="",$F37=""),"",IF(AND($F37&gt;=S$7,$F37&lt;EDATE(S$7,1)),"▼",""))</f>
        <v/>
      </c>
    </row>
    <row r="38" customFormat="false" ht="19.5" hidden="false" customHeight="true" outlineLevel="0" collapsed="false">
      <c r="A38" s="48" t="str">
        <f aca="false">IF($B38="","","Livros")</f>
        <v/>
      </c>
      <c r="B38" s="13" t="str">
        <f aca="false">IF(Livros!B13="","",Livros!B13)</f>
        <v/>
      </c>
      <c r="C38" s="73" t="str">
        <f aca="false">IF($B38="","",IF(Livros!N13="","",Livros!N13))</f>
        <v/>
      </c>
      <c r="D38" s="50" t="str">
        <f aca="false">IF($B38="","",IF(Livros!I13="","",Livros!I13))</f>
        <v/>
      </c>
      <c r="E38" s="50" t="str">
        <f aca="false">IF($B38="","",IF(Livros!J13="","",Livros!J13))</f>
        <v/>
      </c>
      <c r="F38" s="50" t="str">
        <f aca="false">""</f>
        <v/>
      </c>
      <c r="G38" s="36" t="str">
        <f aca="false">IF($B38="","",Livros!M13)</f>
        <v/>
      </c>
      <c r="H38" s="74" t="str">
        <f aca="false">IF(OR($B38="",$F38=""),"",IF(AND($F38&gt;=H$7,$F38&lt;EDATE(H$7,1)),"▼",""))</f>
        <v/>
      </c>
      <c r="I38" s="74" t="str">
        <f aca="false">IF(OR($B38="",$F38=""),"",IF(AND($F38&gt;=I$7,$F38&lt;EDATE(I$7,1)),"▼",""))</f>
        <v/>
      </c>
      <c r="J38" s="74" t="str">
        <f aca="false">IF(OR($B38="",$F38=""),"",IF(AND($F38&gt;=J$7,$F38&lt;EDATE(J$7,1)),"▼",""))</f>
        <v/>
      </c>
      <c r="K38" s="74" t="str">
        <f aca="false">IF(OR($B38="",$F38=""),"",IF(AND($F38&gt;=K$7,$F38&lt;EDATE(K$7,1)),"▼",""))</f>
        <v/>
      </c>
      <c r="L38" s="74" t="str">
        <f aca="false">IF(OR($B38="",$F38=""),"",IF(AND($F38&gt;=L$7,$F38&lt;EDATE(L$7,1)),"▼",""))</f>
        <v/>
      </c>
      <c r="M38" s="74" t="str">
        <f aca="false">IF(OR($B38="",$F38=""),"",IF(AND($F38&gt;=M$7,$F38&lt;EDATE(M$7,1)),"▼",""))</f>
        <v/>
      </c>
      <c r="N38" s="74" t="str">
        <f aca="false">IF(OR($B38="",$F38=""),"",IF(AND($F38&gt;=N$7,$F38&lt;EDATE(N$7,1)),"▼",""))</f>
        <v/>
      </c>
      <c r="O38" s="74" t="str">
        <f aca="false">IF(OR($B38="",$F38=""),"",IF(AND($F38&gt;=O$7,$F38&lt;EDATE(O$7,1)),"▼",""))</f>
        <v/>
      </c>
      <c r="P38" s="74" t="str">
        <f aca="false">IF(OR($B38="",$F38=""),"",IF(AND($F38&gt;=P$7,$F38&lt;EDATE(P$7,1)),"▼",""))</f>
        <v/>
      </c>
      <c r="Q38" s="74" t="str">
        <f aca="false">IF(OR($B38="",$F38=""),"",IF(AND($F38&gt;=Q$7,$F38&lt;EDATE(Q$7,1)),"▼",""))</f>
        <v/>
      </c>
      <c r="R38" s="74" t="str">
        <f aca="false">IF(OR($B38="",$F38=""),"",IF(AND($F38&gt;=R$7,$F38&lt;EDATE(R$7,1)),"▼",""))</f>
        <v/>
      </c>
      <c r="S38" s="74" t="str">
        <f aca="false">IF(OR($B38="",$F38=""),"",IF(AND($F38&gt;=S$7,$F38&lt;EDATE(S$7,1)),"▼",""))</f>
        <v/>
      </c>
    </row>
    <row r="39" customFormat="false" ht="19.5" hidden="false" customHeight="true" outlineLevel="0" collapsed="false">
      <c r="A39" s="48" t="str">
        <f aca="false">IF($B39="","","Livros")</f>
        <v/>
      </c>
      <c r="B39" s="13" t="str">
        <f aca="false">IF(Livros!B14="","",Livros!B14)</f>
        <v/>
      </c>
      <c r="C39" s="73" t="str">
        <f aca="false">IF($B39="","",IF(Livros!N14="","",Livros!N14))</f>
        <v/>
      </c>
      <c r="D39" s="50" t="str">
        <f aca="false">IF($B39="","",IF(Livros!I14="","",Livros!I14))</f>
        <v/>
      </c>
      <c r="E39" s="50" t="str">
        <f aca="false">IF($B39="","",IF(Livros!J14="","",Livros!J14))</f>
        <v/>
      </c>
      <c r="F39" s="50" t="str">
        <f aca="false">""</f>
        <v/>
      </c>
      <c r="G39" s="36" t="str">
        <f aca="false">IF($B39="","",Livros!M14)</f>
        <v/>
      </c>
      <c r="H39" s="74" t="str">
        <f aca="false">IF(OR($B39="",$F39=""),"",IF(AND($F39&gt;=H$7,$F39&lt;EDATE(H$7,1)),"▼",""))</f>
        <v/>
      </c>
      <c r="I39" s="74" t="str">
        <f aca="false">IF(OR($B39="",$F39=""),"",IF(AND($F39&gt;=I$7,$F39&lt;EDATE(I$7,1)),"▼",""))</f>
        <v/>
      </c>
      <c r="J39" s="74" t="str">
        <f aca="false">IF(OR($B39="",$F39=""),"",IF(AND($F39&gt;=J$7,$F39&lt;EDATE(J$7,1)),"▼",""))</f>
        <v/>
      </c>
      <c r="K39" s="74" t="str">
        <f aca="false">IF(OR($B39="",$F39=""),"",IF(AND($F39&gt;=K$7,$F39&lt;EDATE(K$7,1)),"▼",""))</f>
        <v/>
      </c>
      <c r="L39" s="74" t="str">
        <f aca="false">IF(OR($B39="",$F39=""),"",IF(AND($F39&gt;=L$7,$F39&lt;EDATE(L$7,1)),"▼",""))</f>
        <v/>
      </c>
      <c r="M39" s="74" t="str">
        <f aca="false">IF(OR($B39="",$F39=""),"",IF(AND($F39&gt;=M$7,$F39&lt;EDATE(M$7,1)),"▼",""))</f>
        <v/>
      </c>
      <c r="N39" s="74" t="str">
        <f aca="false">IF(OR($B39="",$F39=""),"",IF(AND($F39&gt;=N$7,$F39&lt;EDATE(N$7,1)),"▼",""))</f>
        <v/>
      </c>
      <c r="O39" s="74" t="str">
        <f aca="false">IF(OR($B39="",$F39=""),"",IF(AND($F39&gt;=O$7,$F39&lt;EDATE(O$7,1)),"▼",""))</f>
        <v/>
      </c>
      <c r="P39" s="74" t="str">
        <f aca="false">IF(OR($B39="",$F39=""),"",IF(AND($F39&gt;=P$7,$F39&lt;EDATE(P$7,1)),"▼",""))</f>
        <v/>
      </c>
      <c r="Q39" s="74" t="str">
        <f aca="false">IF(OR($B39="",$F39=""),"",IF(AND($F39&gt;=Q$7,$F39&lt;EDATE(Q$7,1)),"▼",""))</f>
        <v/>
      </c>
      <c r="R39" s="74" t="str">
        <f aca="false">IF(OR($B39="",$F39=""),"",IF(AND($F39&gt;=R$7,$F39&lt;EDATE(R$7,1)),"▼",""))</f>
        <v/>
      </c>
      <c r="S39" s="74" t="str">
        <f aca="false">IF(OR($B39="",$F39=""),"",IF(AND($F39&gt;=S$7,$F39&lt;EDATE(S$7,1)),"▼",""))</f>
        <v/>
      </c>
    </row>
    <row r="40" customFormat="false" ht="19.5" hidden="false" customHeight="true" outlineLevel="0" collapsed="false">
      <c r="A40" s="48" t="str">
        <f aca="false">IF($B40="","","Livros")</f>
        <v/>
      </c>
      <c r="B40" s="13" t="str">
        <f aca="false">IF(Livros!B15="","",Livros!B15)</f>
        <v/>
      </c>
      <c r="C40" s="73" t="str">
        <f aca="false">IF($B40="","",IF(Livros!N15="","",Livros!N15))</f>
        <v/>
      </c>
      <c r="D40" s="50" t="str">
        <f aca="false">IF($B40="","",IF(Livros!I15="","",Livros!I15))</f>
        <v/>
      </c>
      <c r="E40" s="50" t="str">
        <f aca="false">IF($B40="","",IF(Livros!J15="","",Livros!J15))</f>
        <v/>
      </c>
      <c r="F40" s="50" t="str">
        <f aca="false">""</f>
        <v/>
      </c>
      <c r="G40" s="36" t="str">
        <f aca="false">IF($B40="","",Livros!M15)</f>
        <v/>
      </c>
      <c r="H40" s="74" t="str">
        <f aca="false">IF(OR($B40="",$F40=""),"",IF(AND($F40&gt;=H$7,$F40&lt;EDATE(H$7,1)),"▼",""))</f>
        <v/>
      </c>
      <c r="I40" s="74" t="str">
        <f aca="false">IF(OR($B40="",$F40=""),"",IF(AND($F40&gt;=I$7,$F40&lt;EDATE(I$7,1)),"▼",""))</f>
        <v/>
      </c>
      <c r="J40" s="74" t="str">
        <f aca="false">IF(OR($B40="",$F40=""),"",IF(AND($F40&gt;=J$7,$F40&lt;EDATE(J$7,1)),"▼",""))</f>
        <v/>
      </c>
      <c r="K40" s="74" t="str">
        <f aca="false">IF(OR($B40="",$F40=""),"",IF(AND($F40&gt;=K$7,$F40&lt;EDATE(K$7,1)),"▼",""))</f>
        <v/>
      </c>
      <c r="L40" s="74" t="str">
        <f aca="false">IF(OR($B40="",$F40=""),"",IF(AND($F40&gt;=L$7,$F40&lt;EDATE(L$7,1)),"▼",""))</f>
        <v/>
      </c>
      <c r="M40" s="74" t="str">
        <f aca="false">IF(OR($B40="",$F40=""),"",IF(AND($F40&gt;=M$7,$F40&lt;EDATE(M$7,1)),"▼",""))</f>
        <v/>
      </c>
      <c r="N40" s="74" t="str">
        <f aca="false">IF(OR($B40="",$F40=""),"",IF(AND($F40&gt;=N$7,$F40&lt;EDATE(N$7,1)),"▼",""))</f>
        <v/>
      </c>
      <c r="O40" s="74" t="str">
        <f aca="false">IF(OR($B40="",$F40=""),"",IF(AND($F40&gt;=O$7,$F40&lt;EDATE(O$7,1)),"▼",""))</f>
        <v/>
      </c>
      <c r="P40" s="74" t="str">
        <f aca="false">IF(OR($B40="",$F40=""),"",IF(AND($F40&gt;=P$7,$F40&lt;EDATE(P$7,1)),"▼",""))</f>
        <v/>
      </c>
      <c r="Q40" s="74" t="str">
        <f aca="false">IF(OR($B40="",$F40=""),"",IF(AND($F40&gt;=Q$7,$F40&lt;EDATE(Q$7,1)),"▼",""))</f>
        <v/>
      </c>
      <c r="R40" s="74" t="str">
        <f aca="false">IF(OR($B40="",$F40=""),"",IF(AND($F40&gt;=R$7,$F40&lt;EDATE(R$7,1)),"▼",""))</f>
        <v/>
      </c>
      <c r="S40" s="74" t="str">
        <f aca="false">IF(OR($B40="",$F40=""),"",IF(AND($F40&gt;=S$7,$F40&lt;EDATE(S$7,1)),"▼",""))</f>
        <v/>
      </c>
    </row>
    <row r="41" customFormat="false" ht="19.5" hidden="false" customHeight="true" outlineLevel="0" collapsed="false">
      <c r="A41" s="48" t="str">
        <f aca="false">IF($B41="","","Livros")</f>
        <v/>
      </c>
      <c r="B41" s="13" t="str">
        <f aca="false">IF(Livros!B16="","",Livros!B16)</f>
        <v/>
      </c>
      <c r="C41" s="73" t="str">
        <f aca="false">IF($B41="","",IF(Livros!N16="","",Livros!N16))</f>
        <v/>
      </c>
      <c r="D41" s="50" t="str">
        <f aca="false">IF($B41="","",IF(Livros!I16="","",Livros!I16))</f>
        <v/>
      </c>
      <c r="E41" s="50" t="str">
        <f aca="false">IF($B41="","",IF(Livros!J16="","",Livros!J16))</f>
        <v/>
      </c>
      <c r="F41" s="50" t="str">
        <f aca="false">""</f>
        <v/>
      </c>
      <c r="G41" s="36" t="str">
        <f aca="false">IF($B41="","",Livros!M16)</f>
        <v/>
      </c>
      <c r="H41" s="74" t="str">
        <f aca="false">IF(OR($B41="",$F41=""),"",IF(AND($F41&gt;=H$7,$F41&lt;EDATE(H$7,1)),"▼",""))</f>
        <v/>
      </c>
      <c r="I41" s="74" t="str">
        <f aca="false">IF(OR($B41="",$F41=""),"",IF(AND($F41&gt;=I$7,$F41&lt;EDATE(I$7,1)),"▼",""))</f>
        <v/>
      </c>
      <c r="J41" s="74" t="str">
        <f aca="false">IF(OR($B41="",$F41=""),"",IF(AND($F41&gt;=J$7,$F41&lt;EDATE(J$7,1)),"▼",""))</f>
        <v/>
      </c>
      <c r="K41" s="74" t="str">
        <f aca="false">IF(OR($B41="",$F41=""),"",IF(AND($F41&gt;=K$7,$F41&lt;EDATE(K$7,1)),"▼",""))</f>
        <v/>
      </c>
      <c r="L41" s="74" t="str">
        <f aca="false">IF(OR($B41="",$F41=""),"",IF(AND($F41&gt;=L$7,$F41&lt;EDATE(L$7,1)),"▼",""))</f>
        <v/>
      </c>
      <c r="M41" s="74" t="str">
        <f aca="false">IF(OR($B41="",$F41=""),"",IF(AND($F41&gt;=M$7,$F41&lt;EDATE(M$7,1)),"▼",""))</f>
        <v/>
      </c>
      <c r="N41" s="74" t="str">
        <f aca="false">IF(OR($B41="",$F41=""),"",IF(AND($F41&gt;=N$7,$F41&lt;EDATE(N$7,1)),"▼",""))</f>
        <v/>
      </c>
      <c r="O41" s="74" t="str">
        <f aca="false">IF(OR($B41="",$F41=""),"",IF(AND($F41&gt;=O$7,$F41&lt;EDATE(O$7,1)),"▼",""))</f>
        <v/>
      </c>
      <c r="P41" s="74" t="str">
        <f aca="false">IF(OR($B41="",$F41=""),"",IF(AND($F41&gt;=P$7,$F41&lt;EDATE(P$7,1)),"▼",""))</f>
        <v/>
      </c>
      <c r="Q41" s="74" t="str">
        <f aca="false">IF(OR($B41="",$F41=""),"",IF(AND($F41&gt;=Q$7,$F41&lt;EDATE(Q$7,1)),"▼",""))</f>
        <v/>
      </c>
      <c r="R41" s="74" t="str">
        <f aca="false">IF(OR($B41="",$F41=""),"",IF(AND($F41&gt;=R$7,$F41&lt;EDATE(R$7,1)),"▼",""))</f>
        <v/>
      </c>
      <c r="S41" s="74" t="str">
        <f aca="false">IF(OR($B41="",$F41=""),"",IF(AND($F41&gt;=S$7,$F41&lt;EDATE(S$7,1)),"▼",""))</f>
        <v/>
      </c>
    </row>
    <row r="42" customFormat="false" ht="19.5" hidden="false" customHeight="true" outlineLevel="0" collapsed="false">
      <c r="A42" s="48" t="str">
        <f aca="false">IF($B42="","","Livros")</f>
        <v/>
      </c>
      <c r="B42" s="13" t="str">
        <f aca="false">IF(Livros!B17="","",Livros!B17)</f>
        <v/>
      </c>
      <c r="C42" s="73" t="str">
        <f aca="false">IF($B42="","",IF(Livros!N17="","",Livros!N17))</f>
        <v/>
      </c>
      <c r="D42" s="50" t="str">
        <f aca="false">IF($B42="","",IF(Livros!I17="","",Livros!I17))</f>
        <v/>
      </c>
      <c r="E42" s="50" t="str">
        <f aca="false">IF($B42="","",IF(Livros!J17="","",Livros!J17))</f>
        <v/>
      </c>
      <c r="F42" s="50" t="str">
        <f aca="false">""</f>
        <v/>
      </c>
      <c r="G42" s="36" t="str">
        <f aca="false">IF($B42="","",Livros!M17)</f>
        <v/>
      </c>
      <c r="H42" s="74" t="str">
        <f aca="false">IF(OR($B42="",$F42=""),"",IF(AND($F42&gt;=H$7,$F42&lt;EDATE(H$7,1)),"▼",""))</f>
        <v/>
      </c>
      <c r="I42" s="74" t="str">
        <f aca="false">IF(OR($B42="",$F42=""),"",IF(AND($F42&gt;=I$7,$F42&lt;EDATE(I$7,1)),"▼",""))</f>
        <v/>
      </c>
      <c r="J42" s="74" t="str">
        <f aca="false">IF(OR($B42="",$F42=""),"",IF(AND($F42&gt;=J$7,$F42&lt;EDATE(J$7,1)),"▼",""))</f>
        <v/>
      </c>
      <c r="K42" s="74" t="str">
        <f aca="false">IF(OR($B42="",$F42=""),"",IF(AND($F42&gt;=K$7,$F42&lt;EDATE(K$7,1)),"▼",""))</f>
        <v/>
      </c>
      <c r="L42" s="74" t="str">
        <f aca="false">IF(OR($B42="",$F42=""),"",IF(AND($F42&gt;=L$7,$F42&lt;EDATE(L$7,1)),"▼",""))</f>
        <v/>
      </c>
      <c r="M42" s="74" t="str">
        <f aca="false">IF(OR($B42="",$F42=""),"",IF(AND($F42&gt;=M$7,$F42&lt;EDATE(M$7,1)),"▼",""))</f>
        <v/>
      </c>
      <c r="N42" s="74" t="str">
        <f aca="false">IF(OR($B42="",$F42=""),"",IF(AND($F42&gt;=N$7,$F42&lt;EDATE(N$7,1)),"▼",""))</f>
        <v/>
      </c>
      <c r="O42" s="74" t="str">
        <f aca="false">IF(OR($B42="",$F42=""),"",IF(AND($F42&gt;=O$7,$F42&lt;EDATE(O$7,1)),"▼",""))</f>
        <v/>
      </c>
      <c r="P42" s="74" t="str">
        <f aca="false">IF(OR($B42="",$F42=""),"",IF(AND($F42&gt;=P$7,$F42&lt;EDATE(P$7,1)),"▼",""))</f>
        <v/>
      </c>
      <c r="Q42" s="74" t="str">
        <f aca="false">IF(OR($B42="",$F42=""),"",IF(AND($F42&gt;=Q$7,$F42&lt;EDATE(Q$7,1)),"▼",""))</f>
        <v/>
      </c>
      <c r="R42" s="74" t="str">
        <f aca="false">IF(OR($B42="",$F42=""),"",IF(AND($F42&gt;=R$7,$F42&lt;EDATE(R$7,1)),"▼",""))</f>
        <v/>
      </c>
      <c r="S42" s="74" t="str">
        <f aca="false">IF(OR($B42="",$F42=""),"",IF(AND($F42&gt;=S$7,$F42&lt;EDATE(S$7,1)),"▼",""))</f>
        <v/>
      </c>
    </row>
    <row r="43" customFormat="false" ht="19.5" hidden="false" customHeight="true" outlineLevel="0" collapsed="false">
      <c r="A43" s="48" t="str">
        <f aca="false">IF($B43="","","Livros")</f>
        <v/>
      </c>
      <c r="B43" s="13" t="str">
        <f aca="false">IF(Livros!B18="","",Livros!B18)</f>
        <v/>
      </c>
      <c r="C43" s="73" t="str">
        <f aca="false">IF($B43="","",IF(Livros!N18="","",Livros!N18))</f>
        <v/>
      </c>
      <c r="D43" s="50" t="str">
        <f aca="false">IF($B43="","",IF(Livros!I18="","",Livros!I18))</f>
        <v/>
      </c>
      <c r="E43" s="50" t="str">
        <f aca="false">IF($B43="","",IF(Livros!J18="","",Livros!J18))</f>
        <v/>
      </c>
      <c r="F43" s="50" t="str">
        <f aca="false">""</f>
        <v/>
      </c>
      <c r="G43" s="36" t="str">
        <f aca="false">IF($B43="","",Livros!M18)</f>
        <v/>
      </c>
      <c r="H43" s="74" t="str">
        <f aca="false">IF(OR($B43="",$F43=""),"",IF(AND($F43&gt;=H$7,$F43&lt;EDATE(H$7,1)),"▼",""))</f>
        <v/>
      </c>
      <c r="I43" s="74" t="str">
        <f aca="false">IF(OR($B43="",$F43=""),"",IF(AND($F43&gt;=I$7,$F43&lt;EDATE(I$7,1)),"▼",""))</f>
        <v/>
      </c>
      <c r="J43" s="74" t="str">
        <f aca="false">IF(OR($B43="",$F43=""),"",IF(AND($F43&gt;=J$7,$F43&lt;EDATE(J$7,1)),"▼",""))</f>
        <v/>
      </c>
      <c r="K43" s="74" t="str">
        <f aca="false">IF(OR($B43="",$F43=""),"",IF(AND($F43&gt;=K$7,$F43&lt;EDATE(K$7,1)),"▼",""))</f>
        <v/>
      </c>
      <c r="L43" s="74" t="str">
        <f aca="false">IF(OR($B43="",$F43=""),"",IF(AND($F43&gt;=L$7,$F43&lt;EDATE(L$7,1)),"▼",""))</f>
        <v/>
      </c>
      <c r="M43" s="74" t="str">
        <f aca="false">IF(OR($B43="",$F43=""),"",IF(AND($F43&gt;=M$7,$F43&lt;EDATE(M$7,1)),"▼",""))</f>
        <v/>
      </c>
      <c r="N43" s="74" t="str">
        <f aca="false">IF(OR($B43="",$F43=""),"",IF(AND($F43&gt;=N$7,$F43&lt;EDATE(N$7,1)),"▼",""))</f>
        <v/>
      </c>
      <c r="O43" s="74" t="str">
        <f aca="false">IF(OR($B43="",$F43=""),"",IF(AND($F43&gt;=O$7,$F43&lt;EDATE(O$7,1)),"▼",""))</f>
        <v/>
      </c>
      <c r="P43" s="74" t="str">
        <f aca="false">IF(OR($B43="",$F43=""),"",IF(AND($F43&gt;=P$7,$F43&lt;EDATE(P$7,1)),"▼",""))</f>
        <v/>
      </c>
      <c r="Q43" s="74" t="str">
        <f aca="false">IF(OR($B43="",$F43=""),"",IF(AND($F43&gt;=Q$7,$F43&lt;EDATE(Q$7,1)),"▼",""))</f>
        <v/>
      </c>
      <c r="R43" s="74" t="str">
        <f aca="false">IF(OR($B43="",$F43=""),"",IF(AND($F43&gt;=R$7,$F43&lt;EDATE(R$7,1)),"▼",""))</f>
        <v/>
      </c>
      <c r="S43" s="74" t="str">
        <f aca="false">IF(OR($B43="",$F43=""),"",IF(AND($F43&gt;=S$7,$F43&lt;EDATE(S$7,1)),"▼",""))</f>
        <v/>
      </c>
    </row>
    <row r="44" customFormat="false" ht="19.5" hidden="false" customHeight="true" outlineLevel="0" collapsed="false">
      <c r="A44" s="48" t="str">
        <f aca="false">IF($B44="","","Livros")</f>
        <v/>
      </c>
      <c r="B44" s="13" t="str">
        <f aca="false">IF(Livros!B19="","",Livros!B19)</f>
        <v/>
      </c>
      <c r="C44" s="73" t="str">
        <f aca="false">IF($B44="","",IF(Livros!N19="","",Livros!N19))</f>
        <v/>
      </c>
      <c r="D44" s="50" t="str">
        <f aca="false">IF($B44="","",IF(Livros!I19="","",Livros!I19))</f>
        <v/>
      </c>
      <c r="E44" s="50" t="str">
        <f aca="false">IF($B44="","",IF(Livros!J19="","",Livros!J19))</f>
        <v/>
      </c>
      <c r="F44" s="50" t="str">
        <f aca="false">""</f>
        <v/>
      </c>
      <c r="G44" s="36" t="str">
        <f aca="false">IF($B44="","",Livros!M19)</f>
        <v/>
      </c>
      <c r="H44" s="74" t="str">
        <f aca="false">IF(OR($B44="",$F44=""),"",IF(AND($F44&gt;=H$7,$F44&lt;EDATE(H$7,1)),"▼",""))</f>
        <v/>
      </c>
      <c r="I44" s="74" t="str">
        <f aca="false">IF(OR($B44="",$F44=""),"",IF(AND($F44&gt;=I$7,$F44&lt;EDATE(I$7,1)),"▼",""))</f>
        <v/>
      </c>
      <c r="J44" s="74" t="str">
        <f aca="false">IF(OR($B44="",$F44=""),"",IF(AND($F44&gt;=J$7,$F44&lt;EDATE(J$7,1)),"▼",""))</f>
        <v/>
      </c>
      <c r="K44" s="74" t="str">
        <f aca="false">IF(OR($B44="",$F44=""),"",IF(AND($F44&gt;=K$7,$F44&lt;EDATE(K$7,1)),"▼",""))</f>
        <v/>
      </c>
      <c r="L44" s="74" t="str">
        <f aca="false">IF(OR($B44="",$F44=""),"",IF(AND($F44&gt;=L$7,$F44&lt;EDATE(L$7,1)),"▼",""))</f>
        <v/>
      </c>
      <c r="M44" s="74" t="str">
        <f aca="false">IF(OR($B44="",$F44=""),"",IF(AND($F44&gt;=M$7,$F44&lt;EDATE(M$7,1)),"▼",""))</f>
        <v/>
      </c>
      <c r="N44" s="74" t="str">
        <f aca="false">IF(OR($B44="",$F44=""),"",IF(AND($F44&gt;=N$7,$F44&lt;EDATE(N$7,1)),"▼",""))</f>
        <v/>
      </c>
      <c r="O44" s="74" t="str">
        <f aca="false">IF(OR($B44="",$F44=""),"",IF(AND($F44&gt;=O$7,$F44&lt;EDATE(O$7,1)),"▼",""))</f>
        <v/>
      </c>
      <c r="P44" s="74" t="str">
        <f aca="false">IF(OR($B44="",$F44=""),"",IF(AND($F44&gt;=P$7,$F44&lt;EDATE(P$7,1)),"▼",""))</f>
        <v/>
      </c>
      <c r="Q44" s="74" t="str">
        <f aca="false">IF(OR($B44="",$F44=""),"",IF(AND($F44&gt;=Q$7,$F44&lt;EDATE(Q$7,1)),"▼",""))</f>
        <v/>
      </c>
      <c r="R44" s="74" t="str">
        <f aca="false">IF(OR($B44="",$F44=""),"",IF(AND($F44&gt;=R$7,$F44&lt;EDATE(R$7,1)),"▼",""))</f>
        <v/>
      </c>
      <c r="S44" s="74" t="str">
        <f aca="false">IF(OR($B44="",$F44=""),"",IF(AND($F44&gt;=S$7,$F44&lt;EDATE(S$7,1)),"▼",""))</f>
        <v/>
      </c>
    </row>
    <row r="45" customFormat="false" ht="19.5" hidden="false" customHeight="true" outlineLevel="0" collapsed="false">
      <c r="A45" s="48" t="str">
        <f aca="false">IF($B45="","","Livros")</f>
        <v/>
      </c>
      <c r="B45" s="13" t="str">
        <f aca="false">IF(Livros!B20="","",Livros!B20)</f>
        <v/>
      </c>
      <c r="C45" s="73" t="str">
        <f aca="false">IF($B45="","",IF(Livros!N20="","",Livros!N20))</f>
        <v/>
      </c>
      <c r="D45" s="50" t="str">
        <f aca="false">IF($B45="","",IF(Livros!I20="","",Livros!I20))</f>
        <v/>
      </c>
      <c r="E45" s="50" t="str">
        <f aca="false">IF($B45="","",IF(Livros!J20="","",Livros!J20))</f>
        <v/>
      </c>
      <c r="F45" s="50" t="str">
        <f aca="false">""</f>
        <v/>
      </c>
      <c r="G45" s="36" t="str">
        <f aca="false">IF($B45="","",Livros!M20)</f>
        <v/>
      </c>
      <c r="H45" s="74" t="str">
        <f aca="false">IF(OR($B45="",$F45=""),"",IF(AND($F45&gt;=H$7,$F45&lt;EDATE(H$7,1)),"▼",""))</f>
        <v/>
      </c>
      <c r="I45" s="74" t="str">
        <f aca="false">IF(OR($B45="",$F45=""),"",IF(AND($F45&gt;=I$7,$F45&lt;EDATE(I$7,1)),"▼",""))</f>
        <v/>
      </c>
      <c r="J45" s="74" t="str">
        <f aca="false">IF(OR($B45="",$F45=""),"",IF(AND($F45&gt;=J$7,$F45&lt;EDATE(J$7,1)),"▼",""))</f>
        <v/>
      </c>
      <c r="K45" s="74" t="str">
        <f aca="false">IF(OR($B45="",$F45=""),"",IF(AND($F45&gt;=K$7,$F45&lt;EDATE(K$7,1)),"▼",""))</f>
        <v/>
      </c>
      <c r="L45" s="74" t="str">
        <f aca="false">IF(OR($B45="",$F45=""),"",IF(AND($F45&gt;=L$7,$F45&lt;EDATE(L$7,1)),"▼",""))</f>
        <v/>
      </c>
      <c r="M45" s="74" t="str">
        <f aca="false">IF(OR($B45="",$F45=""),"",IF(AND($F45&gt;=M$7,$F45&lt;EDATE(M$7,1)),"▼",""))</f>
        <v/>
      </c>
      <c r="N45" s="74" t="str">
        <f aca="false">IF(OR($B45="",$F45=""),"",IF(AND($F45&gt;=N$7,$F45&lt;EDATE(N$7,1)),"▼",""))</f>
        <v/>
      </c>
      <c r="O45" s="74" t="str">
        <f aca="false">IF(OR($B45="",$F45=""),"",IF(AND($F45&gt;=O$7,$F45&lt;EDATE(O$7,1)),"▼",""))</f>
        <v/>
      </c>
      <c r="P45" s="74" t="str">
        <f aca="false">IF(OR($B45="",$F45=""),"",IF(AND($F45&gt;=P$7,$F45&lt;EDATE(P$7,1)),"▼",""))</f>
        <v/>
      </c>
      <c r="Q45" s="74" t="str">
        <f aca="false">IF(OR($B45="",$F45=""),"",IF(AND($F45&gt;=Q$7,$F45&lt;EDATE(Q$7,1)),"▼",""))</f>
        <v/>
      </c>
      <c r="R45" s="74" t="str">
        <f aca="false">IF(OR($B45="",$F45=""),"",IF(AND($F45&gt;=R$7,$F45&lt;EDATE(R$7,1)),"▼",""))</f>
        <v/>
      </c>
      <c r="S45" s="74" t="str">
        <f aca="false">IF(OR($B45="",$F45=""),"",IF(AND($F45&gt;=S$7,$F45&lt;EDATE(S$7,1)),"▼",""))</f>
        <v/>
      </c>
    </row>
    <row r="46" customFormat="false" ht="19.5" hidden="false" customHeight="true" outlineLevel="0" collapsed="false">
      <c r="A46" s="48" t="str">
        <f aca="false">IF($B46="","","Livros")</f>
        <v/>
      </c>
      <c r="B46" s="13" t="str">
        <f aca="false">IF(Livros!B21="","",Livros!B21)</f>
        <v/>
      </c>
      <c r="C46" s="73" t="str">
        <f aca="false">IF($B46="","",IF(Livros!N21="","",Livros!N21))</f>
        <v/>
      </c>
      <c r="D46" s="50" t="str">
        <f aca="false">IF($B46="","",IF(Livros!I21="","",Livros!I21))</f>
        <v/>
      </c>
      <c r="E46" s="50" t="str">
        <f aca="false">IF($B46="","",IF(Livros!J21="","",Livros!J21))</f>
        <v/>
      </c>
      <c r="F46" s="50" t="str">
        <f aca="false">""</f>
        <v/>
      </c>
      <c r="G46" s="36" t="str">
        <f aca="false">IF($B46="","",Livros!M21)</f>
        <v/>
      </c>
      <c r="H46" s="74" t="str">
        <f aca="false">IF(OR($B46="",$F46=""),"",IF(AND($F46&gt;=H$7,$F46&lt;EDATE(H$7,1)),"▼",""))</f>
        <v/>
      </c>
      <c r="I46" s="74" t="str">
        <f aca="false">IF(OR($B46="",$F46=""),"",IF(AND($F46&gt;=I$7,$F46&lt;EDATE(I$7,1)),"▼",""))</f>
        <v/>
      </c>
      <c r="J46" s="74" t="str">
        <f aca="false">IF(OR($B46="",$F46=""),"",IF(AND($F46&gt;=J$7,$F46&lt;EDATE(J$7,1)),"▼",""))</f>
        <v/>
      </c>
      <c r="K46" s="74" t="str">
        <f aca="false">IF(OR($B46="",$F46=""),"",IF(AND($F46&gt;=K$7,$F46&lt;EDATE(K$7,1)),"▼",""))</f>
        <v/>
      </c>
      <c r="L46" s="74" t="str">
        <f aca="false">IF(OR($B46="",$F46=""),"",IF(AND($F46&gt;=L$7,$F46&lt;EDATE(L$7,1)),"▼",""))</f>
        <v/>
      </c>
      <c r="M46" s="74" t="str">
        <f aca="false">IF(OR($B46="",$F46=""),"",IF(AND($F46&gt;=M$7,$F46&lt;EDATE(M$7,1)),"▼",""))</f>
        <v/>
      </c>
      <c r="N46" s="74" t="str">
        <f aca="false">IF(OR($B46="",$F46=""),"",IF(AND($F46&gt;=N$7,$F46&lt;EDATE(N$7,1)),"▼",""))</f>
        <v/>
      </c>
      <c r="O46" s="74" t="str">
        <f aca="false">IF(OR($B46="",$F46=""),"",IF(AND($F46&gt;=O$7,$F46&lt;EDATE(O$7,1)),"▼",""))</f>
        <v/>
      </c>
      <c r="P46" s="74" t="str">
        <f aca="false">IF(OR($B46="",$F46=""),"",IF(AND($F46&gt;=P$7,$F46&lt;EDATE(P$7,1)),"▼",""))</f>
        <v/>
      </c>
      <c r="Q46" s="74" t="str">
        <f aca="false">IF(OR($B46="",$F46=""),"",IF(AND($F46&gt;=Q$7,$F46&lt;EDATE(Q$7,1)),"▼",""))</f>
        <v/>
      </c>
      <c r="R46" s="74" t="str">
        <f aca="false">IF(OR($B46="",$F46=""),"",IF(AND($F46&gt;=R$7,$F46&lt;EDATE(R$7,1)),"▼",""))</f>
        <v/>
      </c>
      <c r="S46" s="74" t="str">
        <f aca="false">IF(OR($B46="",$F46=""),"",IF(AND($F46&gt;=S$7,$F46&lt;EDATE(S$7,1)),"▼",""))</f>
        <v/>
      </c>
    </row>
    <row r="47" customFormat="false" ht="19.5" hidden="false" customHeight="true" outlineLevel="0" collapsed="false">
      <c r="A47" s="72" t="s">
        <v>101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</row>
    <row r="48" customFormat="false" ht="19.5" hidden="false" customHeight="true" outlineLevel="0" collapsed="false">
      <c r="A48" s="48" t="str">
        <f aca="false">IF($B48="","","Cursos IA")</f>
        <v>Cursos IA</v>
      </c>
      <c r="B48" s="13" t="str">
        <f aca="false">IF('Cursos IA'!B10="","",'Cursos IA'!B10)</f>
        <v>Agentes de IA na Prática (exemplo)</v>
      </c>
      <c r="C48" s="73" t="str">
        <f aca="false">IF($B48="","",IF('Cursos IA'!O10="","",'Cursos IA'!O10))</f>
        <v>Em andamento</v>
      </c>
      <c r="D48" s="50" t="n">
        <f aca="false">IF($B48="","",IF('Cursos IA'!G10="","",'Cursos IA'!G10))</f>
        <v>46285</v>
      </c>
      <c r="E48" s="50" t="n">
        <f aca="false">IF($B48="","",IF('Cursos IA'!H10&lt;&gt;"",'Cursos IA'!H10,IF('Cursos IA'!I10&lt;&gt;"",'Cursos IA'!I10,"")))</f>
        <v>46376</v>
      </c>
      <c r="F48" s="50" t="n">
        <f aca="false">IF($B48="","",IF('Cursos IA'!I10="","",'Cursos IA'!I10))</f>
        <v>46642</v>
      </c>
      <c r="G48" s="36" t="n">
        <f aca="false">IF($B48="","",'Cursos IA'!N10)</f>
        <v>0.3</v>
      </c>
      <c r="H48" s="74" t="str">
        <f aca="false">IF(OR($B48="",$F48=""),"",IF(AND($F48&gt;=H$7,$F48&lt;EDATE(H$7,1)),"▼",""))</f>
        <v/>
      </c>
      <c r="I48" s="74" t="str">
        <f aca="false">IF(OR($B48="",$F48=""),"",IF(AND($F48&gt;=I$7,$F48&lt;EDATE(I$7,1)),"▼",""))</f>
        <v/>
      </c>
      <c r="J48" s="74" t="str">
        <f aca="false">IF(OR($B48="",$F48=""),"",IF(AND($F48&gt;=J$7,$F48&lt;EDATE(J$7,1)),"▼",""))</f>
        <v/>
      </c>
      <c r="K48" s="74" t="str">
        <f aca="false">IF(OR($B48="",$F48=""),"",IF(AND($F48&gt;=K$7,$F48&lt;EDATE(K$7,1)),"▼",""))</f>
        <v/>
      </c>
      <c r="L48" s="74" t="str">
        <f aca="false">IF(OR($B48="",$F48=""),"",IF(AND($F48&gt;=L$7,$F48&lt;EDATE(L$7,1)),"▼",""))</f>
        <v/>
      </c>
      <c r="M48" s="74" t="str">
        <f aca="false">IF(OR($B48="",$F48=""),"",IF(AND($F48&gt;=M$7,$F48&lt;EDATE(M$7,1)),"▼",""))</f>
        <v/>
      </c>
      <c r="N48" s="74" t="str">
        <f aca="false">IF(OR($B48="",$F48=""),"",IF(AND($F48&gt;=N$7,$F48&lt;EDATE(N$7,1)),"▼",""))</f>
        <v/>
      </c>
      <c r="O48" s="74" t="str">
        <f aca="false">IF(OR($B48="",$F48=""),"",IF(AND($F48&gt;=O$7,$F48&lt;EDATE(O$7,1)),"▼",""))</f>
        <v/>
      </c>
      <c r="P48" s="74" t="str">
        <f aca="false">IF(OR($B48="",$F48=""),"",IF(AND($F48&gt;=P$7,$F48&lt;EDATE(P$7,1)),"▼",""))</f>
        <v/>
      </c>
      <c r="Q48" s="74" t="str">
        <f aca="false">IF(OR($B48="",$F48=""),"",IF(AND($F48&gt;=Q$7,$F48&lt;EDATE(Q$7,1)),"▼",""))</f>
        <v/>
      </c>
      <c r="R48" s="74" t="str">
        <f aca="false">IF(OR($B48="",$F48=""),"",IF(AND($F48&gt;=R$7,$F48&lt;EDATE(R$7,1)),"▼",""))</f>
        <v/>
      </c>
      <c r="S48" s="74" t="str">
        <f aca="false">IF(OR($B48="",$F48=""),"",IF(AND($F48&gt;=S$7,$F48&lt;EDATE(S$7,1)),"▼",""))</f>
        <v>▼</v>
      </c>
    </row>
    <row r="49" customFormat="false" ht="19.5" hidden="false" customHeight="true" outlineLevel="0" collapsed="false">
      <c r="A49" s="48" t="str">
        <f aca="false">IF($B49="","","Cursos IA")</f>
        <v/>
      </c>
      <c r="B49" s="13" t="str">
        <f aca="false">IF('Cursos IA'!B11="","",'Cursos IA'!B11)</f>
        <v/>
      </c>
      <c r="C49" s="73" t="str">
        <f aca="false">IF($B49="","",IF('Cursos IA'!O11="","",'Cursos IA'!O11))</f>
        <v/>
      </c>
      <c r="D49" s="50" t="str">
        <f aca="false">IF($B49="","",IF('Cursos IA'!G11="","",'Cursos IA'!G11))</f>
        <v/>
      </c>
      <c r="E49" s="50" t="str">
        <f aca="false">IF($B49="","",IF('Cursos IA'!H11&lt;&gt;"",'Cursos IA'!H11,IF('Cursos IA'!I11&lt;&gt;"",'Cursos IA'!I11,"")))</f>
        <v/>
      </c>
      <c r="F49" s="50" t="str">
        <f aca="false">IF($B49="","",IF('Cursos IA'!I11="","",'Cursos IA'!I11))</f>
        <v/>
      </c>
      <c r="G49" s="36" t="str">
        <f aca="false">IF($B49="","",'Cursos IA'!N11)</f>
        <v/>
      </c>
      <c r="H49" s="74" t="str">
        <f aca="false">IF(OR($B49="",$F49=""),"",IF(AND($F49&gt;=H$7,$F49&lt;EDATE(H$7,1)),"▼",""))</f>
        <v/>
      </c>
      <c r="I49" s="74" t="str">
        <f aca="false">IF(OR($B49="",$F49=""),"",IF(AND($F49&gt;=I$7,$F49&lt;EDATE(I$7,1)),"▼",""))</f>
        <v/>
      </c>
      <c r="J49" s="74" t="str">
        <f aca="false">IF(OR($B49="",$F49=""),"",IF(AND($F49&gt;=J$7,$F49&lt;EDATE(J$7,1)),"▼",""))</f>
        <v/>
      </c>
      <c r="K49" s="74" t="str">
        <f aca="false">IF(OR($B49="",$F49=""),"",IF(AND($F49&gt;=K$7,$F49&lt;EDATE(K$7,1)),"▼",""))</f>
        <v/>
      </c>
      <c r="L49" s="74" t="str">
        <f aca="false">IF(OR($B49="",$F49=""),"",IF(AND($F49&gt;=L$7,$F49&lt;EDATE(L$7,1)),"▼",""))</f>
        <v/>
      </c>
      <c r="M49" s="74" t="str">
        <f aca="false">IF(OR($B49="",$F49=""),"",IF(AND($F49&gt;=M$7,$F49&lt;EDATE(M$7,1)),"▼",""))</f>
        <v/>
      </c>
      <c r="N49" s="74" t="str">
        <f aca="false">IF(OR($B49="",$F49=""),"",IF(AND($F49&gt;=N$7,$F49&lt;EDATE(N$7,1)),"▼",""))</f>
        <v/>
      </c>
      <c r="O49" s="74" t="str">
        <f aca="false">IF(OR($B49="",$F49=""),"",IF(AND($F49&gt;=O$7,$F49&lt;EDATE(O$7,1)),"▼",""))</f>
        <v/>
      </c>
      <c r="P49" s="74" t="str">
        <f aca="false">IF(OR($B49="",$F49=""),"",IF(AND($F49&gt;=P$7,$F49&lt;EDATE(P$7,1)),"▼",""))</f>
        <v/>
      </c>
      <c r="Q49" s="74" t="str">
        <f aca="false">IF(OR($B49="",$F49=""),"",IF(AND($F49&gt;=Q$7,$F49&lt;EDATE(Q$7,1)),"▼",""))</f>
        <v/>
      </c>
      <c r="R49" s="74" t="str">
        <f aca="false">IF(OR($B49="",$F49=""),"",IF(AND($F49&gt;=R$7,$F49&lt;EDATE(R$7,1)),"▼",""))</f>
        <v/>
      </c>
      <c r="S49" s="74" t="str">
        <f aca="false">IF(OR($B49="",$F49=""),"",IF(AND($F49&gt;=S$7,$F49&lt;EDATE(S$7,1)),"▼",""))</f>
        <v/>
      </c>
    </row>
    <row r="50" customFormat="false" ht="19.5" hidden="false" customHeight="true" outlineLevel="0" collapsed="false">
      <c r="A50" s="48" t="str">
        <f aca="false">IF($B50="","","Cursos IA")</f>
        <v/>
      </c>
      <c r="B50" s="13" t="str">
        <f aca="false">IF('Cursos IA'!B12="","",'Cursos IA'!B12)</f>
        <v/>
      </c>
      <c r="C50" s="73" t="str">
        <f aca="false">IF($B50="","",IF('Cursos IA'!O12="","",'Cursos IA'!O12))</f>
        <v/>
      </c>
      <c r="D50" s="50" t="str">
        <f aca="false">IF($B50="","",IF('Cursos IA'!G12="","",'Cursos IA'!G12))</f>
        <v/>
      </c>
      <c r="E50" s="50" t="str">
        <f aca="false">IF($B50="","",IF('Cursos IA'!H12&lt;&gt;"",'Cursos IA'!H12,IF('Cursos IA'!I12&lt;&gt;"",'Cursos IA'!I12,"")))</f>
        <v/>
      </c>
      <c r="F50" s="50" t="str">
        <f aca="false">IF($B50="","",IF('Cursos IA'!I12="","",'Cursos IA'!I12))</f>
        <v/>
      </c>
      <c r="G50" s="36" t="str">
        <f aca="false">IF($B50="","",'Cursos IA'!N12)</f>
        <v/>
      </c>
      <c r="H50" s="74" t="str">
        <f aca="false">IF(OR($B50="",$F50=""),"",IF(AND($F50&gt;=H$7,$F50&lt;EDATE(H$7,1)),"▼",""))</f>
        <v/>
      </c>
      <c r="I50" s="74" t="str">
        <f aca="false">IF(OR($B50="",$F50=""),"",IF(AND($F50&gt;=I$7,$F50&lt;EDATE(I$7,1)),"▼",""))</f>
        <v/>
      </c>
      <c r="J50" s="74" t="str">
        <f aca="false">IF(OR($B50="",$F50=""),"",IF(AND($F50&gt;=J$7,$F50&lt;EDATE(J$7,1)),"▼",""))</f>
        <v/>
      </c>
      <c r="K50" s="74" t="str">
        <f aca="false">IF(OR($B50="",$F50=""),"",IF(AND($F50&gt;=K$7,$F50&lt;EDATE(K$7,1)),"▼",""))</f>
        <v/>
      </c>
      <c r="L50" s="74" t="str">
        <f aca="false">IF(OR($B50="",$F50=""),"",IF(AND($F50&gt;=L$7,$F50&lt;EDATE(L$7,1)),"▼",""))</f>
        <v/>
      </c>
      <c r="M50" s="74" t="str">
        <f aca="false">IF(OR($B50="",$F50=""),"",IF(AND($F50&gt;=M$7,$F50&lt;EDATE(M$7,1)),"▼",""))</f>
        <v/>
      </c>
      <c r="N50" s="74" t="str">
        <f aca="false">IF(OR($B50="",$F50=""),"",IF(AND($F50&gt;=N$7,$F50&lt;EDATE(N$7,1)),"▼",""))</f>
        <v/>
      </c>
      <c r="O50" s="74" t="str">
        <f aca="false">IF(OR($B50="",$F50=""),"",IF(AND($F50&gt;=O$7,$F50&lt;EDATE(O$7,1)),"▼",""))</f>
        <v/>
      </c>
      <c r="P50" s="74" t="str">
        <f aca="false">IF(OR($B50="",$F50=""),"",IF(AND($F50&gt;=P$7,$F50&lt;EDATE(P$7,1)),"▼",""))</f>
        <v/>
      </c>
      <c r="Q50" s="74" t="str">
        <f aca="false">IF(OR($B50="",$F50=""),"",IF(AND($F50&gt;=Q$7,$F50&lt;EDATE(Q$7,1)),"▼",""))</f>
        <v/>
      </c>
      <c r="R50" s="74" t="str">
        <f aca="false">IF(OR($B50="",$F50=""),"",IF(AND($F50&gt;=R$7,$F50&lt;EDATE(R$7,1)),"▼",""))</f>
        <v/>
      </c>
      <c r="S50" s="74" t="str">
        <f aca="false">IF(OR($B50="",$F50=""),"",IF(AND($F50&gt;=S$7,$F50&lt;EDATE(S$7,1)),"▼",""))</f>
        <v/>
      </c>
    </row>
    <row r="51" customFormat="false" ht="19.5" hidden="false" customHeight="true" outlineLevel="0" collapsed="false">
      <c r="A51" s="48" t="str">
        <f aca="false">IF($B51="","","Cursos IA")</f>
        <v/>
      </c>
      <c r="B51" s="13" t="str">
        <f aca="false">IF('Cursos IA'!B13="","",'Cursos IA'!B13)</f>
        <v/>
      </c>
      <c r="C51" s="73" t="str">
        <f aca="false">IF($B51="","",IF('Cursos IA'!O13="","",'Cursos IA'!O13))</f>
        <v/>
      </c>
      <c r="D51" s="50" t="str">
        <f aca="false">IF($B51="","",IF('Cursos IA'!G13="","",'Cursos IA'!G13))</f>
        <v/>
      </c>
      <c r="E51" s="50" t="str">
        <f aca="false">IF($B51="","",IF('Cursos IA'!H13&lt;&gt;"",'Cursos IA'!H13,IF('Cursos IA'!I13&lt;&gt;"",'Cursos IA'!I13,"")))</f>
        <v/>
      </c>
      <c r="F51" s="50" t="str">
        <f aca="false">IF($B51="","",IF('Cursos IA'!I13="","",'Cursos IA'!I13))</f>
        <v/>
      </c>
      <c r="G51" s="36" t="str">
        <f aca="false">IF($B51="","",'Cursos IA'!N13)</f>
        <v/>
      </c>
      <c r="H51" s="74" t="str">
        <f aca="false">IF(OR($B51="",$F51=""),"",IF(AND($F51&gt;=H$7,$F51&lt;EDATE(H$7,1)),"▼",""))</f>
        <v/>
      </c>
      <c r="I51" s="74" t="str">
        <f aca="false">IF(OR($B51="",$F51=""),"",IF(AND($F51&gt;=I$7,$F51&lt;EDATE(I$7,1)),"▼",""))</f>
        <v/>
      </c>
      <c r="J51" s="74" t="str">
        <f aca="false">IF(OR($B51="",$F51=""),"",IF(AND($F51&gt;=J$7,$F51&lt;EDATE(J$7,1)),"▼",""))</f>
        <v/>
      </c>
      <c r="K51" s="74" t="str">
        <f aca="false">IF(OR($B51="",$F51=""),"",IF(AND($F51&gt;=K$7,$F51&lt;EDATE(K$7,1)),"▼",""))</f>
        <v/>
      </c>
      <c r="L51" s="74" t="str">
        <f aca="false">IF(OR($B51="",$F51=""),"",IF(AND($F51&gt;=L$7,$F51&lt;EDATE(L$7,1)),"▼",""))</f>
        <v/>
      </c>
      <c r="M51" s="74" t="str">
        <f aca="false">IF(OR($B51="",$F51=""),"",IF(AND($F51&gt;=M$7,$F51&lt;EDATE(M$7,1)),"▼",""))</f>
        <v/>
      </c>
      <c r="N51" s="74" t="str">
        <f aca="false">IF(OR($B51="",$F51=""),"",IF(AND($F51&gt;=N$7,$F51&lt;EDATE(N$7,1)),"▼",""))</f>
        <v/>
      </c>
      <c r="O51" s="74" t="str">
        <f aca="false">IF(OR($B51="",$F51=""),"",IF(AND($F51&gt;=O$7,$F51&lt;EDATE(O$7,1)),"▼",""))</f>
        <v/>
      </c>
      <c r="P51" s="74" t="str">
        <f aca="false">IF(OR($B51="",$F51=""),"",IF(AND($F51&gt;=P$7,$F51&lt;EDATE(P$7,1)),"▼",""))</f>
        <v/>
      </c>
      <c r="Q51" s="74" t="str">
        <f aca="false">IF(OR($B51="",$F51=""),"",IF(AND($F51&gt;=Q$7,$F51&lt;EDATE(Q$7,1)),"▼",""))</f>
        <v/>
      </c>
      <c r="R51" s="74" t="str">
        <f aca="false">IF(OR($B51="",$F51=""),"",IF(AND($F51&gt;=R$7,$F51&lt;EDATE(R$7,1)),"▼",""))</f>
        <v/>
      </c>
      <c r="S51" s="74" t="str">
        <f aca="false">IF(OR($B51="",$F51=""),"",IF(AND($F51&gt;=S$7,$F51&lt;EDATE(S$7,1)),"▼",""))</f>
        <v/>
      </c>
    </row>
    <row r="52" customFormat="false" ht="19.5" hidden="false" customHeight="true" outlineLevel="0" collapsed="false">
      <c r="A52" s="48" t="str">
        <f aca="false">IF($B52="","","Cursos IA")</f>
        <v/>
      </c>
      <c r="B52" s="13" t="str">
        <f aca="false">IF('Cursos IA'!B14="","",'Cursos IA'!B14)</f>
        <v/>
      </c>
      <c r="C52" s="73" t="str">
        <f aca="false">IF($B52="","",IF('Cursos IA'!O14="","",'Cursos IA'!O14))</f>
        <v/>
      </c>
      <c r="D52" s="50" t="str">
        <f aca="false">IF($B52="","",IF('Cursos IA'!G14="","",'Cursos IA'!G14))</f>
        <v/>
      </c>
      <c r="E52" s="50" t="str">
        <f aca="false">IF($B52="","",IF('Cursos IA'!H14&lt;&gt;"",'Cursos IA'!H14,IF('Cursos IA'!I14&lt;&gt;"",'Cursos IA'!I14,"")))</f>
        <v/>
      </c>
      <c r="F52" s="50" t="str">
        <f aca="false">IF($B52="","",IF('Cursos IA'!I14="","",'Cursos IA'!I14))</f>
        <v/>
      </c>
      <c r="G52" s="36" t="str">
        <f aca="false">IF($B52="","",'Cursos IA'!N14)</f>
        <v/>
      </c>
      <c r="H52" s="74" t="str">
        <f aca="false">IF(OR($B52="",$F52=""),"",IF(AND($F52&gt;=H$7,$F52&lt;EDATE(H$7,1)),"▼",""))</f>
        <v/>
      </c>
      <c r="I52" s="74" t="str">
        <f aca="false">IF(OR($B52="",$F52=""),"",IF(AND($F52&gt;=I$7,$F52&lt;EDATE(I$7,1)),"▼",""))</f>
        <v/>
      </c>
      <c r="J52" s="74" t="str">
        <f aca="false">IF(OR($B52="",$F52=""),"",IF(AND($F52&gt;=J$7,$F52&lt;EDATE(J$7,1)),"▼",""))</f>
        <v/>
      </c>
      <c r="K52" s="74" t="str">
        <f aca="false">IF(OR($B52="",$F52=""),"",IF(AND($F52&gt;=K$7,$F52&lt;EDATE(K$7,1)),"▼",""))</f>
        <v/>
      </c>
      <c r="L52" s="74" t="str">
        <f aca="false">IF(OR($B52="",$F52=""),"",IF(AND($F52&gt;=L$7,$F52&lt;EDATE(L$7,1)),"▼",""))</f>
        <v/>
      </c>
      <c r="M52" s="74" t="str">
        <f aca="false">IF(OR($B52="",$F52=""),"",IF(AND($F52&gt;=M$7,$F52&lt;EDATE(M$7,1)),"▼",""))</f>
        <v/>
      </c>
      <c r="N52" s="74" t="str">
        <f aca="false">IF(OR($B52="",$F52=""),"",IF(AND($F52&gt;=N$7,$F52&lt;EDATE(N$7,1)),"▼",""))</f>
        <v/>
      </c>
      <c r="O52" s="74" t="str">
        <f aca="false">IF(OR($B52="",$F52=""),"",IF(AND($F52&gt;=O$7,$F52&lt;EDATE(O$7,1)),"▼",""))</f>
        <v/>
      </c>
      <c r="P52" s="74" t="str">
        <f aca="false">IF(OR($B52="",$F52=""),"",IF(AND($F52&gt;=P$7,$F52&lt;EDATE(P$7,1)),"▼",""))</f>
        <v/>
      </c>
      <c r="Q52" s="74" t="str">
        <f aca="false">IF(OR($B52="",$F52=""),"",IF(AND($F52&gt;=Q$7,$F52&lt;EDATE(Q$7,1)),"▼",""))</f>
        <v/>
      </c>
      <c r="R52" s="74" t="str">
        <f aca="false">IF(OR($B52="",$F52=""),"",IF(AND($F52&gt;=R$7,$F52&lt;EDATE(R$7,1)),"▼",""))</f>
        <v/>
      </c>
      <c r="S52" s="74" t="str">
        <f aca="false">IF(OR($B52="",$F52=""),"",IF(AND($F52&gt;=S$7,$F52&lt;EDATE(S$7,1)),"▼",""))</f>
        <v/>
      </c>
    </row>
    <row r="53" customFormat="false" ht="19.5" hidden="false" customHeight="true" outlineLevel="0" collapsed="false">
      <c r="A53" s="48" t="str">
        <f aca="false">IF($B53="","","Cursos IA")</f>
        <v/>
      </c>
      <c r="B53" s="13" t="str">
        <f aca="false">IF('Cursos IA'!B15="","",'Cursos IA'!B15)</f>
        <v/>
      </c>
      <c r="C53" s="73" t="str">
        <f aca="false">IF($B53="","",IF('Cursos IA'!O15="","",'Cursos IA'!O15))</f>
        <v/>
      </c>
      <c r="D53" s="50" t="str">
        <f aca="false">IF($B53="","",IF('Cursos IA'!G15="","",'Cursos IA'!G15))</f>
        <v/>
      </c>
      <c r="E53" s="50" t="str">
        <f aca="false">IF($B53="","",IF('Cursos IA'!H15&lt;&gt;"",'Cursos IA'!H15,IF('Cursos IA'!I15&lt;&gt;"",'Cursos IA'!I15,"")))</f>
        <v/>
      </c>
      <c r="F53" s="50" t="str">
        <f aca="false">IF($B53="","",IF('Cursos IA'!I15="","",'Cursos IA'!I15))</f>
        <v/>
      </c>
      <c r="G53" s="36" t="str">
        <f aca="false">IF($B53="","",'Cursos IA'!N15)</f>
        <v/>
      </c>
      <c r="H53" s="74" t="str">
        <f aca="false">IF(OR($B53="",$F53=""),"",IF(AND($F53&gt;=H$7,$F53&lt;EDATE(H$7,1)),"▼",""))</f>
        <v/>
      </c>
      <c r="I53" s="74" t="str">
        <f aca="false">IF(OR($B53="",$F53=""),"",IF(AND($F53&gt;=I$7,$F53&lt;EDATE(I$7,1)),"▼",""))</f>
        <v/>
      </c>
      <c r="J53" s="74" t="str">
        <f aca="false">IF(OR($B53="",$F53=""),"",IF(AND($F53&gt;=J$7,$F53&lt;EDATE(J$7,1)),"▼",""))</f>
        <v/>
      </c>
      <c r="K53" s="74" t="str">
        <f aca="false">IF(OR($B53="",$F53=""),"",IF(AND($F53&gt;=K$7,$F53&lt;EDATE(K$7,1)),"▼",""))</f>
        <v/>
      </c>
      <c r="L53" s="74" t="str">
        <f aca="false">IF(OR($B53="",$F53=""),"",IF(AND($F53&gt;=L$7,$F53&lt;EDATE(L$7,1)),"▼",""))</f>
        <v/>
      </c>
      <c r="M53" s="74" t="str">
        <f aca="false">IF(OR($B53="",$F53=""),"",IF(AND($F53&gt;=M$7,$F53&lt;EDATE(M$7,1)),"▼",""))</f>
        <v/>
      </c>
      <c r="N53" s="74" t="str">
        <f aca="false">IF(OR($B53="",$F53=""),"",IF(AND($F53&gt;=N$7,$F53&lt;EDATE(N$7,1)),"▼",""))</f>
        <v/>
      </c>
      <c r="O53" s="74" t="str">
        <f aca="false">IF(OR($B53="",$F53=""),"",IF(AND($F53&gt;=O$7,$F53&lt;EDATE(O$7,1)),"▼",""))</f>
        <v/>
      </c>
      <c r="P53" s="74" t="str">
        <f aca="false">IF(OR($B53="",$F53=""),"",IF(AND($F53&gt;=P$7,$F53&lt;EDATE(P$7,1)),"▼",""))</f>
        <v/>
      </c>
      <c r="Q53" s="74" t="str">
        <f aca="false">IF(OR($B53="",$F53=""),"",IF(AND($F53&gt;=Q$7,$F53&lt;EDATE(Q$7,1)),"▼",""))</f>
        <v/>
      </c>
      <c r="R53" s="74" t="str">
        <f aca="false">IF(OR($B53="",$F53=""),"",IF(AND($F53&gt;=R$7,$F53&lt;EDATE(R$7,1)),"▼",""))</f>
        <v/>
      </c>
      <c r="S53" s="74" t="str">
        <f aca="false">IF(OR($B53="",$F53=""),"",IF(AND($F53&gt;=S$7,$F53&lt;EDATE(S$7,1)),"▼",""))</f>
        <v/>
      </c>
    </row>
    <row r="54" customFormat="false" ht="19.5" hidden="false" customHeight="true" outlineLevel="0" collapsed="false">
      <c r="A54" s="48" t="str">
        <f aca="false">IF($B54="","","Cursos IA")</f>
        <v/>
      </c>
      <c r="B54" s="13" t="str">
        <f aca="false">IF('Cursos IA'!B16="","",'Cursos IA'!B16)</f>
        <v/>
      </c>
      <c r="C54" s="73" t="str">
        <f aca="false">IF($B54="","",IF('Cursos IA'!O16="","",'Cursos IA'!O16))</f>
        <v/>
      </c>
      <c r="D54" s="50" t="str">
        <f aca="false">IF($B54="","",IF('Cursos IA'!G16="","",'Cursos IA'!G16))</f>
        <v/>
      </c>
      <c r="E54" s="50" t="str">
        <f aca="false">IF($B54="","",IF('Cursos IA'!H16&lt;&gt;"",'Cursos IA'!H16,IF('Cursos IA'!I16&lt;&gt;"",'Cursos IA'!I16,"")))</f>
        <v/>
      </c>
      <c r="F54" s="50" t="str">
        <f aca="false">IF($B54="","",IF('Cursos IA'!I16="","",'Cursos IA'!I16))</f>
        <v/>
      </c>
      <c r="G54" s="36" t="str">
        <f aca="false">IF($B54="","",'Cursos IA'!N16)</f>
        <v/>
      </c>
      <c r="H54" s="74" t="str">
        <f aca="false">IF(OR($B54="",$F54=""),"",IF(AND($F54&gt;=H$7,$F54&lt;EDATE(H$7,1)),"▼",""))</f>
        <v/>
      </c>
      <c r="I54" s="74" t="str">
        <f aca="false">IF(OR($B54="",$F54=""),"",IF(AND($F54&gt;=I$7,$F54&lt;EDATE(I$7,1)),"▼",""))</f>
        <v/>
      </c>
      <c r="J54" s="74" t="str">
        <f aca="false">IF(OR($B54="",$F54=""),"",IF(AND($F54&gt;=J$7,$F54&lt;EDATE(J$7,1)),"▼",""))</f>
        <v/>
      </c>
      <c r="K54" s="74" t="str">
        <f aca="false">IF(OR($B54="",$F54=""),"",IF(AND($F54&gt;=K$7,$F54&lt;EDATE(K$7,1)),"▼",""))</f>
        <v/>
      </c>
      <c r="L54" s="74" t="str">
        <f aca="false">IF(OR($B54="",$F54=""),"",IF(AND($F54&gt;=L$7,$F54&lt;EDATE(L$7,1)),"▼",""))</f>
        <v/>
      </c>
      <c r="M54" s="74" t="str">
        <f aca="false">IF(OR($B54="",$F54=""),"",IF(AND($F54&gt;=M$7,$F54&lt;EDATE(M$7,1)),"▼",""))</f>
        <v/>
      </c>
      <c r="N54" s="74" t="str">
        <f aca="false">IF(OR($B54="",$F54=""),"",IF(AND($F54&gt;=N$7,$F54&lt;EDATE(N$7,1)),"▼",""))</f>
        <v/>
      </c>
      <c r="O54" s="74" t="str">
        <f aca="false">IF(OR($B54="",$F54=""),"",IF(AND($F54&gt;=O$7,$F54&lt;EDATE(O$7,1)),"▼",""))</f>
        <v/>
      </c>
      <c r="P54" s="74" t="str">
        <f aca="false">IF(OR($B54="",$F54=""),"",IF(AND($F54&gt;=P$7,$F54&lt;EDATE(P$7,1)),"▼",""))</f>
        <v/>
      </c>
      <c r="Q54" s="74" t="str">
        <f aca="false">IF(OR($B54="",$F54=""),"",IF(AND($F54&gt;=Q$7,$F54&lt;EDATE(Q$7,1)),"▼",""))</f>
        <v/>
      </c>
      <c r="R54" s="74" t="str">
        <f aca="false">IF(OR($B54="",$F54=""),"",IF(AND($F54&gt;=R$7,$F54&lt;EDATE(R$7,1)),"▼",""))</f>
        <v/>
      </c>
      <c r="S54" s="74" t="str">
        <f aca="false">IF(OR($B54="",$F54=""),"",IF(AND($F54&gt;=S$7,$F54&lt;EDATE(S$7,1)),"▼",""))</f>
        <v/>
      </c>
    </row>
    <row r="55" customFormat="false" ht="19.5" hidden="false" customHeight="true" outlineLevel="0" collapsed="false">
      <c r="A55" s="48" t="str">
        <f aca="false">IF($B55="","","Cursos IA")</f>
        <v/>
      </c>
      <c r="B55" s="13" t="str">
        <f aca="false">IF('Cursos IA'!B17="","",'Cursos IA'!B17)</f>
        <v/>
      </c>
      <c r="C55" s="73" t="str">
        <f aca="false">IF($B55="","",IF('Cursos IA'!O17="","",'Cursos IA'!O17))</f>
        <v/>
      </c>
      <c r="D55" s="50" t="str">
        <f aca="false">IF($B55="","",IF('Cursos IA'!G17="","",'Cursos IA'!G17))</f>
        <v/>
      </c>
      <c r="E55" s="50" t="str">
        <f aca="false">IF($B55="","",IF('Cursos IA'!H17&lt;&gt;"",'Cursos IA'!H17,IF('Cursos IA'!I17&lt;&gt;"",'Cursos IA'!I17,"")))</f>
        <v/>
      </c>
      <c r="F55" s="50" t="str">
        <f aca="false">IF($B55="","",IF('Cursos IA'!I17="","",'Cursos IA'!I17))</f>
        <v/>
      </c>
      <c r="G55" s="36" t="str">
        <f aca="false">IF($B55="","",'Cursos IA'!N17)</f>
        <v/>
      </c>
      <c r="H55" s="74" t="str">
        <f aca="false">IF(OR($B55="",$F55=""),"",IF(AND($F55&gt;=H$7,$F55&lt;EDATE(H$7,1)),"▼",""))</f>
        <v/>
      </c>
      <c r="I55" s="74" t="str">
        <f aca="false">IF(OR($B55="",$F55=""),"",IF(AND($F55&gt;=I$7,$F55&lt;EDATE(I$7,1)),"▼",""))</f>
        <v/>
      </c>
      <c r="J55" s="74" t="str">
        <f aca="false">IF(OR($B55="",$F55=""),"",IF(AND($F55&gt;=J$7,$F55&lt;EDATE(J$7,1)),"▼",""))</f>
        <v/>
      </c>
      <c r="K55" s="74" t="str">
        <f aca="false">IF(OR($B55="",$F55=""),"",IF(AND($F55&gt;=K$7,$F55&lt;EDATE(K$7,1)),"▼",""))</f>
        <v/>
      </c>
      <c r="L55" s="74" t="str">
        <f aca="false">IF(OR($B55="",$F55=""),"",IF(AND($F55&gt;=L$7,$F55&lt;EDATE(L$7,1)),"▼",""))</f>
        <v/>
      </c>
      <c r="M55" s="74" t="str">
        <f aca="false">IF(OR($B55="",$F55=""),"",IF(AND($F55&gt;=M$7,$F55&lt;EDATE(M$7,1)),"▼",""))</f>
        <v/>
      </c>
      <c r="N55" s="74" t="str">
        <f aca="false">IF(OR($B55="",$F55=""),"",IF(AND($F55&gt;=N$7,$F55&lt;EDATE(N$7,1)),"▼",""))</f>
        <v/>
      </c>
      <c r="O55" s="74" t="str">
        <f aca="false">IF(OR($B55="",$F55=""),"",IF(AND($F55&gt;=O$7,$F55&lt;EDATE(O$7,1)),"▼",""))</f>
        <v/>
      </c>
      <c r="P55" s="74" t="str">
        <f aca="false">IF(OR($B55="",$F55=""),"",IF(AND($F55&gt;=P$7,$F55&lt;EDATE(P$7,1)),"▼",""))</f>
        <v/>
      </c>
      <c r="Q55" s="74" t="str">
        <f aca="false">IF(OR($B55="",$F55=""),"",IF(AND($F55&gt;=Q$7,$F55&lt;EDATE(Q$7,1)),"▼",""))</f>
        <v/>
      </c>
      <c r="R55" s="74" t="str">
        <f aca="false">IF(OR($B55="",$F55=""),"",IF(AND($F55&gt;=R$7,$F55&lt;EDATE(R$7,1)),"▼",""))</f>
        <v/>
      </c>
      <c r="S55" s="74" t="str">
        <f aca="false">IF(OR($B55="",$F55=""),"",IF(AND($F55&gt;=S$7,$F55&lt;EDATE(S$7,1)),"▼",""))</f>
        <v/>
      </c>
    </row>
    <row r="56" customFormat="false" ht="19.5" hidden="false" customHeight="true" outlineLevel="0" collapsed="false">
      <c r="A56" s="48" t="str">
        <f aca="false">IF($B56="","","Cursos IA")</f>
        <v/>
      </c>
      <c r="B56" s="13" t="str">
        <f aca="false">IF('Cursos IA'!B18="","",'Cursos IA'!B18)</f>
        <v/>
      </c>
      <c r="C56" s="73" t="str">
        <f aca="false">IF($B56="","",IF('Cursos IA'!O18="","",'Cursos IA'!O18))</f>
        <v/>
      </c>
      <c r="D56" s="50" t="str">
        <f aca="false">IF($B56="","",IF('Cursos IA'!G18="","",'Cursos IA'!G18))</f>
        <v/>
      </c>
      <c r="E56" s="50" t="str">
        <f aca="false">IF($B56="","",IF('Cursos IA'!H18&lt;&gt;"",'Cursos IA'!H18,IF('Cursos IA'!I18&lt;&gt;"",'Cursos IA'!I18,"")))</f>
        <v/>
      </c>
      <c r="F56" s="50" t="str">
        <f aca="false">IF($B56="","",IF('Cursos IA'!I18="","",'Cursos IA'!I18))</f>
        <v/>
      </c>
      <c r="G56" s="36" t="str">
        <f aca="false">IF($B56="","",'Cursos IA'!N18)</f>
        <v/>
      </c>
      <c r="H56" s="74" t="str">
        <f aca="false">IF(OR($B56="",$F56=""),"",IF(AND($F56&gt;=H$7,$F56&lt;EDATE(H$7,1)),"▼",""))</f>
        <v/>
      </c>
      <c r="I56" s="74" t="str">
        <f aca="false">IF(OR($B56="",$F56=""),"",IF(AND($F56&gt;=I$7,$F56&lt;EDATE(I$7,1)),"▼",""))</f>
        <v/>
      </c>
      <c r="J56" s="74" t="str">
        <f aca="false">IF(OR($B56="",$F56=""),"",IF(AND($F56&gt;=J$7,$F56&lt;EDATE(J$7,1)),"▼",""))</f>
        <v/>
      </c>
      <c r="K56" s="74" t="str">
        <f aca="false">IF(OR($B56="",$F56=""),"",IF(AND($F56&gt;=K$7,$F56&lt;EDATE(K$7,1)),"▼",""))</f>
        <v/>
      </c>
      <c r="L56" s="74" t="str">
        <f aca="false">IF(OR($B56="",$F56=""),"",IF(AND($F56&gt;=L$7,$F56&lt;EDATE(L$7,1)),"▼",""))</f>
        <v/>
      </c>
      <c r="M56" s="74" t="str">
        <f aca="false">IF(OR($B56="",$F56=""),"",IF(AND($F56&gt;=M$7,$F56&lt;EDATE(M$7,1)),"▼",""))</f>
        <v/>
      </c>
      <c r="N56" s="74" t="str">
        <f aca="false">IF(OR($B56="",$F56=""),"",IF(AND($F56&gt;=N$7,$F56&lt;EDATE(N$7,1)),"▼",""))</f>
        <v/>
      </c>
      <c r="O56" s="74" t="str">
        <f aca="false">IF(OR($B56="",$F56=""),"",IF(AND($F56&gt;=O$7,$F56&lt;EDATE(O$7,1)),"▼",""))</f>
        <v/>
      </c>
      <c r="P56" s="74" t="str">
        <f aca="false">IF(OR($B56="",$F56=""),"",IF(AND($F56&gt;=P$7,$F56&lt;EDATE(P$7,1)),"▼",""))</f>
        <v/>
      </c>
      <c r="Q56" s="74" t="str">
        <f aca="false">IF(OR($B56="",$F56=""),"",IF(AND($F56&gt;=Q$7,$F56&lt;EDATE(Q$7,1)),"▼",""))</f>
        <v/>
      </c>
      <c r="R56" s="74" t="str">
        <f aca="false">IF(OR($B56="",$F56=""),"",IF(AND($F56&gt;=R$7,$F56&lt;EDATE(R$7,1)),"▼",""))</f>
        <v/>
      </c>
      <c r="S56" s="74" t="str">
        <f aca="false">IF(OR($B56="",$F56=""),"",IF(AND($F56&gt;=S$7,$F56&lt;EDATE(S$7,1)),"▼",""))</f>
        <v/>
      </c>
    </row>
    <row r="57" customFormat="false" ht="19.5" hidden="false" customHeight="true" outlineLevel="0" collapsed="false">
      <c r="A57" s="48" t="str">
        <f aca="false">IF($B57="","","Cursos IA")</f>
        <v/>
      </c>
      <c r="B57" s="13" t="str">
        <f aca="false">IF('Cursos IA'!B19="","",'Cursos IA'!B19)</f>
        <v/>
      </c>
      <c r="C57" s="73" t="str">
        <f aca="false">IF($B57="","",IF('Cursos IA'!O19="","",'Cursos IA'!O19))</f>
        <v/>
      </c>
      <c r="D57" s="50" t="str">
        <f aca="false">IF($B57="","",IF('Cursos IA'!G19="","",'Cursos IA'!G19))</f>
        <v/>
      </c>
      <c r="E57" s="50" t="str">
        <f aca="false">IF($B57="","",IF('Cursos IA'!H19&lt;&gt;"",'Cursos IA'!H19,IF('Cursos IA'!I19&lt;&gt;"",'Cursos IA'!I19,"")))</f>
        <v/>
      </c>
      <c r="F57" s="50" t="str">
        <f aca="false">IF($B57="","",IF('Cursos IA'!I19="","",'Cursos IA'!I19))</f>
        <v/>
      </c>
      <c r="G57" s="36" t="str">
        <f aca="false">IF($B57="","",'Cursos IA'!N19)</f>
        <v/>
      </c>
      <c r="H57" s="74" t="str">
        <f aca="false">IF(OR($B57="",$F57=""),"",IF(AND($F57&gt;=H$7,$F57&lt;EDATE(H$7,1)),"▼",""))</f>
        <v/>
      </c>
      <c r="I57" s="74" t="str">
        <f aca="false">IF(OR($B57="",$F57=""),"",IF(AND($F57&gt;=I$7,$F57&lt;EDATE(I$7,1)),"▼",""))</f>
        <v/>
      </c>
      <c r="J57" s="74" t="str">
        <f aca="false">IF(OR($B57="",$F57=""),"",IF(AND($F57&gt;=J$7,$F57&lt;EDATE(J$7,1)),"▼",""))</f>
        <v/>
      </c>
      <c r="K57" s="74" t="str">
        <f aca="false">IF(OR($B57="",$F57=""),"",IF(AND($F57&gt;=K$7,$F57&lt;EDATE(K$7,1)),"▼",""))</f>
        <v/>
      </c>
      <c r="L57" s="74" t="str">
        <f aca="false">IF(OR($B57="",$F57=""),"",IF(AND($F57&gt;=L$7,$F57&lt;EDATE(L$7,1)),"▼",""))</f>
        <v/>
      </c>
      <c r="M57" s="74" t="str">
        <f aca="false">IF(OR($B57="",$F57=""),"",IF(AND($F57&gt;=M$7,$F57&lt;EDATE(M$7,1)),"▼",""))</f>
        <v/>
      </c>
      <c r="N57" s="74" t="str">
        <f aca="false">IF(OR($B57="",$F57=""),"",IF(AND($F57&gt;=N$7,$F57&lt;EDATE(N$7,1)),"▼",""))</f>
        <v/>
      </c>
      <c r="O57" s="74" t="str">
        <f aca="false">IF(OR($B57="",$F57=""),"",IF(AND($F57&gt;=O$7,$F57&lt;EDATE(O$7,1)),"▼",""))</f>
        <v/>
      </c>
      <c r="P57" s="74" t="str">
        <f aca="false">IF(OR($B57="",$F57=""),"",IF(AND($F57&gt;=P$7,$F57&lt;EDATE(P$7,1)),"▼",""))</f>
        <v/>
      </c>
      <c r="Q57" s="74" t="str">
        <f aca="false">IF(OR($B57="",$F57=""),"",IF(AND($F57&gt;=Q$7,$F57&lt;EDATE(Q$7,1)),"▼",""))</f>
        <v/>
      </c>
      <c r="R57" s="74" t="str">
        <f aca="false">IF(OR($B57="",$F57=""),"",IF(AND($F57&gt;=R$7,$F57&lt;EDATE(R$7,1)),"▼",""))</f>
        <v/>
      </c>
      <c r="S57" s="74" t="str">
        <f aca="false">IF(OR($B57="",$F57=""),"",IF(AND($F57&gt;=S$7,$F57&lt;EDATE(S$7,1)),"▼",""))</f>
        <v/>
      </c>
    </row>
    <row r="58" customFormat="false" ht="19.5" hidden="false" customHeight="true" outlineLevel="0" collapsed="false">
      <c r="A58" s="48" t="str">
        <f aca="false">IF($B58="","","Cursos IA")</f>
        <v/>
      </c>
      <c r="B58" s="13" t="str">
        <f aca="false">IF('Cursos IA'!B20="","",'Cursos IA'!B20)</f>
        <v/>
      </c>
      <c r="C58" s="73" t="str">
        <f aca="false">IF($B58="","",IF('Cursos IA'!O20="","",'Cursos IA'!O20))</f>
        <v/>
      </c>
      <c r="D58" s="50" t="str">
        <f aca="false">IF($B58="","",IF('Cursos IA'!G20="","",'Cursos IA'!G20))</f>
        <v/>
      </c>
      <c r="E58" s="50" t="str">
        <f aca="false">IF($B58="","",IF('Cursos IA'!H20&lt;&gt;"",'Cursos IA'!H20,IF('Cursos IA'!I20&lt;&gt;"",'Cursos IA'!I20,"")))</f>
        <v/>
      </c>
      <c r="F58" s="50" t="str">
        <f aca="false">IF($B58="","",IF('Cursos IA'!I20="","",'Cursos IA'!I20))</f>
        <v/>
      </c>
      <c r="G58" s="36" t="str">
        <f aca="false">IF($B58="","",'Cursos IA'!N20)</f>
        <v/>
      </c>
      <c r="H58" s="74" t="str">
        <f aca="false">IF(OR($B58="",$F58=""),"",IF(AND($F58&gt;=H$7,$F58&lt;EDATE(H$7,1)),"▼",""))</f>
        <v/>
      </c>
      <c r="I58" s="74" t="str">
        <f aca="false">IF(OR($B58="",$F58=""),"",IF(AND($F58&gt;=I$7,$F58&lt;EDATE(I$7,1)),"▼",""))</f>
        <v/>
      </c>
      <c r="J58" s="74" t="str">
        <f aca="false">IF(OR($B58="",$F58=""),"",IF(AND($F58&gt;=J$7,$F58&lt;EDATE(J$7,1)),"▼",""))</f>
        <v/>
      </c>
      <c r="K58" s="74" t="str">
        <f aca="false">IF(OR($B58="",$F58=""),"",IF(AND($F58&gt;=K$7,$F58&lt;EDATE(K$7,1)),"▼",""))</f>
        <v/>
      </c>
      <c r="L58" s="74" t="str">
        <f aca="false">IF(OR($B58="",$F58=""),"",IF(AND($F58&gt;=L$7,$F58&lt;EDATE(L$7,1)),"▼",""))</f>
        <v/>
      </c>
      <c r="M58" s="74" t="str">
        <f aca="false">IF(OR($B58="",$F58=""),"",IF(AND($F58&gt;=M$7,$F58&lt;EDATE(M$7,1)),"▼",""))</f>
        <v/>
      </c>
      <c r="N58" s="74" t="str">
        <f aca="false">IF(OR($B58="",$F58=""),"",IF(AND($F58&gt;=N$7,$F58&lt;EDATE(N$7,1)),"▼",""))</f>
        <v/>
      </c>
      <c r="O58" s="74" t="str">
        <f aca="false">IF(OR($B58="",$F58=""),"",IF(AND($F58&gt;=O$7,$F58&lt;EDATE(O$7,1)),"▼",""))</f>
        <v/>
      </c>
      <c r="P58" s="74" t="str">
        <f aca="false">IF(OR($B58="",$F58=""),"",IF(AND($F58&gt;=P$7,$F58&lt;EDATE(P$7,1)),"▼",""))</f>
        <v/>
      </c>
      <c r="Q58" s="74" t="str">
        <f aca="false">IF(OR($B58="",$F58=""),"",IF(AND($F58&gt;=Q$7,$F58&lt;EDATE(Q$7,1)),"▼",""))</f>
        <v/>
      </c>
      <c r="R58" s="74" t="str">
        <f aca="false">IF(OR($B58="",$F58=""),"",IF(AND($F58&gt;=R$7,$F58&lt;EDATE(R$7,1)),"▼",""))</f>
        <v/>
      </c>
      <c r="S58" s="74" t="str">
        <f aca="false">IF(OR($B58="",$F58=""),"",IF(AND($F58&gt;=S$7,$F58&lt;EDATE(S$7,1)),"▼",""))</f>
        <v/>
      </c>
    </row>
    <row r="59" customFormat="false" ht="19.5" hidden="false" customHeight="true" outlineLevel="0" collapsed="false">
      <c r="A59" s="48" t="str">
        <f aca="false">IF($B59="","","Cursos IA")</f>
        <v/>
      </c>
      <c r="B59" s="13" t="str">
        <f aca="false">IF('Cursos IA'!B21="","",'Cursos IA'!B21)</f>
        <v/>
      </c>
      <c r="C59" s="73" t="str">
        <f aca="false">IF($B59="","",IF('Cursos IA'!O21="","",'Cursos IA'!O21))</f>
        <v/>
      </c>
      <c r="D59" s="50" t="str">
        <f aca="false">IF($B59="","",IF('Cursos IA'!G21="","",'Cursos IA'!G21))</f>
        <v/>
      </c>
      <c r="E59" s="50" t="str">
        <f aca="false">IF($B59="","",IF('Cursos IA'!H21&lt;&gt;"",'Cursos IA'!H21,IF('Cursos IA'!I21&lt;&gt;"",'Cursos IA'!I21,"")))</f>
        <v/>
      </c>
      <c r="F59" s="50" t="str">
        <f aca="false">IF($B59="","",IF('Cursos IA'!I21="","",'Cursos IA'!I21))</f>
        <v/>
      </c>
      <c r="G59" s="36" t="str">
        <f aca="false">IF($B59="","",'Cursos IA'!N21)</f>
        <v/>
      </c>
      <c r="H59" s="74" t="str">
        <f aca="false">IF(OR($B59="",$F59=""),"",IF(AND($F59&gt;=H$7,$F59&lt;EDATE(H$7,1)),"▼",""))</f>
        <v/>
      </c>
      <c r="I59" s="74" t="str">
        <f aca="false">IF(OR($B59="",$F59=""),"",IF(AND($F59&gt;=I$7,$F59&lt;EDATE(I$7,1)),"▼",""))</f>
        <v/>
      </c>
      <c r="J59" s="74" t="str">
        <f aca="false">IF(OR($B59="",$F59=""),"",IF(AND($F59&gt;=J$7,$F59&lt;EDATE(J$7,1)),"▼",""))</f>
        <v/>
      </c>
      <c r="K59" s="74" t="str">
        <f aca="false">IF(OR($B59="",$F59=""),"",IF(AND($F59&gt;=K$7,$F59&lt;EDATE(K$7,1)),"▼",""))</f>
        <v/>
      </c>
      <c r="L59" s="74" t="str">
        <f aca="false">IF(OR($B59="",$F59=""),"",IF(AND($F59&gt;=L$7,$F59&lt;EDATE(L$7,1)),"▼",""))</f>
        <v/>
      </c>
      <c r="M59" s="74" t="str">
        <f aca="false">IF(OR($B59="",$F59=""),"",IF(AND($F59&gt;=M$7,$F59&lt;EDATE(M$7,1)),"▼",""))</f>
        <v/>
      </c>
      <c r="N59" s="74" t="str">
        <f aca="false">IF(OR($B59="",$F59=""),"",IF(AND($F59&gt;=N$7,$F59&lt;EDATE(N$7,1)),"▼",""))</f>
        <v/>
      </c>
      <c r="O59" s="74" t="str">
        <f aca="false">IF(OR($B59="",$F59=""),"",IF(AND($F59&gt;=O$7,$F59&lt;EDATE(O$7,1)),"▼",""))</f>
        <v/>
      </c>
      <c r="P59" s="74" t="str">
        <f aca="false">IF(OR($B59="",$F59=""),"",IF(AND($F59&gt;=P$7,$F59&lt;EDATE(P$7,1)),"▼",""))</f>
        <v/>
      </c>
      <c r="Q59" s="74" t="str">
        <f aca="false">IF(OR($B59="",$F59=""),"",IF(AND($F59&gt;=Q$7,$F59&lt;EDATE(Q$7,1)),"▼",""))</f>
        <v/>
      </c>
      <c r="R59" s="74" t="str">
        <f aca="false">IF(OR($B59="",$F59=""),"",IF(AND($F59&gt;=R$7,$F59&lt;EDATE(R$7,1)),"▼",""))</f>
        <v/>
      </c>
      <c r="S59" s="74" t="str">
        <f aca="false">IF(OR($B59="",$F59=""),"",IF(AND($F59&gt;=S$7,$F59&lt;EDATE(S$7,1)),"▼",""))</f>
        <v/>
      </c>
    </row>
    <row r="60" customFormat="false" ht="19.5" hidden="false" customHeight="true" outlineLevel="0" collapsed="false">
      <c r="A60" s="75" t="s">
        <v>102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</row>
    <row r="61" customFormat="false" ht="19.5" hidden="false" customHeight="true" outlineLevel="0" collapsed="false">
      <c r="A61" s="48" t="str">
        <f aca="false">IF($B61="","","Renda Extra")</f>
        <v>Renda Extra</v>
      </c>
      <c r="B61" s="13" t="str">
        <f aca="false">IF('Renda Extra'!B10="","",'Renda Extra'!B10)</f>
        <v>Marketing de Afiliados do Zero (exemplo)</v>
      </c>
      <c r="C61" s="73" t="str">
        <f aca="false">IF($B61="","",IF('Renda Extra'!O10="","",'Renda Extra'!O10))</f>
        <v>Em andamento</v>
      </c>
      <c r="D61" s="50" t="n">
        <f aca="false">IF($B61="","",IF('Renda Extra'!G10="","",'Renda Extra'!G10))</f>
        <v>46268</v>
      </c>
      <c r="E61" s="50" t="n">
        <f aca="false">IF($B61="","",IF('Renda Extra'!H10&lt;&gt;"",'Renda Extra'!H10,IF('Renda Extra'!I10&lt;&gt;"",'Renda Extra'!I10,"")))</f>
        <v>46356</v>
      </c>
      <c r="F61" s="50" t="n">
        <f aca="false">IF($B61="","",IF('Renda Extra'!I10="","",'Renda Extra'!I10))</f>
        <v>46631</v>
      </c>
      <c r="G61" s="36" t="n">
        <f aca="false">IF($B61="","",'Renda Extra'!N10)</f>
        <v>0.222222222222222</v>
      </c>
      <c r="H61" s="74" t="str">
        <f aca="false">IF(OR($B61="",$F61=""),"",IF(AND($F61&gt;=H$7,$F61&lt;EDATE(H$7,1)),"▼",""))</f>
        <v/>
      </c>
      <c r="I61" s="74" t="str">
        <f aca="false">IF(OR($B61="",$F61=""),"",IF(AND($F61&gt;=I$7,$F61&lt;EDATE(I$7,1)),"▼",""))</f>
        <v/>
      </c>
      <c r="J61" s="74" t="str">
        <f aca="false">IF(OR($B61="",$F61=""),"",IF(AND($F61&gt;=J$7,$F61&lt;EDATE(J$7,1)),"▼",""))</f>
        <v/>
      </c>
      <c r="K61" s="74" t="str">
        <f aca="false">IF(OR($B61="",$F61=""),"",IF(AND($F61&gt;=K$7,$F61&lt;EDATE(K$7,1)),"▼",""))</f>
        <v/>
      </c>
      <c r="L61" s="74" t="str">
        <f aca="false">IF(OR($B61="",$F61=""),"",IF(AND($F61&gt;=L$7,$F61&lt;EDATE(L$7,1)),"▼",""))</f>
        <v/>
      </c>
      <c r="M61" s="74" t="str">
        <f aca="false">IF(OR($B61="",$F61=""),"",IF(AND($F61&gt;=M$7,$F61&lt;EDATE(M$7,1)),"▼",""))</f>
        <v/>
      </c>
      <c r="N61" s="74" t="str">
        <f aca="false">IF(OR($B61="",$F61=""),"",IF(AND($F61&gt;=N$7,$F61&lt;EDATE(N$7,1)),"▼",""))</f>
        <v/>
      </c>
      <c r="O61" s="74" t="str">
        <f aca="false">IF(OR($B61="",$F61=""),"",IF(AND($F61&gt;=O$7,$F61&lt;EDATE(O$7,1)),"▼",""))</f>
        <v/>
      </c>
      <c r="P61" s="74" t="str">
        <f aca="false">IF(OR($B61="",$F61=""),"",IF(AND($F61&gt;=P$7,$F61&lt;EDATE(P$7,1)),"▼",""))</f>
        <v/>
      </c>
      <c r="Q61" s="74" t="str">
        <f aca="false">IF(OR($B61="",$F61=""),"",IF(AND($F61&gt;=Q$7,$F61&lt;EDATE(Q$7,1)),"▼",""))</f>
        <v/>
      </c>
      <c r="R61" s="74" t="str">
        <f aca="false">IF(OR($B61="",$F61=""),"",IF(AND($F61&gt;=R$7,$F61&lt;EDATE(R$7,1)),"▼",""))</f>
        <v/>
      </c>
      <c r="S61" s="74" t="str">
        <f aca="false">IF(OR($B61="",$F61=""),"",IF(AND($F61&gt;=S$7,$F61&lt;EDATE(S$7,1)),"▼",""))</f>
        <v>▼</v>
      </c>
    </row>
    <row r="62" customFormat="false" ht="19.5" hidden="false" customHeight="true" outlineLevel="0" collapsed="false">
      <c r="A62" s="48" t="str">
        <f aca="false">IF($B62="","","Renda Extra")</f>
        <v/>
      </c>
      <c r="B62" s="13" t="str">
        <f aca="false">IF('Renda Extra'!B11="","",'Renda Extra'!B11)</f>
        <v/>
      </c>
      <c r="C62" s="73" t="str">
        <f aca="false">IF($B62="","",IF('Renda Extra'!O11="","",'Renda Extra'!O11))</f>
        <v/>
      </c>
      <c r="D62" s="50" t="str">
        <f aca="false">IF($B62="","",IF('Renda Extra'!G11="","",'Renda Extra'!G11))</f>
        <v/>
      </c>
      <c r="E62" s="50" t="str">
        <f aca="false">IF($B62="","",IF('Renda Extra'!H11&lt;&gt;"",'Renda Extra'!H11,IF('Renda Extra'!I11&lt;&gt;"",'Renda Extra'!I11,"")))</f>
        <v/>
      </c>
      <c r="F62" s="50" t="str">
        <f aca="false">IF($B62="","",IF('Renda Extra'!I11="","",'Renda Extra'!I11))</f>
        <v/>
      </c>
      <c r="G62" s="36" t="str">
        <f aca="false">IF($B62="","",'Renda Extra'!N11)</f>
        <v/>
      </c>
      <c r="H62" s="74" t="str">
        <f aca="false">IF(OR($B62="",$F62=""),"",IF(AND($F62&gt;=H$7,$F62&lt;EDATE(H$7,1)),"▼",""))</f>
        <v/>
      </c>
      <c r="I62" s="74" t="str">
        <f aca="false">IF(OR($B62="",$F62=""),"",IF(AND($F62&gt;=I$7,$F62&lt;EDATE(I$7,1)),"▼",""))</f>
        <v/>
      </c>
      <c r="J62" s="74" t="str">
        <f aca="false">IF(OR($B62="",$F62=""),"",IF(AND($F62&gt;=J$7,$F62&lt;EDATE(J$7,1)),"▼",""))</f>
        <v/>
      </c>
      <c r="K62" s="74" t="str">
        <f aca="false">IF(OR($B62="",$F62=""),"",IF(AND($F62&gt;=K$7,$F62&lt;EDATE(K$7,1)),"▼",""))</f>
        <v/>
      </c>
      <c r="L62" s="74" t="str">
        <f aca="false">IF(OR($B62="",$F62=""),"",IF(AND($F62&gt;=L$7,$F62&lt;EDATE(L$7,1)),"▼",""))</f>
        <v/>
      </c>
      <c r="M62" s="74" t="str">
        <f aca="false">IF(OR($B62="",$F62=""),"",IF(AND($F62&gt;=M$7,$F62&lt;EDATE(M$7,1)),"▼",""))</f>
        <v/>
      </c>
      <c r="N62" s="74" t="str">
        <f aca="false">IF(OR($B62="",$F62=""),"",IF(AND($F62&gt;=N$7,$F62&lt;EDATE(N$7,1)),"▼",""))</f>
        <v/>
      </c>
      <c r="O62" s="74" t="str">
        <f aca="false">IF(OR($B62="",$F62=""),"",IF(AND($F62&gt;=O$7,$F62&lt;EDATE(O$7,1)),"▼",""))</f>
        <v/>
      </c>
      <c r="P62" s="74" t="str">
        <f aca="false">IF(OR($B62="",$F62=""),"",IF(AND($F62&gt;=P$7,$F62&lt;EDATE(P$7,1)),"▼",""))</f>
        <v/>
      </c>
      <c r="Q62" s="74" t="str">
        <f aca="false">IF(OR($B62="",$F62=""),"",IF(AND($F62&gt;=Q$7,$F62&lt;EDATE(Q$7,1)),"▼",""))</f>
        <v/>
      </c>
      <c r="R62" s="74" t="str">
        <f aca="false">IF(OR($B62="",$F62=""),"",IF(AND($F62&gt;=R$7,$F62&lt;EDATE(R$7,1)),"▼",""))</f>
        <v/>
      </c>
      <c r="S62" s="74" t="str">
        <f aca="false">IF(OR($B62="",$F62=""),"",IF(AND($F62&gt;=S$7,$F62&lt;EDATE(S$7,1)),"▼",""))</f>
        <v/>
      </c>
    </row>
    <row r="63" customFormat="false" ht="19.5" hidden="false" customHeight="true" outlineLevel="0" collapsed="false">
      <c r="A63" s="48" t="str">
        <f aca="false">IF($B63="","","Renda Extra")</f>
        <v/>
      </c>
      <c r="B63" s="13" t="str">
        <f aca="false">IF('Renda Extra'!B12="","",'Renda Extra'!B12)</f>
        <v/>
      </c>
      <c r="C63" s="73" t="str">
        <f aca="false">IF($B63="","",IF('Renda Extra'!O12="","",'Renda Extra'!O12))</f>
        <v/>
      </c>
      <c r="D63" s="50" t="str">
        <f aca="false">IF($B63="","",IF('Renda Extra'!G12="","",'Renda Extra'!G12))</f>
        <v/>
      </c>
      <c r="E63" s="50" t="str">
        <f aca="false">IF($B63="","",IF('Renda Extra'!H12&lt;&gt;"",'Renda Extra'!H12,IF('Renda Extra'!I12&lt;&gt;"",'Renda Extra'!I12,"")))</f>
        <v/>
      </c>
      <c r="F63" s="50" t="str">
        <f aca="false">IF($B63="","",IF('Renda Extra'!I12="","",'Renda Extra'!I12))</f>
        <v/>
      </c>
      <c r="G63" s="36" t="str">
        <f aca="false">IF($B63="","",'Renda Extra'!N12)</f>
        <v/>
      </c>
      <c r="H63" s="74" t="str">
        <f aca="false">IF(OR($B63="",$F63=""),"",IF(AND($F63&gt;=H$7,$F63&lt;EDATE(H$7,1)),"▼",""))</f>
        <v/>
      </c>
      <c r="I63" s="74" t="str">
        <f aca="false">IF(OR($B63="",$F63=""),"",IF(AND($F63&gt;=I$7,$F63&lt;EDATE(I$7,1)),"▼",""))</f>
        <v/>
      </c>
      <c r="J63" s="74" t="str">
        <f aca="false">IF(OR($B63="",$F63=""),"",IF(AND($F63&gt;=J$7,$F63&lt;EDATE(J$7,1)),"▼",""))</f>
        <v/>
      </c>
      <c r="K63" s="74" t="str">
        <f aca="false">IF(OR($B63="",$F63=""),"",IF(AND($F63&gt;=K$7,$F63&lt;EDATE(K$7,1)),"▼",""))</f>
        <v/>
      </c>
      <c r="L63" s="74" t="str">
        <f aca="false">IF(OR($B63="",$F63=""),"",IF(AND($F63&gt;=L$7,$F63&lt;EDATE(L$7,1)),"▼",""))</f>
        <v/>
      </c>
      <c r="M63" s="74" t="str">
        <f aca="false">IF(OR($B63="",$F63=""),"",IF(AND($F63&gt;=M$7,$F63&lt;EDATE(M$7,1)),"▼",""))</f>
        <v/>
      </c>
      <c r="N63" s="74" t="str">
        <f aca="false">IF(OR($B63="",$F63=""),"",IF(AND($F63&gt;=N$7,$F63&lt;EDATE(N$7,1)),"▼",""))</f>
        <v/>
      </c>
      <c r="O63" s="74" t="str">
        <f aca="false">IF(OR($B63="",$F63=""),"",IF(AND($F63&gt;=O$7,$F63&lt;EDATE(O$7,1)),"▼",""))</f>
        <v/>
      </c>
      <c r="P63" s="74" t="str">
        <f aca="false">IF(OR($B63="",$F63=""),"",IF(AND($F63&gt;=P$7,$F63&lt;EDATE(P$7,1)),"▼",""))</f>
        <v/>
      </c>
      <c r="Q63" s="74" t="str">
        <f aca="false">IF(OR($B63="",$F63=""),"",IF(AND($F63&gt;=Q$7,$F63&lt;EDATE(Q$7,1)),"▼",""))</f>
        <v/>
      </c>
      <c r="R63" s="74" t="str">
        <f aca="false">IF(OR($B63="",$F63=""),"",IF(AND($F63&gt;=R$7,$F63&lt;EDATE(R$7,1)),"▼",""))</f>
        <v/>
      </c>
      <c r="S63" s="74" t="str">
        <f aca="false">IF(OR($B63="",$F63=""),"",IF(AND($F63&gt;=S$7,$F63&lt;EDATE(S$7,1)),"▼",""))</f>
        <v/>
      </c>
    </row>
    <row r="64" customFormat="false" ht="19.5" hidden="false" customHeight="true" outlineLevel="0" collapsed="false">
      <c r="A64" s="48" t="str">
        <f aca="false">IF($B64="","","Renda Extra")</f>
        <v/>
      </c>
      <c r="B64" s="13" t="str">
        <f aca="false">IF('Renda Extra'!B13="","",'Renda Extra'!B13)</f>
        <v/>
      </c>
      <c r="C64" s="73" t="str">
        <f aca="false">IF($B64="","",IF('Renda Extra'!O13="","",'Renda Extra'!O13))</f>
        <v/>
      </c>
      <c r="D64" s="50" t="str">
        <f aca="false">IF($B64="","",IF('Renda Extra'!G13="","",'Renda Extra'!G13))</f>
        <v/>
      </c>
      <c r="E64" s="50" t="str">
        <f aca="false">IF($B64="","",IF('Renda Extra'!H13&lt;&gt;"",'Renda Extra'!H13,IF('Renda Extra'!I13&lt;&gt;"",'Renda Extra'!I13,"")))</f>
        <v/>
      </c>
      <c r="F64" s="50" t="str">
        <f aca="false">IF($B64="","",IF('Renda Extra'!I13="","",'Renda Extra'!I13))</f>
        <v/>
      </c>
      <c r="G64" s="36" t="str">
        <f aca="false">IF($B64="","",'Renda Extra'!N13)</f>
        <v/>
      </c>
      <c r="H64" s="74" t="str">
        <f aca="false">IF(OR($B64="",$F64=""),"",IF(AND($F64&gt;=H$7,$F64&lt;EDATE(H$7,1)),"▼",""))</f>
        <v/>
      </c>
      <c r="I64" s="74" t="str">
        <f aca="false">IF(OR($B64="",$F64=""),"",IF(AND($F64&gt;=I$7,$F64&lt;EDATE(I$7,1)),"▼",""))</f>
        <v/>
      </c>
      <c r="J64" s="74" t="str">
        <f aca="false">IF(OR($B64="",$F64=""),"",IF(AND($F64&gt;=J$7,$F64&lt;EDATE(J$7,1)),"▼",""))</f>
        <v/>
      </c>
      <c r="K64" s="74" t="str">
        <f aca="false">IF(OR($B64="",$F64=""),"",IF(AND($F64&gt;=K$7,$F64&lt;EDATE(K$7,1)),"▼",""))</f>
        <v/>
      </c>
      <c r="L64" s="74" t="str">
        <f aca="false">IF(OR($B64="",$F64=""),"",IF(AND($F64&gt;=L$7,$F64&lt;EDATE(L$7,1)),"▼",""))</f>
        <v/>
      </c>
      <c r="M64" s="74" t="str">
        <f aca="false">IF(OR($B64="",$F64=""),"",IF(AND($F64&gt;=M$7,$F64&lt;EDATE(M$7,1)),"▼",""))</f>
        <v/>
      </c>
      <c r="N64" s="74" t="str">
        <f aca="false">IF(OR($B64="",$F64=""),"",IF(AND($F64&gt;=N$7,$F64&lt;EDATE(N$7,1)),"▼",""))</f>
        <v/>
      </c>
      <c r="O64" s="74" t="str">
        <f aca="false">IF(OR($B64="",$F64=""),"",IF(AND($F64&gt;=O$7,$F64&lt;EDATE(O$7,1)),"▼",""))</f>
        <v/>
      </c>
      <c r="P64" s="74" t="str">
        <f aca="false">IF(OR($B64="",$F64=""),"",IF(AND($F64&gt;=P$7,$F64&lt;EDATE(P$7,1)),"▼",""))</f>
        <v/>
      </c>
      <c r="Q64" s="74" t="str">
        <f aca="false">IF(OR($B64="",$F64=""),"",IF(AND($F64&gt;=Q$7,$F64&lt;EDATE(Q$7,1)),"▼",""))</f>
        <v/>
      </c>
      <c r="R64" s="74" t="str">
        <f aca="false">IF(OR($B64="",$F64=""),"",IF(AND($F64&gt;=R$7,$F64&lt;EDATE(R$7,1)),"▼",""))</f>
        <v/>
      </c>
      <c r="S64" s="74" t="str">
        <f aca="false">IF(OR($B64="",$F64=""),"",IF(AND($F64&gt;=S$7,$F64&lt;EDATE(S$7,1)),"▼",""))</f>
        <v/>
      </c>
    </row>
    <row r="65" customFormat="false" ht="19.5" hidden="false" customHeight="true" outlineLevel="0" collapsed="false">
      <c r="A65" s="48" t="str">
        <f aca="false">IF($B65="","","Renda Extra")</f>
        <v/>
      </c>
      <c r="B65" s="13" t="str">
        <f aca="false">IF('Renda Extra'!B14="","",'Renda Extra'!B14)</f>
        <v/>
      </c>
      <c r="C65" s="73" t="str">
        <f aca="false">IF($B65="","",IF('Renda Extra'!O14="","",'Renda Extra'!O14))</f>
        <v/>
      </c>
      <c r="D65" s="50" t="str">
        <f aca="false">IF($B65="","",IF('Renda Extra'!G14="","",'Renda Extra'!G14))</f>
        <v/>
      </c>
      <c r="E65" s="50" t="str">
        <f aca="false">IF($B65="","",IF('Renda Extra'!H14&lt;&gt;"",'Renda Extra'!H14,IF('Renda Extra'!I14&lt;&gt;"",'Renda Extra'!I14,"")))</f>
        <v/>
      </c>
      <c r="F65" s="50" t="str">
        <f aca="false">IF($B65="","",IF('Renda Extra'!I14="","",'Renda Extra'!I14))</f>
        <v/>
      </c>
      <c r="G65" s="36" t="str">
        <f aca="false">IF($B65="","",'Renda Extra'!N14)</f>
        <v/>
      </c>
      <c r="H65" s="74" t="str">
        <f aca="false">IF(OR($B65="",$F65=""),"",IF(AND($F65&gt;=H$7,$F65&lt;EDATE(H$7,1)),"▼",""))</f>
        <v/>
      </c>
      <c r="I65" s="74" t="str">
        <f aca="false">IF(OR($B65="",$F65=""),"",IF(AND($F65&gt;=I$7,$F65&lt;EDATE(I$7,1)),"▼",""))</f>
        <v/>
      </c>
      <c r="J65" s="74" t="str">
        <f aca="false">IF(OR($B65="",$F65=""),"",IF(AND($F65&gt;=J$7,$F65&lt;EDATE(J$7,1)),"▼",""))</f>
        <v/>
      </c>
      <c r="K65" s="74" t="str">
        <f aca="false">IF(OR($B65="",$F65=""),"",IF(AND($F65&gt;=K$7,$F65&lt;EDATE(K$7,1)),"▼",""))</f>
        <v/>
      </c>
      <c r="L65" s="74" t="str">
        <f aca="false">IF(OR($B65="",$F65=""),"",IF(AND($F65&gt;=L$7,$F65&lt;EDATE(L$7,1)),"▼",""))</f>
        <v/>
      </c>
      <c r="M65" s="74" t="str">
        <f aca="false">IF(OR($B65="",$F65=""),"",IF(AND($F65&gt;=M$7,$F65&lt;EDATE(M$7,1)),"▼",""))</f>
        <v/>
      </c>
      <c r="N65" s="74" t="str">
        <f aca="false">IF(OR($B65="",$F65=""),"",IF(AND($F65&gt;=N$7,$F65&lt;EDATE(N$7,1)),"▼",""))</f>
        <v/>
      </c>
      <c r="O65" s="74" t="str">
        <f aca="false">IF(OR($B65="",$F65=""),"",IF(AND($F65&gt;=O$7,$F65&lt;EDATE(O$7,1)),"▼",""))</f>
        <v/>
      </c>
      <c r="P65" s="74" t="str">
        <f aca="false">IF(OR($B65="",$F65=""),"",IF(AND($F65&gt;=P$7,$F65&lt;EDATE(P$7,1)),"▼",""))</f>
        <v/>
      </c>
      <c r="Q65" s="74" t="str">
        <f aca="false">IF(OR($B65="",$F65=""),"",IF(AND($F65&gt;=Q$7,$F65&lt;EDATE(Q$7,1)),"▼",""))</f>
        <v/>
      </c>
      <c r="R65" s="74" t="str">
        <f aca="false">IF(OR($B65="",$F65=""),"",IF(AND($F65&gt;=R$7,$F65&lt;EDATE(R$7,1)),"▼",""))</f>
        <v/>
      </c>
      <c r="S65" s="74" t="str">
        <f aca="false">IF(OR($B65="",$F65=""),"",IF(AND($F65&gt;=S$7,$F65&lt;EDATE(S$7,1)),"▼",""))</f>
        <v/>
      </c>
    </row>
    <row r="66" customFormat="false" ht="19.5" hidden="false" customHeight="true" outlineLevel="0" collapsed="false">
      <c r="A66" s="48" t="str">
        <f aca="false">IF($B66="","","Renda Extra")</f>
        <v/>
      </c>
      <c r="B66" s="13" t="str">
        <f aca="false">IF('Renda Extra'!B15="","",'Renda Extra'!B15)</f>
        <v/>
      </c>
      <c r="C66" s="73" t="str">
        <f aca="false">IF($B66="","",IF('Renda Extra'!O15="","",'Renda Extra'!O15))</f>
        <v/>
      </c>
      <c r="D66" s="50" t="str">
        <f aca="false">IF($B66="","",IF('Renda Extra'!G15="","",'Renda Extra'!G15))</f>
        <v/>
      </c>
      <c r="E66" s="50" t="str">
        <f aca="false">IF($B66="","",IF('Renda Extra'!H15&lt;&gt;"",'Renda Extra'!H15,IF('Renda Extra'!I15&lt;&gt;"",'Renda Extra'!I15,"")))</f>
        <v/>
      </c>
      <c r="F66" s="50" t="str">
        <f aca="false">IF($B66="","",IF('Renda Extra'!I15="","",'Renda Extra'!I15))</f>
        <v/>
      </c>
      <c r="G66" s="36" t="str">
        <f aca="false">IF($B66="","",'Renda Extra'!N15)</f>
        <v/>
      </c>
      <c r="H66" s="74" t="str">
        <f aca="false">IF(OR($B66="",$F66=""),"",IF(AND($F66&gt;=H$7,$F66&lt;EDATE(H$7,1)),"▼",""))</f>
        <v/>
      </c>
      <c r="I66" s="74" t="str">
        <f aca="false">IF(OR($B66="",$F66=""),"",IF(AND($F66&gt;=I$7,$F66&lt;EDATE(I$7,1)),"▼",""))</f>
        <v/>
      </c>
      <c r="J66" s="74" t="str">
        <f aca="false">IF(OR($B66="",$F66=""),"",IF(AND($F66&gt;=J$7,$F66&lt;EDATE(J$7,1)),"▼",""))</f>
        <v/>
      </c>
      <c r="K66" s="74" t="str">
        <f aca="false">IF(OR($B66="",$F66=""),"",IF(AND($F66&gt;=K$7,$F66&lt;EDATE(K$7,1)),"▼",""))</f>
        <v/>
      </c>
      <c r="L66" s="74" t="str">
        <f aca="false">IF(OR($B66="",$F66=""),"",IF(AND($F66&gt;=L$7,$F66&lt;EDATE(L$7,1)),"▼",""))</f>
        <v/>
      </c>
      <c r="M66" s="74" t="str">
        <f aca="false">IF(OR($B66="",$F66=""),"",IF(AND($F66&gt;=M$7,$F66&lt;EDATE(M$7,1)),"▼",""))</f>
        <v/>
      </c>
      <c r="N66" s="74" t="str">
        <f aca="false">IF(OR($B66="",$F66=""),"",IF(AND($F66&gt;=N$7,$F66&lt;EDATE(N$7,1)),"▼",""))</f>
        <v/>
      </c>
      <c r="O66" s="74" t="str">
        <f aca="false">IF(OR($B66="",$F66=""),"",IF(AND($F66&gt;=O$7,$F66&lt;EDATE(O$7,1)),"▼",""))</f>
        <v/>
      </c>
      <c r="P66" s="74" t="str">
        <f aca="false">IF(OR($B66="",$F66=""),"",IF(AND($F66&gt;=P$7,$F66&lt;EDATE(P$7,1)),"▼",""))</f>
        <v/>
      </c>
      <c r="Q66" s="74" t="str">
        <f aca="false">IF(OR($B66="",$F66=""),"",IF(AND($F66&gt;=Q$7,$F66&lt;EDATE(Q$7,1)),"▼",""))</f>
        <v/>
      </c>
      <c r="R66" s="74" t="str">
        <f aca="false">IF(OR($B66="",$F66=""),"",IF(AND($F66&gt;=R$7,$F66&lt;EDATE(R$7,1)),"▼",""))</f>
        <v/>
      </c>
      <c r="S66" s="74" t="str">
        <f aca="false">IF(OR($B66="",$F66=""),"",IF(AND($F66&gt;=S$7,$F66&lt;EDATE(S$7,1)),"▼",""))</f>
        <v/>
      </c>
    </row>
    <row r="67" customFormat="false" ht="19.5" hidden="false" customHeight="true" outlineLevel="0" collapsed="false">
      <c r="A67" s="48" t="str">
        <f aca="false">IF($B67="","","Renda Extra")</f>
        <v/>
      </c>
      <c r="B67" s="13" t="str">
        <f aca="false">IF('Renda Extra'!B16="","",'Renda Extra'!B16)</f>
        <v/>
      </c>
      <c r="C67" s="73" t="str">
        <f aca="false">IF($B67="","",IF('Renda Extra'!O16="","",'Renda Extra'!O16))</f>
        <v/>
      </c>
      <c r="D67" s="50" t="str">
        <f aca="false">IF($B67="","",IF('Renda Extra'!G16="","",'Renda Extra'!G16))</f>
        <v/>
      </c>
      <c r="E67" s="50" t="str">
        <f aca="false">IF($B67="","",IF('Renda Extra'!H16&lt;&gt;"",'Renda Extra'!H16,IF('Renda Extra'!I16&lt;&gt;"",'Renda Extra'!I16,"")))</f>
        <v/>
      </c>
      <c r="F67" s="50" t="str">
        <f aca="false">IF($B67="","",IF('Renda Extra'!I16="","",'Renda Extra'!I16))</f>
        <v/>
      </c>
      <c r="G67" s="36" t="str">
        <f aca="false">IF($B67="","",'Renda Extra'!N16)</f>
        <v/>
      </c>
      <c r="H67" s="74" t="str">
        <f aca="false">IF(OR($B67="",$F67=""),"",IF(AND($F67&gt;=H$7,$F67&lt;EDATE(H$7,1)),"▼",""))</f>
        <v/>
      </c>
      <c r="I67" s="74" t="str">
        <f aca="false">IF(OR($B67="",$F67=""),"",IF(AND($F67&gt;=I$7,$F67&lt;EDATE(I$7,1)),"▼",""))</f>
        <v/>
      </c>
      <c r="J67" s="74" t="str">
        <f aca="false">IF(OR($B67="",$F67=""),"",IF(AND($F67&gt;=J$7,$F67&lt;EDATE(J$7,1)),"▼",""))</f>
        <v/>
      </c>
      <c r="K67" s="74" t="str">
        <f aca="false">IF(OR($B67="",$F67=""),"",IF(AND($F67&gt;=K$7,$F67&lt;EDATE(K$7,1)),"▼",""))</f>
        <v/>
      </c>
      <c r="L67" s="74" t="str">
        <f aca="false">IF(OR($B67="",$F67=""),"",IF(AND($F67&gt;=L$7,$F67&lt;EDATE(L$7,1)),"▼",""))</f>
        <v/>
      </c>
      <c r="M67" s="74" t="str">
        <f aca="false">IF(OR($B67="",$F67=""),"",IF(AND($F67&gt;=M$7,$F67&lt;EDATE(M$7,1)),"▼",""))</f>
        <v/>
      </c>
      <c r="N67" s="74" t="str">
        <f aca="false">IF(OR($B67="",$F67=""),"",IF(AND($F67&gt;=N$7,$F67&lt;EDATE(N$7,1)),"▼",""))</f>
        <v/>
      </c>
      <c r="O67" s="74" t="str">
        <f aca="false">IF(OR($B67="",$F67=""),"",IF(AND($F67&gt;=O$7,$F67&lt;EDATE(O$7,1)),"▼",""))</f>
        <v/>
      </c>
      <c r="P67" s="74" t="str">
        <f aca="false">IF(OR($B67="",$F67=""),"",IF(AND($F67&gt;=P$7,$F67&lt;EDATE(P$7,1)),"▼",""))</f>
        <v/>
      </c>
      <c r="Q67" s="74" t="str">
        <f aca="false">IF(OR($B67="",$F67=""),"",IF(AND($F67&gt;=Q$7,$F67&lt;EDATE(Q$7,1)),"▼",""))</f>
        <v/>
      </c>
      <c r="R67" s="74" t="str">
        <f aca="false">IF(OR($B67="",$F67=""),"",IF(AND($F67&gt;=R$7,$F67&lt;EDATE(R$7,1)),"▼",""))</f>
        <v/>
      </c>
      <c r="S67" s="74" t="str">
        <f aca="false">IF(OR($B67="",$F67=""),"",IF(AND($F67&gt;=S$7,$F67&lt;EDATE(S$7,1)),"▼",""))</f>
        <v/>
      </c>
    </row>
    <row r="68" customFormat="false" ht="19.5" hidden="false" customHeight="true" outlineLevel="0" collapsed="false">
      <c r="A68" s="48" t="str">
        <f aca="false">IF($B68="","","Renda Extra")</f>
        <v/>
      </c>
      <c r="B68" s="13" t="str">
        <f aca="false">IF('Renda Extra'!B17="","",'Renda Extra'!B17)</f>
        <v/>
      </c>
      <c r="C68" s="73" t="str">
        <f aca="false">IF($B68="","",IF('Renda Extra'!O17="","",'Renda Extra'!O17))</f>
        <v/>
      </c>
      <c r="D68" s="50" t="str">
        <f aca="false">IF($B68="","",IF('Renda Extra'!G17="","",'Renda Extra'!G17))</f>
        <v/>
      </c>
      <c r="E68" s="50" t="str">
        <f aca="false">IF($B68="","",IF('Renda Extra'!H17&lt;&gt;"",'Renda Extra'!H17,IF('Renda Extra'!I17&lt;&gt;"",'Renda Extra'!I17,"")))</f>
        <v/>
      </c>
      <c r="F68" s="50" t="str">
        <f aca="false">IF($B68="","",IF('Renda Extra'!I17="","",'Renda Extra'!I17))</f>
        <v/>
      </c>
      <c r="G68" s="36" t="str">
        <f aca="false">IF($B68="","",'Renda Extra'!N17)</f>
        <v/>
      </c>
      <c r="H68" s="74" t="str">
        <f aca="false">IF(OR($B68="",$F68=""),"",IF(AND($F68&gt;=H$7,$F68&lt;EDATE(H$7,1)),"▼",""))</f>
        <v/>
      </c>
      <c r="I68" s="74" t="str">
        <f aca="false">IF(OR($B68="",$F68=""),"",IF(AND($F68&gt;=I$7,$F68&lt;EDATE(I$7,1)),"▼",""))</f>
        <v/>
      </c>
      <c r="J68" s="74" t="str">
        <f aca="false">IF(OR($B68="",$F68=""),"",IF(AND($F68&gt;=J$7,$F68&lt;EDATE(J$7,1)),"▼",""))</f>
        <v/>
      </c>
      <c r="K68" s="74" t="str">
        <f aca="false">IF(OR($B68="",$F68=""),"",IF(AND($F68&gt;=K$7,$F68&lt;EDATE(K$7,1)),"▼",""))</f>
        <v/>
      </c>
      <c r="L68" s="74" t="str">
        <f aca="false">IF(OR($B68="",$F68=""),"",IF(AND($F68&gt;=L$7,$F68&lt;EDATE(L$7,1)),"▼",""))</f>
        <v/>
      </c>
      <c r="M68" s="74" t="str">
        <f aca="false">IF(OR($B68="",$F68=""),"",IF(AND($F68&gt;=M$7,$F68&lt;EDATE(M$7,1)),"▼",""))</f>
        <v/>
      </c>
      <c r="N68" s="74" t="str">
        <f aca="false">IF(OR($B68="",$F68=""),"",IF(AND($F68&gt;=N$7,$F68&lt;EDATE(N$7,1)),"▼",""))</f>
        <v/>
      </c>
      <c r="O68" s="74" t="str">
        <f aca="false">IF(OR($B68="",$F68=""),"",IF(AND($F68&gt;=O$7,$F68&lt;EDATE(O$7,1)),"▼",""))</f>
        <v/>
      </c>
      <c r="P68" s="74" t="str">
        <f aca="false">IF(OR($B68="",$F68=""),"",IF(AND($F68&gt;=P$7,$F68&lt;EDATE(P$7,1)),"▼",""))</f>
        <v/>
      </c>
      <c r="Q68" s="74" t="str">
        <f aca="false">IF(OR($B68="",$F68=""),"",IF(AND($F68&gt;=Q$7,$F68&lt;EDATE(Q$7,1)),"▼",""))</f>
        <v/>
      </c>
      <c r="R68" s="74" t="str">
        <f aca="false">IF(OR($B68="",$F68=""),"",IF(AND($F68&gt;=R$7,$F68&lt;EDATE(R$7,1)),"▼",""))</f>
        <v/>
      </c>
      <c r="S68" s="74" t="str">
        <f aca="false">IF(OR($B68="",$F68=""),"",IF(AND($F68&gt;=S$7,$F68&lt;EDATE(S$7,1)),"▼",""))</f>
        <v/>
      </c>
    </row>
    <row r="69" customFormat="false" ht="19.5" hidden="false" customHeight="true" outlineLevel="0" collapsed="false">
      <c r="A69" s="48" t="str">
        <f aca="false">IF($B69="","","Renda Extra")</f>
        <v/>
      </c>
      <c r="B69" s="13" t="str">
        <f aca="false">IF('Renda Extra'!B18="","",'Renda Extra'!B18)</f>
        <v/>
      </c>
      <c r="C69" s="73" t="str">
        <f aca="false">IF($B69="","",IF('Renda Extra'!O18="","",'Renda Extra'!O18))</f>
        <v/>
      </c>
      <c r="D69" s="50" t="str">
        <f aca="false">IF($B69="","",IF('Renda Extra'!G18="","",'Renda Extra'!G18))</f>
        <v/>
      </c>
      <c r="E69" s="50" t="str">
        <f aca="false">IF($B69="","",IF('Renda Extra'!H18&lt;&gt;"",'Renda Extra'!H18,IF('Renda Extra'!I18&lt;&gt;"",'Renda Extra'!I18,"")))</f>
        <v/>
      </c>
      <c r="F69" s="50" t="str">
        <f aca="false">IF($B69="","",IF('Renda Extra'!I18="","",'Renda Extra'!I18))</f>
        <v/>
      </c>
      <c r="G69" s="36" t="str">
        <f aca="false">IF($B69="","",'Renda Extra'!N18)</f>
        <v/>
      </c>
      <c r="H69" s="74" t="str">
        <f aca="false">IF(OR($B69="",$F69=""),"",IF(AND($F69&gt;=H$7,$F69&lt;EDATE(H$7,1)),"▼",""))</f>
        <v/>
      </c>
      <c r="I69" s="74" t="str">
        <f aca="false">IF(OR($B69="",$F69=""),"",IF(AND($F69&gt;=I$7,$F69&lt;EDATE(I$7,1)),"▼",""))</f>
        <v/>
      </c>
      <c r="J69" s="74" t="str">
        <f aca="false">IF(OR($B69="",$F69=""),"",IF(AND($F69&gt;=J$7,$F69&lt;EDATE(J$7,1)),"▼",""))</f>
        <v/>
      </c>
      <c r="K69" s="74" t="str">
        <f aca="false">IF(OR($B69="",$F69=""),"",IF(AND($F69&gt;=K$7,$F69&lt;EDATE(K$7,1)),"▼",""))</f>
        <v/>
      </c>
      <c r="L69" s="74" t="str">
        <f aca="false">IF(OR($B69="",$F69=""),"",IF(AND($F69&gt;=L$7,$F69&lt;EDATE(L$7,1)),"▼",""))</f>
        <v/>
      </c>
      <c r="M69" s="74" t="str">
        <f aca="false">IF(OR($B69="",$F69=""),"",IF(AND($F69&gt;=M$7,$F69&lt;EDATE(M$7,1)),"▼",""))</f>
        <v/>
      </c>
      <c r="N69" s="74" t="str">
        <f aca="false">IF(OR($B69="",$F69=""),"",IF(AND($F69&gt;=N$7,$F69&lt;EDATE(N$7,1)),"▼",""))</f>
        <v/>
      </c>
      <c r="O69" s="74" t="str">
        <f aca="false">IF(OR($B69="",$F69=""),"",IF(AND($F69&gt;=O$7,$F69&lt;EDATE(O$7,1)),"▼",""))</f>
        <v/>
      </c>
      <c r="P69" s="74" t="str">
        <f aca="false">IF(OR($B69="",$F69=""),"",IF(AND($F69&gt;=P$7,$F69&lt;EDATE(P$7,1)),"▼",""))</f>
        <v/>
      </c>
      <c r="Q69" s="74" t="str">
        <f aca="false">IF(OR($B69="",$F69=""),"",IF(AND($F69&gt;=Q$7,$F69&lt;EDATE(Q$7,1)),"▼",""))</f>
        <v/>
      </c>
      <c r="R69" s="74" t="str">
        <f aca="false">IF(OR($B69="",$F69=""),"",IF(AND($F69&gt;=R$7,$F69&lt;EDATE(R$7,1)),"▼",""))</f>
        <v/>
      </c>
      <c r="S69" s="74" t="str">
        <f aca="false">IF(OR($B69="",$F69=""),"",IF(AND($F69&gt;=S$7,$F69&lt;EDATE(S$7,1)),"▼",""))</f>
        <v/>
      </c>
    </row>
    <row r="70" customFormat="false" ht="19.5" hidden="false" customHeight="true" outlineLevel="0" collapsed="false">
      <c r="A70" s="48" t="str">
        <f aca="false">IF($B70="","","Renda Extra")</f>
        <v/>
      </c>
      <c r="B70" s="13" t="str">
        <f aca="false">IF('Renda Extra'!B19="","",'Renda Extra'!B19)</f>
        <v/>
      </c>
      <c r="C70" s="73" t="str">
        <f aca="false">IF($B70="","",IF('Renda Extra'!O19="","",'Renda Extra'!O19))</f>
        <v/>
      </c>
      <c r="D70" s="50" t="str">
        <f aca="false">IF($B70="","",IF('Renda Extra'!G19="","",'Renda Extra'!G19))</f>
        <v/>
      </c>
      <c r="E70" s="50" t="str">
        <f aca="false">IF($B70="","",IF('Renda Extra'!H19&lt;&gt;"",'Renda Extra'!H19,IF('Renda Extra'!I19&lt;&gt;"",'Renda Extra'!I19,"")))</f>
        <v/>
      </c>
      <c r="F70" s="50" t="str">
        <f aca="false">IF($B70="","",IF('Renda Extra'!I19="","",'Renda Extra'!I19))</f>
        <v/>
      </c>
      <c r="G70" s="36" t="str">
        <f aca="false">IF($B70="","",'Renda Extra'!N19)</f>
        <v/>
      </c>
      <c r="H70" s="74" t="str">
        <f aca="false">IF(OR($B70="",$F70=""),"",IF(AND($F70&gt;=H$7,$F70&lt;EDATE(H$7,1)),"▼",""))</f>
        <v/>
      </c>
      <c r="I70" s="74" t="str">
        <f aca="false">IF(OR($B70="",$F70=""),"",IF(AND($F70&gt;=I$7,$F70&lt;EDATE(I$7,1)),"▼",""))</f>
        <v/>
      </c>
      <c r="J70" s="74" t="str">
        <f aca="false">IF(OR($B70="",$F70=""),"",IF(AND($F70&gt;=J$7,$F70&lt;EDATE(J$7,1)),"▼",""))</f>
        <v/>
      </c>
      <c r="K70" s="74" t="str">
        <f aca="false">IF(OR($B70="",$F70=""),"",IF(AND($F70&gt;=K$7,$F70&lt;EDATE(K$7,1)),"▼",""))</f>
        <v/>
      </c>
      <c r="L70" s="74" t="str">
        <f aca="false">IF(OR($B70="",$F70=""),"",IF(AND($F70&gt;=L$7,$F70&lt;EDATE(L$7,1)),"▼",""))</f>
        <v/>
      </c>
      <c r="M70" s="74" t="str">
        <f aca="false">IF(OR($B70="",$F70=""),"",IF(AND($F70&gt;=M$7,$F70&lt;EDATE(M$7,1)),"▼",""))</f>
        <v/>
      </c>
      <c r="N70" s="74" t="str">
        <f aca="false">IF(OR($B70="",$F70=""),"",IF(AND($F70&gt;=N$7,$F70&lt;EDATE(N$7,1)),"▼",""))</f>
        <v/>
      </c>
      <c r="O70" s="74" t="str">
        <f aca="false">IF(OR($B70="",$F70=""),"",IF(AND($F70&gt;=O$7,$F70&lt;EDATE(O$7,1)),"▼",""))</f>
        <v/>
      </c>
      <c r="P70" s="74" t="str">
        <f aca="false">IF(OR($B70="",$F70=""),"",IF(AND($F70&gt;=P$7,$F70&lt;EDATE(P$7,1)),"▼",""))</f>
        <v/>
      </c>
      <c r="Q70" s="74" t="str">
        <f aca="false">IF(OR($B70="",$F70=""),"",IF(AND($F70&gt;=Q$7,$F70&lt;EDATE(Q$7,1)),"▼",""))</f>
        <v/>
      </c>
      <c r="R70" s="74" t="str">
        <f aca="false">IF(OR($B70="",$F70=""),"",IF(AND($F70&gt;=R$7,$F70&lt;EDATE(R$7,1)),"▼",""))</f>
        <v/>
      </c>
      <c r="S70" s="74" t="str">
        <f aca="false">IF(OR($B70="",$F70=""),"",IF(AND($F70&gt;=S$7,$F70&lt;EDATE(S$7,1)),"▼",""))</f>
        <v/>
      </c>
    </row>
    <row r="71" customFormat="false" ht="19.5" hidden="false" customHeight="true" outlineLevel="0" collapsed="false">
      <c r="A71" s="48" t="str">
        <f aca="false">IF($B71="","","Renda Extra")</f>
        <v/>
      </c>
      <c r="B71" s="13" t="str">
        <f aca="false">IF('Renda Extra'!B20="","",'Renda Extra'!B20)</f>
        <v/>
      </c>
      <c r="C71" s="73" t="str">
        <f aca="false">IF($B71="","",IF('Renda Extra'!O20="","",'Renda Extra'!O20))</f>
        <v/>
      </c>
      <c r="D71" s="50" t="str">
        <f aca="false">IF($B71="","",IF('Renda Extra'!G20="","",'Renda Extra'!G20))</f>
        <v/>
      </c>
      <c r="E71" s="50" t="str">
        <f aca="false">IF($B71="","",IF('Renda Extra'!H20&lt;&gt;"",'Renda Extra'!H20,IF('Renda Extra'!I20&lt;&gt;"",'Renda Extra'!I20,"")))</f>
        <v/>
      </c>
      <c r="F71" s="50" t="str">
        <f aca="false">IF($B71="","",IF('Renda Extra'!I20="","",'Renda Extra'!I20))</f>
        <v/>
      </c>
      <c r="G71" s="36" t="str">
        <f aca="false">IF($B71="","",'Renda Extra'!N20)</f>
        <v/>
      </c>
      <c r="H71" s="74" t="str">
        <f aca="false">IF(OR($B71="",$F71=""),"",IF(AND($F71&gt;=H$7,$F71&lt;EDATE(H$7,1)),"▼",""))</f>
        <v/>
      </c>
      <c r="I71" s="74" t="str">
        <f aca="false">IF(OR($B71="",$F71=""),"",IF(AND($F71&gt;=I$7,$F71&lt;EDATE(I$7,1)),"▼",""))</f>
        <v/>
      </c>
      <c r="J71" s="74" t="str">
        <f aca="false">IF(OR($B71="",$F71=""),"",IF(AND($F71&gt;=J$7,$F71&lt;EDATE(J$7,1)),"▼",""))</f>
        <v/>
      </c>
      <c r="K71" s="74" t="str">
        <f aca="false">IF(OR($B71="",$F71=""),"",IF(AND($F71&gt;=K$7,$F71&lt;EDATE(K$7,1)),"▼",""))</f>
        <v/>
      </c>
      <c r="L71" s="74" t="str">
        <f aca="false">IF(OR($B71="",$F71=""),"",IF(AND($F71&gt;=L$7,$F71&lt;EDATE(L$7,1)),"▼",""))</f>
        <v/>
      </c>
      <c r="M71" s="74" t="str">
        <f aca="false">IF(OR($B71="",$F71=""),"",IF(AND($F71&gt;=M$7,$F71&lt;EDATE(M$7,1)),"▼",""))</f>
        <v/>
      </c>
      <c r="N71" s="74" t="str">
        <f aca="false">IF(OR($B71="",$F71=""),"",IF(AND($F71&gt;=N$7,$F71&lt;EDATE(N$7,1)),"▼",""))</f>
        <v/>
      </c>
      <c r="O71" s="74" t="str">
        <f aca="false">IF(OR($B71="",$F71=""),"",IF(AND($F71&gt;=O$7,$F71&lt;EDATE(O$7,1)),"▼",""))</f>
        <v/>
      </c>
      <c r="P71" s="74" t="str">
        <f aca="false">IF(OR($B71="",$F71=""),"",IF(AND($F71&gt;=P$7,$F71&lt;EDATE(P$7,1)),"▼",""))</f>
        <v/>
      </c>
      <c r="Q71" s="74" t="str">
        <f aca="false">IF(OR($B71="",$F71=""),"",IF(AND($F71&gt;=Q$7,$F71&lt;EDATE(Q$7,1)),"▼",""))</f>
        <v/>
      </c>
      <c r="R71" s="74" t="str">
        <f aca="false">IF(OR($B71="",$F71=""),"",IF(AND($F71&gt;=R$7,$F71&lt;EDATE(R$7,1)),"▼",""))</f>
        <v/>
      </c>
      <c r="S71" s="74" t="str">
        <f aca="false">IF(OR($B71="",$F71=""),"",IF(AND($F71&gt;=S$7,$F71&lt;EDATE(S$7,1)),"▼",""))</f>
        <v/>
      </c>
    </row>
    <row r="72" customFormat="false" ht="19.5" hidden="false" customHeight="true" outlineLevel="0" collapsed="false">
      <c r="A72" s="48" t="str">
        <f aca="false">IF($B72="","","Renda Extra")</f>
        <v/>
      </c>
      <c r="B72" s="13" t="str">
        <f aca="false">IF('Renda Extra'!B21="","",'Renda Extra'!B21)</f>
        <v/>
      </c>
      <c r="C72" s="73" t="str">
        <f aca="false">IF($B72="","",IF('Renda Extra'!O21="","",'Renda Extra'!O21))</f>
        <v/>
      </c>
      <c r="D72" s="50" t="str">
        <f aca="false">IF($B72="","",IF('Renda Extra'!G21="","",'Renda Extra'!G21))</f>
        <v/>
      </c>
      <c r="E72" s="50" t="str">
        <f aca="false">IF($B72="","",IF('Renda Extra'!H21&lt;&gt;"",'Renda Extra'!H21,IF('Renda Extra'!I21&lt;&gt;"",'Renda Extra'!I21,"")))</f>
        <v/>
      </c>
      <c r="F72" s="50" t="str">
        <f aca="false">IF($B72="","",IF('Renda Extra'!I21="","",'Renda Extra'!I21))</f>
        <v/>
      </c>
      <c r="G72" s="36" t="str">
        <f aca="false">IF($B72="","",'Renda Extra'!N21)</f>
        <v/>
      </c>
      <c r="H72" s="74" t="str">
        <f aca="false">IF(OR($B72="",$F72=""),"",IF(AND($F72&gt;=H$7,$F72&lt;EDATE(H$7,1)),"▼",""))</f>
        <v/>
      </c>
      <c r="I72" s="74" t="str">
        <f aca="false">IF(OR($B72="",$F72=""),"",IF(AND($F72&gt;=I$7,$F72&lt;EDATE(I$7,1)),"▼",""))</f>
        <v/>
      </c>
      <c r="J72" s="74" t="str">
        <f aca="false">IF(OR($B72="",$F72=""),"",IF(AND($F72&gt;=J$7,$F72&lt;EDATE(J$7,1)),"▼",""))</f>
        <v/>
      </c>
      <c r="K72" s="74" t="str">
        <f aca="false">IF(OR($B72="",$F72=""),"",IF(AND($F72&gt;=K$7,$F72&lt;EDATE(K$7,1)),"▼",""))</f>
        <v/>
      </c>
      <c r="L72" s="74" t="str">
        <f aca="false">IF(OR($B72="",$F72=""),"",IF(AND($F72&gt;=L$7,$F72&lt;EDATE(L$7,1)),"▼",""))</f>
        <v/>
      </c>
      <c r="M72" s="74" t="str">
        <f aca="false">IF(OR($B72="",$F72=""),"",IF(AND($F72&gt;=M$7,$F72&lt;EDATE(M$7,1)),"▼",""))</f>
        <v/>
      </c>
      <c r="N72" s="74" t="str">
        <f aca="false">IF(OR($B72="",$F72=""),"",IF(AND($F72&gt;=N$7,$F72&lt;EDATE(N$7,1)),"▼",""))</f>
        <v/>
      </c>
      <c r="O72" s="74" t="str">
        <f aca="false">IF(OR($B72="",$F72=""),"",IF(AND($F72&gt;=O$7,$F72&lt;EDATE(O$7,1)),"▼",""))</f>
        <v/>
      </c>
      <c r="P72" s="74" t="str">
        <f aca="false">IF(OR($B72="",$F72=""),"",IF(AND($F72&gt;=P$7,$F72&lt;EDATE(P$7,1)),"▼",""))</f>
        <v/>
      </c>
      <c r="Q72" s="74" t="str">
        <f aca="false">IF(OR($B72="",$F72=""),"",IF(AND($F72&gt;=Q$7,$F72&lt;EDATE(Q$7,1)),"▼",""))</f>
        <v/>
      </c>
      <c r="R72" s="74" t="str">
        <f aca="false">IF(OR($B72="",$F72=""),"",IF(AND($F72&gt;=R$7,$F72&lt;EDATE(R$7,1)),"▼",""))</f>
        <v/>
      </c>
      <c r="S72" s="74" t="str">
        <f aca="false">IF(OR($B72="",$F72=""),"",IF(AND($F72&gt;=S$7,$F72&lt;EDATE(S$7,1)),"▼",""))</f>
        <v/>
      </c>
    </row>
  </sheetData>
  <mergeCells count="8">
    <mergeCell ref="A1:S1"/>
    <mergeCell ref="A2:P2"/>
    <mergeCell ref="Q2:S2"/>
    <mergeCell ref="A8:S8"/>
    <mergeCell ref="A21:S21"/>
    <mergeCell ref="A34:S34"/>
    <mergeCell ref="A47:S47"/>
    <mergeCell ref="A60:S60"/>
  </mergeCells>
  <conditionalFormatting sqref="H8:S72">
    <cfRule type="expression" priority="2" aboveAverage="0" equalAverage="0" bottom="0" percent="0" rank="0" text="" dxfId="2">
      <formula>AND(AND(ISNUMBER($D8),ISNUMBER($E8),$D8&lt;=EDATE(H$7,1)-1,$E8&gt;=H$7),$C8="Concluído")</formula>
    </cfRule>
    <cfRule type="expression" priority="3" aboveAverage="0" equalAverage="0" bottom="0" percent="0" rank="0" text="" dxfId="3">
      <formula>AND(AND(ISNUMBER($D8),ISNUMBER($E8),$D8&lt;=EDATE(H$7,1)-1,$E8&gt;=H$7),$C8="Em andamento")</formula>
    </cfRule>
    <cfRule type="expression" priority="4" aboveAverage="0" equalAverage="0" bottom="0" percent="0" rank="0" text="" dxfId="4">
      <formula>AND(ISNUMBER($D8),ISNUMBER($E8),$D8&lt;=EDATE(H$7,1)-1,$E8&gt;=H$7)</formula>
    </cfRule>
  </conditionalFormatting>
  <conditionalFormatting sqref="H7:S7">
    <cfRule type="expression" priority="5" aboveAverage="0" equalAverage="0" bottom="0" percent="0" rank="0" text="" dxfId="5">
      <formula>AND(TODAY()&gt;=H$7,TODAY()&lt;EDATE(H$7,1))</formula>
    </cfRule>
  </conditionalFormatting>
  <conditionalFormatting sqref="C8:C72">
    <cfRule type="cellIs" priority="6" operator="equal" aboveAverage="0" equalAverage="0" bottom="0" percent="0" rank="0" text="" dxfId="6">
      <formula>"Concluído"</formula>
    </cfRule>
    <cfRule type="cellIs" priority="7" operator="equal" aboveAverage="0" equalAverage="0" bottom="0" percent="0" rank="0" text="" dxfId="7">
      <formula>"Em andamento"</formula>
    </cfRule>
  </conditionalFormatting>
  <conditionalFormatting sqref="G8:G72">
    <cfRule type="dataBar" priority="8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{1228709F-6440-45CB-BEE6-002F3E52EB76}</x14:id>
        </ext>
      </extLst>
    </cfRule>
  </conditionalFormatting>
  <dataValidations count="1">
    <dataValidation allowBlank="false" error="Valor inválido." errorStyle="stop" operator="greaterThan" showDropDown="false" showErrorMessage="true" showInputMessage="false" sqref="B5" type="date">
      <formula1>36526</formula1>
      <formula2>0</formula2>
    </dataValidation>
  </dataValidations>
  <hyperlinks>
    <hyperlink ref="Q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28709F-6440-45CB-BEE6-002F3E52EB7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G8:G72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6" min="10" style="0" width="9.51"/>
  </cols>
  <sheetData>
    <row r="1" customFormat="false" ht="37.5" hidden="false" customHeight="true" outlineLevel="0" collapsed="false">
      <c r="A1" s="20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9.5" hidden="false" customHeight="true" outlineLevel="0" collapsed="false">
      <c r="A2" s="21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 t="s">
        <v>56</v>
      </c>
      <c r="O2" s="22"/>
      <c r="P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7.5" hidden="false" customHeight="true" outlineLevel="0" collapsed="false"/>
    <row r="5" customFormat="false" ht="24" hidden="false" customHeight="true" outlineLevel="0" collapsed="false">
      <c r="B5" s="69" t="s">
        <v>105</v>
      </c>
      <c r="C5" s="76" t="n">
        <v>46296</v>
      </c>
      <c r="D5" s="77" t="s">
        <v>106</v>
      </c>
      <c r="E5" s="78" t="n">
        <f aca="false">DATE(YEAR($C$5),MONTH($C$5),1)</f>
        <v>46296</v>
      </c>
      <c r="F5" s="77" t="s">
        <v>107</v>
      </c>
      <c r="G5" s="79" t="n">
        <f aca="true">MAX(0,MIN(1,(TODAY()-$E$5+1)/(EOMONTH($E$5,0)-$E$5+1)))</f>
        <v>0.0967741935483871</v>
      </c>
      <c r="H5" s="30" t="s">
        <v>108</v>
      </c>
    </row>
    <row r="7" customFormat="false" ht="15" hidden="false" customHeight="true" outlineLevel="0" collapsed="false">
      <c r="B7" s="23" t="s">
        <v>109</v>
      </c>
      <c r="C7" s="23"/>
      <c r="D7" s="23" t="s">
        <v>110</v>
      </c>
      <c r="E7" s="23"/>
      <c r="F7" s="23" t="s">
        <v>111</v>
      </c>
      <c r="G7" s="23" t="s">
        <v>112</v>
      </c>
      <c r="H7" s="23"/>
    </row>
    <row r="8" customFormat="false" ht="27.75" hidden="false" customHeight="true" outlineLevel="0" collapsed="false">
      <c r="B8" s="80" t="n">
        <f aca="false">D18</f>
        <v>4.5</v>
      </c>
      <c r="C8" s="80"/>
      <c r="D8" s="80" t="n">
        <f aca="false">C18</f>
        <v>73</v>
      </c>
      <c r="E8" s="80"/>
      <c r="F8" s="26" t="n">
        <f aca="false">E18</f>
        <v>0.0616438356164384</v>
      </c>
      <c r="G8" s="24" t="n">
        <f aca="false">COUNTIF(J14:P14,"&gt;0")+COUNTIF(J16:P16,"&gt;0")+COUNTIF(J18:P18,"&gt;0")+COUNTIF(J20:P20,"&gt;0")+COUNTIF(J22:P22,"&gt;0")+COUNTIF(J24:P24,"&gt;0")</f>
        <v>3</v>
      </c>
      <c r="H8" s="24"/>
    </row>
    <row r="9" customFormat="false" ht="3.75" hidden="false" customHeight="true" outlineLevel="0" collapsed="false">
      <c r="B9" s="27"/>
      <c r="C9" s="27"/>
      <c r="D9" s="28"/>
      <c r="E9" s="28"/>
      <c r="F9" s="81"/>
      <c r="G9" s="27"/>
      <c r="H9" s="27"/>
    </row>
    <row r="10" customFormat="false" ht="7.5" hidden="false" customHeight="true" outlineLevel="0" collapsed="false"/>
    <row r="11" customFormat="false" ht="21.75" hidden="false" customHeight="true" outlineLevel="0" collapsed="false">
      <c r="B11" s="4" t="s">
        <v>113</v>
      </c>
      <c r="C11" s="4"/>
      <c r="D11" s="4"/>
      <c r="E11" s="4"/>
      <c r="F11" s="4"/>
      <c r="G11" s="4"/>
      <c r="H11" s="4"/>
      <c r="J11" s="4" t="s">
        <v>114</v>
      </c>
      <c r="K11" s="4"/>
      <c r="L11" s="4"/>
      <c r="M11" s="4"/>
      <c r="N11" s="4"/>
      <c r="O11" s="4"/>
      <c r="P11" s="4"/>
    </row>
    <row r="12" customFormat="false" ht="25.5" hidden="false" customHeight="true" outlineLevel="0" collapsed="false">
      <c r="B12" s="32" t="s">
        <v>65</v>
      </c>
      <c r="C12" s="32" t="s">
        <v>82</v>
      </c>
      <c r="D12" s="32" t="s">
        <v>115</v>
      </c>
      <c r="E12" s="32" t="s">
        <v>116</v>
      </c>
      <c r="F12" s="32" t="s">
        <v>71</v>
      </c>
      <c r="G12" s="32" t="s">
        <v>117</v>
      </c>
      <c r="H12" s="32" t="s">
        <v>118</v>
      </c>
      <c r="J12" s="32" t="s">
        <v>119</v>
      </c>
      <c r="K12" s="32" t="s">
        <v>120</v>
      </c>
      <c r="L12" s="32" t="s">
        <v>121</v>
      </c>
      <c r="M12" s="32" t="s">
        <v>122</v>
      </c>
      <c r="N12" s="32" t="s">
        <v>123</v>
      </c>
      <c r="O12" s="32" t="s">
        <v>124</v>
      </c>
      <c r="P12" s="32" t="s">
        <v>125</v>
      </c>
    </row>
    <row r="13" customFormat="false" ht="21.75" hidden="false" customHeight="true" outlineLevel="0" collapsed="false">
      <c r="B13" s="82" t="str">
        <f aca="false">Listas!$E$6</f>
        <v>Pós-graduação</v>
      </c>
      <c r="C13" s="53" t="n">
        <v>20</v>
      </c>
      <c r="D13" s="61" t="n">
        <f aca="false">SUMIFS('Diário de Estudo'!$D$7:$D$506,'Diário de Estudo'!$B$7:$B$506,$B13,'Diário de Estudo'!$A$7:$A$506,"&gt;="&amp;$E$5,'Diário de Estudo'!$A$7:$A$506,"&lt;"&amp;EDATE($E$5,1))</f>
        <v>2</v>
      </c>
      <c r="E13" s="41" t="n">
        <f aca="false">IF(C13=0,0,D13/C13)</f>
        <v>0.1</v>
      </c>
      <c r="F13" s="42" t="str">
        <f aca="false">REPT("█",MIN(10,ROUND(E13*10,0)))&amp;REPT("░",10-MIN(10,ROUND(E13*10,0)))</f>
        <v>█░░░░░░░░░</v>
      </c>
      <c r="G13" s="61" t="n">
        <f aca="false">MAX(0,C13-D13)</f>
        <v>18</v>
      </c>
      <c r="H13" s="39" t="str">
        <f aca="false">IF(C13=0,"—",IF(D13&gt;=C13,"Meta batida",IF(D13&gt;=C13*$G$5,"No ritmo","Abaixo do ritmo")))</f>
        <v>No ritmo</v>
      </c>
      <c r="J13" s="83" t="str">
        <f aca="false">IF(MONTH($E$5-WEEKDAY($E$5,2)+1+0)=MONTH($E$5),$E$5-WEEKDAY($E$5,2)+1+0,"")</f>
        <v/>
      </c>
      <c r="K13" s="83" t="str">
        <f aca="false">IF(MONTH($E$5-WEEKDAY($E$5,2)+1+1)=MONTH($E$5),$E$5-WEEKDAY($E$5,2)+1+1,"")</f>
        <v/>
      </c>
      <c r="L13" s="83" t="str">
        <f aca="false">IF(MONTH($E$5-WEEKDAY($E$5,2)+1+2)=MONTH($E$5),$E$5-WEEKDAY($E$5,2)+1+2,"")</f>
        <v/>
      </c>
      <c r="M13" s="83" t="n">
        <f aca="false">IF(MONTH($E$5-WEEKDAY($E$5,2)+1+3)=MONTH($E$5),$E$5-WEEKDAY($E$5,2)+1+3,"")</f>
        <v>46296</v>
      </c>
      <c r="N13" s="83" t="n">
        <f aca="false">IF(MONTH($E$5-WEEKDAY($E$5,2)+1+4)=MONTH($E$5),$E$5-WEEKDAY($E$5,2)+1+4,"")</f>
        <v>46297</v>
      </c>
      <c r="O13" s="83" t="n">
        <f aca="false">IF(MONTH($E$5-WEEKDAY($E$5,2)+1+5)=MONTH($E$5),$E$5-WEEKDAY($E$5,2)+1+5,"")</f>
        <v>46298</v>
      </c>
      <c r="P13" s="83" t="n">
        <f aca="false">IF(MONTH($E$5-WEEKDAY($E$5,2)+1+6)=MONTH($E$5),$E$5-WEEKDAY($E$5,2)+1+6,"")</f>
        <v>46299</v>
      </c>
    </row>
    <row r="14" customFormat="false" ht="21.75" hidden="false" customHeight="true" outlineLevel="0" collapsed="false">
      <c r="B14" s="82" t="str">
        <f aca="false">Listas!$E$7</f>
        <v>Concurso</v>
      </c>
      <c r="C14" s="53" t="n">
        <v>20</v>
      </c>
      <c r="D14" s="61" t="n">
        <f aca="false">SUMIFS('Diário de Estudo'!$D$7:$D$506,'Diário de Estudo'!$B$7:$B$506,$B14,'Diário de Estudo'!$A$7:$A$506,"&gt;="&amp;$E$5,'Diário de Estudo'!$A$7:$A$506,"&lt;"&amp;EDATE($E$5,1))</f>
        <v>0</v>
      </c>
      <c r="E14" s="41" t="n">
        <f aca="false">IF(C14=0,0,D14/C14)</f>
        <v>0</v>
      </c>
      <c r="F14" s="42" t="str">
        <f aca="false">REPT("█",MIN(10,ROUND(E14*10,0)))&amp;REPT("░",10-MIN(10,ROUND(E14*10,0)))</f>
        <v>░░░░░░░░░░</v>
      </c>
      <c r="G14" s="61" t="n">
        <f aca="false">MAX(0,C14-D14)</f>
        <v>20</v>
      </c>
      <c r="H14" s="39" t="str">
        <f aca="false">IF(C14=0,"—",IF(D14&gt;=C14,"Meta batida",IF(D14&gt;=C14*$G$5,"No ritmo","Abaixo do ritmo")))</f>
        <v>Abaixo do ritmo</v>
      </c>
      <c r="J14" s="84" t="str">
        <f aca="false">IF(J13="","",SUMIFS('Diário de Estudo'!$D$7:$D$506,'Diário de Estudo'!$A$7:$A$506,J13))</f>
        <v/>
      </c>
      <c r="K14" s="84" t="str">
        <f aca="false">IF(K13="","",SUMIFS('Diário de Estudo'!$D$7:$D$506,'Diário de Estudo'!$A$7:$A$506,K13))</f>
        <v/>
      </c>
      <c r="L14" s="84" t="str">
        <f aca="false">IF(L13="","",SUMIFS('Diário de Estudo'!$D$7:$D$506,'Diário de Estudo'!$A$7:$A$506,L13))</f>
        <v/>
      </c>
      <c r="M14" s="84" t="n">
        <f aca="false">IF(M13="","",SUMIFS('Diário de Estudo'!$D$7:$D$506,'Diário de Estudo'!$A$7:$A$506,M13))</f>
        <v>2</v>
      </c>
      <c r="N14" s="84" t="n">
        <f aca="false">IF(N13="","",SUMIFS('Diário de Estudo'!$D$7:$D$506,'Diário de Estudo'!$A$7:$A$506,N13))</f>
        <v>1.5</v>
      </c>
      <c r="O14" s="84" t="n">
        <f aca="false">IF(O13="","",SUMIFS('Diário de Estudo'!$D$7:$D$506,'Diário de Estudo'!$A$7:$A$506,O13))</f>
        <v>1</v>
      </c>
      <c r="P14" s="84" t="n">
        <f aca="false">IF(P13="","",SUMIFS('Diário de Estudo'!$D$7:$D$506,'Diário de Estudo'!$A$7:$A$506,P13))</f>
        <v>0</v>
      </c>
    </row>
    <row r="15" customFormat="false" ht="21.75" hidden="false" customHeight="true" outlineLevel="0" collapsed="false">
      <c r="B15" s="82" t="str">
        <f aca="false">Listas!$E$8</f>
        <v>Livros</v>
      </c>
      <c r="C15" s="53" t="n">
        <v>8</v>
      </c>
      <c r="D15" s="61" t="n">
        <f aca="false">SUMIFS('Diário de Estudo'!$D$7:$D$506,'Diário de Estudo'!$B$7:$B$506,$B15,'Diário de Estudo'!$A$7:$A$506,"&gt;="&amp;$E$5,'Diário de Estudo'!$A$7:$A$506,"&lt;"&amp;EDATE($E$5,1))</f>
        <v>1</v>
      </c>
      <c r="E15" s="41" t="n">
        <f aca="false">IF(C15=0,0,D15/C15)</f>
        <v>0.125</v>
      </c>
      <c r="F15" s="42" t="str">
        <f aca="false">REPT("█",MIN(10,ROUND(E15*10,0)))&amp;REPT("░",10-MIN(10,ROUND(E15*10,0)))</f>
        <v>█░░░░░░░░░</v>
      </c>
      <c r="G15" s="61" t="n">
        <f aca="false">MAX(0,C15-D15)</f>
        <v>7</v>
      </c>
      <c r="H15" s="39" t="str">
        <f aca="false">IF(C15=0,"—",IF(D15&gt;=C15,"Meta batida",IF(D15&gt;=C15*$G$5,"No ritmo","Abaixo do ritmo")))</f>
        <v>No ritmo</v>
      </c>
      <c r="J15" s="83" t="n">
        <f aca="false">IF(MONTH($E$5-WEEKDAY($E$5,2)+1+7)=MONTH($E$5),$E$5-WEEKDAY($E$5,2)+1+7,"")</f>
        <v>46300</v>
      </c>
      <c r="K15" s="83" t="n">
        <f aca="false">IF(MONTH($E$5-WEEKDAY($E$5,2)+1+8)=MONTH($E$5),$E$5-WEEKDAY($E$5,2)+1+8,"")</f>
        <v>46301</v>
      </c>
      <c r="L15" s="83" t="n">
        <f aca="false">IF(MONTH($E$5-WEEKDAY($E$5,2)+1+9)=MONTH($E$5),$E$5-WEEKDAY($E$5,2)+1+9,"")</f>
        <v>46302</v>
      </c>
      <c r="M15" s="83" t="n">
        <f aca="false">IF(MONTH($E$5-WEEKDAY($E$5,2)+1+10)=MONTH($E$5),$E$5-WEEKDAY($E$5,2)+1+10,"")</f>
        <v>46303</v>
      </c>
      <c r="N15" s="83" t="n">
        <f aca="false">IF(MONTH($E$5-WEEKDAY($E$5,2)+1+11)=MONTH($E$5),$E$5-WEEKDAY($E$5,2)+1+11,"")</f>
        <v>46304</v>
      </c>
      <c r="O15" s="83" t="n">
        <f aca="false">IF(MONTH($E$5-WEEKDAY($E$5,2)+1+12)=MONTH($E$5),$E$5-WEEKDAY($E$5,2)+1+12,"")</f>
        <v>46305</v>
      </c>
      <c r="P15" s="83" t="n">
        <f aca="false">IF(MONTH($E$5-WEEKDAY($E$5,2)+1+13)=MONTH($E$5),$E$5-WEEKDAY($E$5,2)+1+13,"")</f>
        <v>46306</v>
      </c>
    </row>
    <row r="16" customFormat="false" ht="21.75" hidden="false" customHeight="true" outlineLevel="0" collapsed="false">
      <c r="B16" s="82" t="str">
        <f aca="false">Listas!$E$9</f>
        <v>Cursos IA</v>
      </c>
      <c r="C16" s="53" t="n">
        <v>15</v>
      </c>
      <c r="D16" s="61" t="n">
        <f aca="false">SUMIFS('Diário de Estudo'!$D$7:$D$506,'Diário de Estudo'!$B$7:$B$506,$B16,'Diário de Estudo'!$A$7:$A$506,"&gt;="&amp;$E$5,'Diário de Estudo'!$A$7:$A$506,"&lt;"&amp;EDATE($E$5,1))</f>
        <v>1.5</v>
      </c>
      <c r="E16" s="41" t="n">
        <f aca="false">IF(C16=0,0,D16/C16)</f>
        <v>0.1</v>
      </c>
      <c r="F16" s="42" t="str">
        <f aca="false">REPT("█",MIN(10,ROUND(E16*10,0)))&amp;REPT("░",10-MIN(10,ROUND(E16*10,0)))</f>
        <v>█░░░░░░░░░</v>
      </c>
      <c r="G16" s="61" t="n">
        <f aca="false">MAX(0,C16-D16)</f>
        <v>13.5</v>
      </c>
      <c r="H16" s="39" t="str">
        <f aca="false">IF(C16=0,"—",IF(D16&gt;=C16,"Meta batida",IF(D16&gt;=C16*$G$5,"No ritmo","Abaixo do ritmo")))</f>
        <v>No ritmo</v>
      </c>
      <c r="J16" s="84" t="n">
        <f aca="false">IF(J15="","",SUMIFS('Diário de Estudo'!$D$7:$D$506,'Diário de Estudo'!$A$7:$A$506,J15))</f>
        <v>0</v>
      </c>
      <c r="K16" s="84" t="n">
        <f aca="false">IF(K15="","",SUMIFS('Diário de Estudo'!$D$7:$D$506,'Diário de Estudo'!$A$7:$A$506,K15))</f>
        <v>0</v>
      </c>
      <c r="L16" s="84" t="n">
        <f aca="false">IF(L15="","",SUMIFS('Diário de Estudo'!$D$7:$D$506,'Diário de Estudo'!$A$7:$A$506,L15))</f>
        <v>0</v>
      </c>
      <c r="M16" s="84" t="n">
        <f aca="false">IF(M15="","",SUMIFS('Diário de Estudo'!$D$7:$D$506,'Diário de Estudo'!$A$7:$A$506,M15))</f>
        <v>0</v>
      </c>
      <c r="N16" s="84" t="n">
        <f aca="false">IF(N15="","",SUMIFS('Diário de Estudo'!$D$7:$D$506,'Diário de Estudo'!$A$7:$A$506,N15))</f>
        <v>0</v>
      </c>
      <c r="O16" s="84" t="n">
        <f aca="false">IF(O15="","",SUMIFS('Diário de Estudo'!$D$7:$D$506,'Diário de Estudo'!$A$7:$A$506,O15))</f>
        <v>0</v>
      </c>
      <c r="P16" s="84" t="n">
        <f aca="false">IF(P15="","",SUMIFS('Diário de Estudo'!$D$7:$D$506,'Diário de Estudo'!$A$7:$A$506,P15))</f>
        <v>0</v>
      </c>
    </row>
    <row r="17" customFormat="false" ht="21.75" hidden="false" customHeight="true" outlineLevel="0" collapsed="false">
      <c r="B17" s="82" t="str">
        <f aca="false">Listas!$E$10</f>
        <v>Renda Extra</v>
      </c>
      <c r="C17" s="53" t="n">
        <v>10</v>
      </c>
      <c r="D17" s="61" t="n">
        <f aca="false">SUMIFS('Diário de Estudo'!$D$7:$D$506,'Diário de Estudo'!$B$7:$B$506,$B17,'Diário de Estudo'!$A$7:$A$506,"&gt;="&amp;$E$5,'Diário de Estudo'!$A$7:$A$506,"&lt;"&amp;EDATE($E$5,1))</f>
        <v>0</v>
      </c>
      <c r="E17" s="41" t="n">
        <f aca="false">IF(C17=0,0,D17/C17)</f>
        <v>0</v>
      </c>
      <c r="F17" s="42" t="str">
        <f aca="false">REPT("█",MIN(10,ROUND(E17*10,0)))&amp;REPT("░",10-MIN(10,ROUND(E17*10,0)))</f>
        <v>░░░░░░░░░░</v>
      </c>
      <c r="G17" s="61" t="n">
        <f aca="false">MAX(0,C17-D17)</f>
        <v>10</v>
      </c>
      <c r="H17" s="39" t="str">
        <f aca="false">IF(C17=0,"—",IF(D17&gt;=C17,"Meta batida",IF(D17&gt;=C17*$G$5,"No ritmo","Abaixo do ritmo")))</f>
        <v>Abaixo do ritmo</v>
      </c>
      <c r="J17" s="83" t="n">
        <f aca="false">IF(MONTH($E$5-WEEKDAY($E$5,2)+1+14)=MONTH($E$5),$E$5-WEEKDAY($E$5,2)+1+14,"")</f>
        <v>46307</v>
      </c>
      <c r="K17" s="83" t="n">
        <f aca="false">IF(MONTH($E$5-WEEKDAY($E$5,2)+1+15)=MONTH($E$5),$E$5-WEEKDAY($E$5,2)+1+15,"")</f>
        <v>46308</v>
      </c>
      <c r="L17" s="83" t="n">
        <f aca="false">IF(MONTH($E$5-WEEKDAY($E$5,2)+1+16)=MONTH($E$5),$E$5-WEEKDAY($E$5,2)+1+16,"")</f>
        <v>46309</v>
      </c>
      <c r="M17" s="83" t="n">
        <f aca="false">IF(MONTH($E$5-WEEKDAY($E$5,2)+1+17)=MONTH($E$5),$E$5-WEEKDAY($E$5,2)+1+17,"")</f>
        <v>46310</v>
      </c>
      <c r="N17" s="83" t="n">
        <f aca="false">IF(MONTH($E$5-WEEKDAY($E$5,2)+1+18)=MONTH($E$5),$E$5-WEEKDAY($E$5,2)+1+18,"")</f>
        <v>46311</v>
      </c>
      <c r="O17" s="83" t="n">
        <f aca="false">IF(MONTH($E$5-WEEKDAY($E$5,2)+1+19)=MONTH($E$5),$E$5-WEEKDAY($E$5,2)+1+19,"")</f>
        <v>46312</v>
      </c>
      <c r="P17" s="83" t="n">
        <f aca="false">IF(MONTH($E$5-WEEKDAY($E$5,2)+1+20)=MONTH($E$5),$E$5-WEEKDAY($E$5,2)+1+20,"")</f>
        <v>46313</v>
      </c>
    </row>
    <row r="18" customFormat="false" ht="21.75" hidden="false" customHeight="true" outlineLevel="0" collapsed="false">
      <c r="B18" s="67" t="s">
        <v>76</v>
      </c>
      <c r="C18" s="85" t="n">
        <f aca="false">SUM(C13:C17)</f>
        <v>73</v>
      </c>
      <c r="D18" s="85" t="n">
        <f aca="false">SUM(D13:D17)</f>
        <v>4.5</v>
      </c>
      <c r="E18" s="86" t="n">
        <f aca="false">IF(C18=0,0,D18/C18)</f>
        <v>0.0616438356164384</v>
      </c>
      <c r="F18" s="87" t="str">
        <f aca="false">REPT("█",MIN(10,ROUND(E18*10,0)))&amp;REPT("░",10-MIN(10,ROUND(E18*10,0)))</f>
        <v>█░░░░░░░░░</v>
      </c>
      <c r="G18" s="85" t="n">
        <f aca="false">MAX(0,C18-D18)</f>
        <v>68.5</v>
      </c>
      <c r="H18" s="88" t="str">
        <f aca="false">IF(C18=0,"—",IF(D18&gt;=C18,"Meta batida",IF(D18&gt;=C18*$G$5,"No ritmo","Abaixo do ritmo")))</f>
        <v>Abaixo do ritmo</v>
      </c>
      <c r="J18" s="84" t="n">
        <f aca="false">IF(J17="","",SUMIFS('Diário de Estudo'!$D$7:$D$506,'Diário de Estudo'!$A$7:$A$506,J17))</f>
        <v>0</v>
      </c>
      <c r="K18" s="84" t="n">
        <f aca="false">IF(K17="","",SUMIFS('Diário de Estudo'!$D$7:$D$506,'Diário de Estudo'!$A$7:$A$506,K17))</f>
        <v>0</v>
      </c>
      <c r="L18" s="84" t="n">
        <f aca="false">IF(L17="","",SUMIFS('Diário de Estudo'!$D$7:$D$506,'Diário de Estudo'!$A$7:$A$506,L17))</f>
        <v>0</v>
      </c>
      <c r="M18" s="84" t="n">
        <f aca="false">IF(M17="","",SUMIFS('Diário de Estudo'!$D$7:$D$506,'Diário de Estudo'!$A$7:$A$506,M17))</f>
        <v>0</v>
      </c>
      <c r="N18" s="84" t="n">
        <f aca="false">IF(N17="","",SUMIFS('Diário de Estudo'!$D$7:$D$506,'Diário de Estudo'!$A$7:$A$506,N17))</f>
        <v>0</v>
      </c>
      <c r="O18" s="84" t="n">
        <f aca="false">IF(O17="","",SUMIFS('Diário de Estudo'!$D$7:$D$506,'Diário de Estudo'!$A$7:$A$506,O17))</f>
        <v>0</v>
      </c>
      <c r="P18" s="84" t="n">
        <f aca="false">IF(P17="","",SUMIFS('Diário de Estudo'!$D$7:$D$506,'Diário de Estudo'!$A$7:$A$506,P17))</f>
        <v>0</v>
      </c>
    </row>
    <row r="19" customFormat="false" ht="21.75" hidden="false" customHeight="true" outlineLevel="0" collapsed="false">
      <c r="J19" s="83" t="n">
        <f aca="false">IF(MONTH($E$5-WEEKDAY($E$5,2)+1+21)=MONTH($E$5),$E$5-WEEKDAY($E$5,2)+1+21,"")</f>
        <v>46314</v>
      </c>
      <c r="K19" s="83" t="n">
        <f aca="false">IF(MONTH($E$5-WEEKDAY($E$5,2)+1+22)=MONTH($E$5),$E$5-WEEKDAY($E$5,2)+1+22,"")</f>
        <v>46315</v>
      </c>
      <c r="L19" s="83" t="n">
        <f aca="false">IF(MONTH($E$5-WEEKDAY($E$5,2)+1+23)=MONTH($E$5),$E$5-WEEKDAY($E$5,2)+1+23,"")</f>
        <v>46316</v>
      </c>
      <c r="M19" s="83" t="n">
        <f aca="false">IF(MONTH($E$5-WEEKDAY($E$5,2)+1+24)=MONTH($E$5),$E$5-WEEKDAY($E$5,2)+1+24,"")</f>
        <v>46317</v>
      </c>
      <c r="N19" s="83" t="n">
        <f aca="false">IF(MONTH($E$5-WEEKDAY($E$5,2)+1+25)=MONTH($E$5),$E$5-WEEKDAY($E$5,2)+1+25,"")</f>
        <v>46318</v>
      </c>
      <c r="O19" s="83" t="n">
        <f aca="false">IF(MONTH($E$5-WEEKDAY($E$5,2)+1+26)=MONTH($E$5),$E$5-WEEKDAY($E$5,2)+1+26,"")</f>
        <v>46319</v>
      </c>
      <c r="P19" s="83" t="n">
        <f aca="false">IF(MONTH($E$5-WEEKDAY($E$5,2)+1+27)=MONTH($E$5),$E$5-WEEKDAY($E$5,2)+1+27,"")</f>
        <v>46320</v>
      </c>
    </row>
    <row r="20" customFormat="false" ht="21.75" hidden="false" customHeight="true" outlineLevel="0" collapsed="false">
      <c r="J20" s="84" t="n">
        <f aca="false">IF(J19="","",SUMIFS('Diário de Estudo'!$D$7:$D$506,'Diário de Estudo'!$A$7:$A$506,J19))</f>
        <v>0</v>
      </c>
      <c r="K20" s="84" t="n">
        <f aca="false">IF(K19="","",SUMIFS('Diário de Estudo'!$D$7:$D$506,'Diário de Estudo'!$A$7:$A$506,K19))</f>
        <v>0</v>
      </c>
      <c r="L20" s="84" t="n">
        <f aca="false">IF(L19="","",SUMIFS('Diário de Estudo'!$D$7:$D$506,'Diário de Estudo'!$A$7:$A$506,L19))</f>
        <v>0</v>
      </c>
      <c r="M20" s="84" t="n">
        <f aca="false">IF(M19="","",SUMIFS('Diário de Estudo'!$D$7:$D$506,'Diário de Estudo'!$A$7:$A$506,M19))</f>
        <v>0</v>
      </c>
      <c r="N20" s="84" t="n">
        <f aca="false">IF(N19="","",SUMIFS('Diário de Estudo'!$D$7:$D$506,'Diário de Estudo'!$A$7:$A$506,N19))</f>
        <v>0</v>
      </c>
      <c r="O20" s="84" t="n">
        <f aca="false">IF(O19="","",SUMIFS('Diário de Estudo'!$D$7:$D$506,'Diário de Estudo'!$A$7:$A$506,O19))</f>
        <v>0</v>
      </c>
      <c r="P20" s="84" t="n">
        <f aca="false">IF(P19="","",SUMIFS('Diário de Estudo'!$D$7:$D$506,'Diário de Estudo'!$A$7:$A$506,P19))</f>
        <v>0</v>
      </c>
    </row>
    <row r="21" customFormat="false" ht="21.75" hidden="false" customHeight="true" outlineLevel="0" collapsed="false">
      <c r="J21" s="83" t="n">
        <f aca="false">IF(MONTH($E$5-WEEKDAY($E$5,2)+1+28)=MONTH($E$5),$E$5-WEEKDAY($E$5,2)+1+28,"")</f>
        <v>46321</v>
      </c>
      <c r="K21" s="83" t="n">
        <f aca="false">IF(MONTH($E$5-WEEKDAY($E$5,2)+1+29)=MONTH($E$5),$E$5-WEEKDAY($E$5,2)+1+29,"")</f>
        <v>46322</v>
      </c>
      <c r="L21" s="83" t="n">
        <f aca="false">IF(MONTH($E$5-WEEKDAY($E$5,2)+1+30)=MONTH($E$5),$E$5-WEEKDAY($E$5,2)+1+30,"")</f>
        <v>46323</v>
      </c>
      <c r="M21" s="83" t="n">
        <f aca="false">IF(MONTH($E$5-WEEKDAY($E$5,2)+1+31)=MONTH($E$5),$E$5-WEEKDAY($E$5,2)+1+31,"")</f>
        <v>46324</v>
      </c>
      <c r="N21" s="83" t="n">
        <f aca="false">IF(MONTH($E$5-WEEKDAY($E$5,2)+1+32)=MONTH($E$5),$E$5-WEEKDAY($E$5,2)+1+32,"")</f>
        <v>46325</v>
      </c>
      <c r="O21" s="83" t="n">
        <f aca="false">IF(MONTH($E$5-WEEKDAY($E$5,2)+1+33)=MONTH($E$5),$E$5-WEEKDAY($E$5,2)+1+33,"")</f>
        <v>46326</v>
      </c>
      <c r="P21" s="83" t="str">
        <f aca="false">IF(MONTH($E$5-WEEKDAY($E$5,2)+1+34)=MONTH($E$5),$E$5-WEEKDAY($E$5,2)+1+34,"")</f>
        <v/>
      </c>
    </row>
    <row r="22" customFormat="false" ht="21.75" hidden="false" customHeight="true" outlineLevel="0" collapsed="false">
      <c r="J22" s="84" t="n">
        <f aca="false">IF(J21="","",SUMIFS('Diário de Estudo'!$D$7:$D$506,'Diário de Estudo'!$A$7:$A$506,J21))</f>
        <v>0</v>
      </c>
      <c r="K22" s="84" t="n">
        <f aca="false">IF(K21="","",SUMIFS('Diário de Estudo'!$D$7:$D$506,'Diário de Estudo'!$A$7:$A$506,K21))</f>
        <v>0</v>
      </c>
      <c r="L22" s="84" t="n">
        <f aca="false">IF(L21="","",SUMIFS('Diário de Estudo'!$D$7:$D$506,'Diário de Estudo'!$A$7:$A$506,L21))</f>
        <v>0</v>
      </c>
      <c r="M22" s="84" t="n">
        <f aca="false">IF(M21="","",SUMIFS('Diário de Estudo'!$D$7:$D$506,'Diário de Estudo'!$A$7:$A$506,M21))</f>
        <v>0</v>
      </c>
      <c r="N22" s="84" t="n">
        <f aca="false">IF(N21="","",SUMIFS('Diário de Estudo'!$D$7:$D$506,'Diário de Estudo'!$A$7:$A$506,N21))</f>
        <v>0</v>
      </c>
      <c r="O22" s="84" t="n">
        <f aca="false">IF(O21="","",SUMIFS('Diário de Estudo'!$D$7:$D$506,'Diário de Estudo'!$A$7:$A$506,O21))</f>
        <v>0</v>
      </c>
      <c r="P22" s="84" t="str">
        <f aca="false">IF(P21="","",SUMIFS('Diário de Estudo'!$D$7:$D$506,'Diário de Estudo'!$A$7:$A$506,P21))</f>
        <v/>
      </c>
    </row>
    <row r="23" customFormat="false" ht="21.75" hidden="false" customHeight="true" outlineLevel="0" collapsed="false">
      <c r="J23" s="83" t="str">
        <f aca="false">IF(MONTH($E$5-WEEKDAY($E$5,2)+1+35)=MONTH($E$5),$E$5-WEEKDAY($E$5,2)+1+35,"")</f>
        <v/>
      </c>
      <c r="K23" s="83" t="str">
        <f aca="false">IF(MONTH($E$5-WEEKDAY($E$5,2)+1+36)=MONTH($E$5),$E$5-WEEKDAY($E$5,2)+1+36,"")</f>
        <v/>
      </c>
      <c r="L23" s="83" t="str">
        <f aca="false">IF(MONTH($E$5-WEEKDAY($E$5,2)+1+37)=MONTH($E$5),$E$5-WEEKDAY($E$5,2)+1+37,"")</f>
        <v/>
      </c>
      <c r="M23" s="83" t="str">
        <f aca="false">IF(MONTH($E$5-WEEKDAY($E$5,2)+1+38)=MONTH($E$5),$E$5-WEEKDAY($E$5,2)+1+38,"")</f>
        <v/>
      </c>
      <c r="N23" s="83" t="str">
        <f aca="false">IF(MONTH($E$5-WEEKDAY($E$5,2)+1+39)=MONTH($E$5),$E$5-WEEKDAY($E$5,2)+1+39,"")</f>
        <v/>
      </c>
      <c r="O23" s="83" t="str">
        <f aca="false">IF(MONTH($E$5-WEEKDAY($E$5,2)+1+40)=MONTH($E$5),$E$5-WEEKDAY($E$5,2)+1+40,"")</f>
        <v/>
      </c>
      <c r="P23" s="83" t="str">
        <f aca="false">IF(MONTH($E$5-WEEKDAY($E$5,2)+1+41)=MONTH($E$5),$E$5-WEEKDAY($E$5,2)+1+41,"")</f>
        <v/>
      </c>
    </row>
    <row r="24" customFormat="false" ht="21.75" hidden="false" customHeight="true" outlineLevel="0" collapsed="false">
      <c r="J24" s="84" t="str">
        <f aca="false">IF(J23="","",SUMIFS('Diário de Estudo'!$D$7:$D$506,'Diário de Estudo'!$A$7:$A$506,J23))</f>
        <v/>
      </c>
      <c r="K24" s="84" t="str">
        <f aca="false">IF(K23="","",SUMIFS('Diário de Estudo'!$D$7:$D$506,'Diário de Estudo'!$A$7:$A$506,K23))</f>
        <v/>
      </c>
      <c r="L24" s="84" t="str">
        <f aca="false">IF(L23="","",SUMIFS('Diário de Estudo'!$D$7:$D$506,'Diário de Estudo'!$A$7:$A$506,L23))</f>
        <v/>
      </c>
      <c r="M24" s="84" t="str">
        <f aca="false">IF(M23="","",SUMIFS('Diário de Estudo'!$D$7:$D$506,'Diário de Estudo'!$A$7:$A$506,M23))</f>
        <v/>
      </c>
      <c r="N24" s="84" t="str">
        <f aca="false">IF(N23="","",SUMIFS('Diário de Estudo'!$D$7:$D$506,'Diário de Estudo'!$A$7:$A$506,N23))</f>
        <v/>
      </c>
      <c r="O24" s="84" t="str">
        <f aca="false">IF(O23="","",SUMIFS('Diário de Estudo'!$D$7:$D$506,'Diário de Estudo'!$A$7:$A$506,O23))</f>
        <v/>
      </c>
      <c r="P24" s="84" t="str">
        <f aca="false">IF(P23="","",SUMIFS('Diário de Estudo'!$D$7:$D$506,'Diário de Estudo'!$A$7:$A$506,P23))</f>
        <v/>
      </c>
    </row>
    <row r="25" customFormat="false" ht="15" hidden="false" customHeight="false" outlineLevel="0" collapsed="false">
      <c r="J25" s="89" t="s">
        <v>126</v>
      </c>
      <c r="K25" s="89"/>
      <c r="L25" s="89"/>
      <c r="M25" s="89"/>
      <c r="N25" s="89"/>
      <c r="O25" s="89"/>
      <c r="P25" s="89"/>
    </row>
  </sheetData>
  <mergeCells count="15">
    <mergeCell ref="A1:P1"/>
    <mergeCell ref="A2:M2"/>
    <mergeCell ref="N2:P2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1:H11"/>
    <mergeCell ref="J11:P11"/>
    <mergeCell ref="J25:P25"/>
  </mergeCells>
  <conditionalFormatting sqref="H13:H18">
    <cfRule type="cellIs" priority="2" operator="equal" aboveAverage="0" equalAverage="0" bottom="0" percent="0" rank="0" text="" dxfId="6">
      <formula>"Meta batida"</formula>
    </cfRule>
    <cfRule type="cellIs" priority="3" operator="equal" aboveAverage="0" equalAverage="0" bottom="0" percent="0" rank="0" text="" dxfId="7">
      <formula>"No ritmo"</formula>
    </cfRule>
    <cfRule type="cellIs" priority="4" operator="equal" aboveAverage="0" equalAverage="0" bottom="0" percent="0" rank="0" text="" dxfId="1">
      <formula>"Abaixo do ritmo"</formula>
    </cfRule>
  </conditionalFormatting>
  <conditionalFormatting sqref="J14:P14">
    <cfRule type="colorScale" priority="5">
      <colorScale>
        <cfvo type="num" val="0"/>
        <cfvo type="max" val="0"/>
        <color rgb="FFDCE5D4"/>
        <color rgb="FFA3B18A"/>
      </colorScale>
    </cfRule>
  </conditionalFormatting>
  <conditionalFormatting sqref="J13:P13">
    <cfRule type="expression" priority="6" aboveAverage="0" equalAverage="0" bottom="0" percent="0" rank="0" text="" dxfId="5">
      <formula>AND(ISNUMBER(J13),J13=TODAY())</formula>
    </cfRule>
  </conditionalFormatting>
  <conditionalFormatting sqref="J16:P16">
    <cfRule type="colorScale" priority="7">
      <colorScale>
        <cfvo type="num" val="0"/>
        <cfvo type="max" val="0"/>
        <color rgb="FFDCE5D4"/>
        <color rgb="FFA3B18A"/>
      </colorScale>
    </cfRule>
  </conditionalFormatting>
  <conditionalFormatting sqref="J15:P15">
    <cfRule type="expression" priority="8" aboveAverage="0" equalAverage="0" bottom="0" percent="0" rank="0" text="" dxfId="5">
      <formula>AND(ISNUMBER(J15),J15=TODAY())</formula>
    </cfRule>
  </conditionalFormatting>
  <conditionalFormatting sqref="J18:P18">
    <cfRule type="colorScale" priority="9">
      <colorScale>
        <cfvo type="num" val="0"/>
        <cfvo type="max" val="0"/>
        <color rgb="FFDCE5D4"/>
        <color rgb="FFA3B18A"/>
      </colorScale>
    </cfRule>
  </conditionalFormatting>
  <conditionalFormatting sqref="J17:P17">
    <cfRule type="expression" priority="10" aboveAverage="0" equalAverage="0" bottom="0" percent="0" rank="0" text="" dxfId="5">
      <formula>AND(ISNUMBER(J17),J17=TODAY())</formula>
    </cfRule>
  </conditionalFormatting>
  <conditionalFormatting sqref="J20:P20">
    <cfRule type="colorScale" priority="11">
      <colorScale>
        <cfvo type="num" val="0"/>
        <cfvo type="max" val="0"/>
        <color rgb="FFDCE5D4"/>
        <color rgb="FFA3B18A"/>
      </colorScale>
    </cfRule>
  </conditionalFormatting>
  <conditionalFormatting sqref="J19:P19">
    <cfRule type="expression" priority="12" aboveAverage="0" equalAverage="0" bottom="0" percent="0" rank="0" text="" dxfId="5">
      <formula>AND(ISNUMBER(J19),J19=TODAY())</formula>
    </cfRule>
  </conditionalFormatting>
  <conditionalFormatting sqref="J22:P22">
    <cfRule type="colorScale" priority="13">
      <colorScale>
        <cfvo type="num" val="0"/>
        <cfvo type="max" val="0"/>
        <color rgb="FFDCE5D4"/>
        <color rgb="FFA3B18A"/>
      </colorScale>
    </cfRule>
  </conditionalFormatting>
  <conditionalFormatting sqref="J21:P21">
    <cfRule type="expression" priority="14" aboveAverage="0" equalAverage="0" bottom="0" percent="0" rank="0" text="" dxfId="5">
      <formula>AND(ISNUMBER(J21),J21=TODAY())</formula>
    </cfRule>
  </conditionalFormatting>
  <conditionalFormatting sqref="J24:P24">
    <cfRule type="colorScale" priority="15">
      <colorScale>
        <cfvo type="num" val="0"/>
        <cfvo type="max" val="0"/>
        <color rgb="FFDCE5D4"/>
        <color rgb="FFA3B18A"/>
      </colorScale>
    </cfRule>
  </conditionalFormatting>
  <conditionalFormatting sqref="J23:P23">
    <cfRule type="expression" priority="16" aboveAverage="0" equalAverage="0" bottom="0" percent="0" rank="0" text="" dxfId="5">
      <formula>AND(ISNUMBER(J23),J23=TODAY())</formula>
    </cfRule>
  </conditionalFormatting>
  <dataValidations count="2">
    <dataValidation allowBlank="false" error="Valor inválido." errorStyle="stop" operator="greaterThan" showDropDown="false" showErrorMessage="true" showInputMessage="false" sqref="C5" type="date">
      <formula1>36526</formula1>
      <formula2>0</formula2>
    </dataValidation>
    <dataValidation allowBlank="true" error="Valor inválido." errorStyle="stop" operator="greaterThanOrEqual" showDropDown="false" showErrorMessage="true" showInputMessage="false" sqref="C13:C17" type="decimal">
      <formula1>0</formula1>
      <formula2>0</formula2>
    </dataValidation>
  </dataValidations>
  <hyperlinks>
    <hyperlink ref="N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F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7.5" hidden="false" customHeight="true" outlineLevel="0" collapsed="false">
      <c r="A1" s="20" t="s">
        <v>127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128</v>
      </c>
      <c r="B2" s="21"/>
      <c r="C2" s="21"/>
      <c r="D2" s="22" t="s">
        <v>56</v>
      </c>
      <c r="E2" s="22"/>
      <c r="F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19.5" hidden="false" customHeight="true" outlineLevel="0" collapsed="false">
      <c r="A5" s="90" t="s">
        <v>129</v>
      </c>
      <c r="B5" s="90"/>
      <c r="C5" s="90"/>
      <c r="D5" s="91" t="n">
        <f aca="false">SUM(D7:D506)</f>
        <v>4.5</v>
      </c>
      <c r="E5" s="30" t="s">
        <v>130</v>
      </c>
    </row>
    <row r="6" customFormat="false" ht="30" hidden="false" customHeight="true" outlineLevel="0" collapsed="false">
      <c r="A6" s="32" t="s">
        <v>131</v>
      </c>
      <c r="B6" s="32" t="s">
        <v>65</v>
      </c>
      <c r="C6" s="32" t="s">
        <v>132</v>
      </c>
      <c r="D6" s="32" t="s">
        <v>133</v>
      </c>
      <c r="E6" s="32" t="s">
        <v>134</v>
      </c>
      <c r="F6" s="32" t="s">
        <v>135</v>
      </c>
    </row>
    <row r="7" customFormat="false" ht="19.5" hidden="false" customHeight="true" outlineLevel="0" collapsed="false">
      <c r="A7" s="50" t="n">
        <v>46296</v>
      </c>
      <c r="B7" s="73" t="s">
        <v>11</v>
      </c>
      <c r="C7" s="13" t="s">
        <v>136</v>
      </c>
      <c r="D7" s="53" t="n">
        <v>2</v>
      </c>
      <c r="E7" s="13" t="s">
        <v>137</v>
      </c>
      <c r="F7" s="73" t="n">
        <v>4</v>
      </c>
    </row>
    <row r="8" customFormat="false" ht="19.5" hidden="false" customHeight="true" outlineLevel="0" collapsed="false">
      <c r="A8" s="50" t="n">
        <v>46297</v>
      </c>
      <c r="B8" s="73" t="s">
        <v>14</v>
      </c>
      <c r="C8" s="13" t="s">
        <v>138</v>
      </c>
      <c r="D8" s="53" t="n">
        <v>1.5</v>
      </c>
      <c r="E8" s="13" t="s">
        <v>139</v>
      </c>
      <c r="F8" s="73" t="n">
        <v>5</v>
      </c>
    </row>
    <row r="9" customFormat="false" ht="19.5" hidden="false" customHeight="true" outlineLevel="0" collapsed="false">
      <c r="A9" s="50" t="n">
        <v>46298</v>
      </c>
      <c r="B9" s="73" t="s">
        <v>13</v>
      </c>
      <c r="C9" s="13" t="s">
        <v>140</v>
      </c>
      <c r="D9" s="53" t="n">
        <v>1</v>
      </c>
      <c r="E9" s="13" t="s">
        <v>141</v>
      </c>
      <c r="F9" s="73" t="n">
        <v>4</v>
      </c>
    </row>
    <row r="10" customFormat="false" ht="19.5" hidden="false" customHeight="true" outlineLevel="0" collapsed="false">
      <c r="A10" s="50"/>
      <c r="B10" s="73"/>
      <c r="C10" s="13"/>
      <c r="D10" s="53"/>
      <c r="E10" s="13"/>
      <c r="F10" s="73"/>
    </row>
    <row r="11" customFormat="false" ht="19.5" hidden="false" customHeight="true" outlineLevel="0" collapsed="false">
      <c r="A11" s="50"/>
      <c r="B11" s="73"/>
      <c r="C11" s="13"/>
      <c r="D11" s="53"/>
      <c r="E11" s="13"/>
      <c r="F11" s="73"/>
    </row>
    <row r="12" customFormat="false" ht="19.5" hidden="false" customHeight="true" outlineLevel="0" collapsed="false">
      <c r="A12" s="50"/>
      <c r="B12" s="73"/>
      <c r="C12" s="13"/>
      <c r="D12" s="53"/>
      <c r="E12" s="13"/>
      <c r="F12" s="73"/>
    </row>
    <row r="13" customFormat="false" ht="19.5" hidden="false" customHeight="true" outlineLevel="0" collapsed="false">
      <c r="A13" s="50"/>
      <c r="B13" s="73"/>
      <c r="C13" s="13"/>
      <c r="D13" s="53"/>
      <c r="E13" s="13"/>
      <c r="F13" s="73"/>
    </row>
    <row r="14" customFormat="false" ht="19.5" hidden="false" customHeight="true" outlineLevel="0" collapsed="false">
      <c r="A14" s="50"/>
      <c r="B14" s="73"/>
      <c r="C14" s="13"/>
      <c r="D14" s="53"/>
      <c r="E14" s="13"/>
      <c r="F14" s="73"/>
    </row>
    <row r="15" customFormat="false" ht="19.5" hidden="false" customHeight="true" outlineLevel="0" collapsed="false">
      <c r="A15" s="50"/>
      <c r="B15" s="73"/>
      <c r="C15" s="13"/>
      <c r="D15" s="53"/>
      <c r="E15" s="13"/>
      <c r="F15" s="73"/>
    </row>
    <row r="16" customFormat="false" ht="19.5" hidden="false" customHeight="true" outlineLevel="0" collapsed="false">
      <c r="A16" s="50"/>
      <c r="B16" s="73"/>
      <c r="C16" s="13"/>
      <c r="D16" s="53"/>
      <c r="E16" s="13"/>
      <c r="F16" s="73"/>
    </row>
    <row r="17" customFormat="false" ht="19.5" hidden="false" customHeight="true" outlineLevel="0" collapsed="false">
      <c r="A17" s="50"/>
      <c r="B17" s="73"/>
      <c r="C17" s="13"/>
      <c r="D17" s="53"/>
      <c r="E17" s="13"/>
      <c r="F17" s="73"/>
    </row>
    <row r="18" customFormat="false" ht="19.5" hidden="false" customHeight="true" outlineLevel="0" collapsed="false">
      <c r="A18" s="50"/>
      <c r="B18" s="73"/>
      <c r="C18" s="13"/>
      <c r="D18" s="53"/>
      <c r="E18" s="13"/>
      <c r="F18" s="73"/>
    </row>
    <row r="19" customFormat="false" ht="19.5" hidden="false" customHeight="true" outlineLevel="0" collapsed="false">
      <c r="A19" s="50"/>
      <c r="B19" s="73"/>
      <c r="C19" s="13"/>
      <c r="D19" s="53"/>
      <c r="E19" s="13"/>
      <c r="F19" s="73"/>
    </row>
    <row r="20" customFormat="false" ht="19.5" hidden="false" customHeight="true" outlineLevel="0" collapsed="false">
      <c r="A20" s="50"/>
      <c r="B20" s="73"/>
      <c r="C20" s="13"/>
      <c r="D20" s="53"/>
      <c r="E20" s="13"/>
      <c r="F20" s="73"/>
    </row>
    <row r="21" customFormat="false" ht="19.5" hidden="false" customHeight="true" outlineLevel="0" collapsed="false">
      <c r="A21" s="50"/>
      <c r="B21" s="73"/>
      <c r="C21" s="13"/>
      <c r="D21" s="53"/>
      <c r="E21" s="13"/>
      <c r="F21" s="73"/>
    </row>
    <row r="22" customFormat="false" ht="19.5" hidden="false" customHeight="true" outlineLevel="0" collapsed="false">
      <c r="A22" s="50"/>
      <c r="B22" s="73"/>
      <c r="C22" s="13"/>
      <c r="D22" s="53"/>
      <c r="E22" s="13"/>
      <c r="F22" s="73"/>
    </row>
    <row r="23" customFormat="false" ht="19.5" hidden="false" customHeight="true" outlineLevel="0" collapsed="false">
      <c r="A23" s="50"/>
      <c r="B23" s="73"/>
      <c r="C23" s="13"/>
      <c r="D23" s="53"/>
      <c r="E23" s="13"/>
      <c r="F23" s="73"/>
    </row>
    <row r="24" customFormat="false" ht="19.5" hidden="false" customHeight="true" outlineLevel="0" collapsed="false">
      <c r="A24" s="50"/>
      <c r="B24" s="73"/>
      <c r="C24" s="13"/>
      <c r="D24" s="53"/>
      <c r="E24" s="13"/>
      <c r="F24" s="73"/>
    </row>
    <row r="25" customFormat="false" ht="19.5" hidden="false" customHeight="true" outlineLevel="0" collapsed="false">
      <c r="A25" s="50"/>
      <c r="B25" s="73"/>
      <c r="C25" s="13"/>
      <c r="D25" s="53"/>
      <c r="E25" s="13"/>
      <c r="F25" s="73"/>
    </row>
    <row r="26" customFormat="false" ht="19.5" hidden="false" customHeight="true" outlineLevel="0" collapsed="false">
      <c r="A26" s="50"/>
      <c r="B26" s="73"/>
      <c r="C26" s="13"/>
      <c r="D26" s="53"/>
      <c r="E26" s="13"/>
      <c r="F26" s="73"/>
    </row>
    <row r="27" customFormat="false" ht="19.5" hidden="false" customHeight="true" outlineLevel="0" collapsed="false">
      <c r="A27" s="50"/>
      <c r="B27" s="73"/>
      <c r="C27" s="13"/>
      <c r="D27" s="53"/>
      <c r="E27" s="13"/>
      <c r="F27" s="73"/>
    </row>
    <row r="28" customFormat="false" ht="19.5" hidden="false" customHeight="true" outlineLevel="0" collapsed="false">
      <c r="A28" s="50"/>
      <c r="B28" s="73"/>
      <c r="C28" s="13"/>
      <c r="D28" s="53"/>
      <c r="E28" s="13"/>
      <c r="F28" s="73"/>
    </row>
    <row r="29" customFormat="false" ht="19.5" hidden="false" customHeight="true" outlineLevel="0" collapsed="false">
      <c r="A29" s="50"/>
      <c r="B29" s="73"/>
      <c r="C29" s="13"/>
      <c r="D29" s="53"/>
      <c r="E29" s="13"/>
      <c r="F29" s="73"/>
    </row>
    <row r="30" customFormat="false" ht="19.5" hidden="false" customHeight="true" outlineLevel="0" collapsed="false">
      <c r="A30" s="50"/>
      <c r="B30" s="73"/>
      <c r="C30" s="13"/>
      <c r="D30" s="53"/>
      <c r="E30" s="13"/>
      <c r="F30" s="73"/>
    </row>
    <row r="31" customFormat="false" ht="19.5" hidden="false" customHeight="true" outlineLevel="0" collapsed="false">
      <c r="A31" s="50"/>
      <c r="B31" s="73"/>
      <c r="C31" s="13"/>
      <c r="D31" s="53"/>
      <c r="E31" s="13"/>
      <c r="F31" s="73"/>
    </row>
    <row r="32" customFormat="false" ht="19.5" hidden="false" customHeight="true" outlineLevel="0" collapsed="false">
      <c r="A32" s="50"/>
      <c r="B32" s="73"/>
      <c r="C32" s="13"/>
      <c r="D32" s="53"/>
      <c r="E32" s="13"/>
      <c r="F32" s="73"/>
    </row>
    <row r="33" customFormat="false" ht="19.5" hidden="false" customHeight="true" outlineLevel="0" collapsed="false">
      <c r="A33" s="50"/>
      <c r="B33" s="73"/>
      <c r="C33" s="13"/>
      <c r="D33" s="53"/>
      <c r="E33" s="13"/>
      <c r="F33" s="73"/>
    </row>
    <row r="34" customFormat="false" ht="19.5" hidden="false" customHeight="true" outlineLevel="0" collapsed="false">
      <c r="A34" s="50"/>
      <c r="B34" s="73"/>
      <c r="C34" s="13"/>
      <c r="D34" s="53"/>
      <c r="E34" s="13"/>
      <c r="F34" s="73"/>
    </row>
    <row r="35" customFormat="false" ht="19.5" hidden="false" customHeight="true" outlineLevel="0" collapsed="false">
      <c r="A35" s="50"/>
      <c r="B35" s="73"/>
      <c r="C35" s="13"/>
      <c r="D35" s="53"/>
      <c r="E35" s="13"/>
      <c r="F35" s="73"/>
    </row>
    <row r="36" customFormat="false" ht="19.5" hidden="false" customHeight="true" outlineLevel="0" collapsed="false">
      <c r="A36" s="50"/>
      <c r="B36" s="73"/>
      <c r="C36" s="13"/>
      <c r="D36" s="53"/>
      <c r="E36" s="13"/>
      <c r="F36" s="73"/>
    </row>
    <row r="37" customFormat="false" ht="19.5" hidden="false" customHeight="true" outlineLevel="0" collapsed="false">
      <c r="A37" s="50"/>
      <c r="B37" s="73"/>
      <c r="C37" s="13"/>
      <c r="D37" s="53"/>
      <c r="E37" s="13"/>
      <c r="F37" s="73"/>
    </row>
    <row r="38" customFormat="false" ht="19.5" hidden="false" customHeight="true" outlineLevel="0" collapsed="false">
      <c r="A38" s="50"/>
      <c r="B38" s="73"/>
      <c r="C38" s="13"/>
      <c r="D38" s="53"/>
      <c r="E38" s="13"/>
      <c r="F38" s="73"/>
    </row>
    <row r="39" customFormat="false" ht="19.5" hidden="false" customHeight="true" outlineLevel="0" collapsed="false">
      <c r="A39" s="50"/>
      <c r="B39" s="73"/>
      <c r="C39" s="13"/>
      <c r="D39" s="53"/>
      <c r="E39" s="13"/>
      <c r="F39" s="73"/>
    </row>
    <row r="40" customFormat="false" ht="19.5" hidden="false" customHeight="true" outlineLevel="0" collapsed="false">
      <c r="A40" s="50"/>
      <c r="B40" s="73"/>
      <c r="C40" s="13"/>
      <c r="D40" s="53"/>
      <c r="E40" s="13"/>
      <c r="F40" s="73"/>
    </row>
    <row r="41" customFormat="false" ht="19.5" hidden="false" customHeight="true" outlineLevel="0" collapsed="false">
      <c r="A41" s="50"/>
      <c r="B41" s="73"/>
      <c r="C41" s="13"/>
      <c r="D41" s="53"/>
      <c r="E41" s="13"/>
      <c r="F41" s="73"/>
    </row>
    <row r="42" customFormat="false" ht="19.5" hidden="false" customHeight="true" outlineLevel="0" collapsed="false">
      <c r="A42" s="50"/>
      <c r="B42" s="73"/>
      <c r="C42" s="13"/>
      <c r="D42" s="53"/>
      <c r="E42" s="13"/>
      <c r="F42" s="73"/>
    </row>
    <row r="43" customFormat="false" ht="19.5" hidden="false" customHeight="true" outlineLevel="0" collapsed="false">
      <c r="A43" s="50"/>
      <c r="B43" s="73"/>
      <c r="C43" s="13"/>
      <c r="D43" s="53"/>
      <c r="E43" s="13"/>
      <c r="F43" s="73"/>
    </row>
    <row r="44" customFormat="false" ht="19.5" hidden="false" customHeight="true" outlineLevel="0" collapsed="false">
      <c r="A44" s="50"/>
      <c r="B44" s="73"/>
      <c r="C44" s="13"/>
      <c r="D44" s="53"/>
      <c r="E44" s="13"/>
      <c r="F44" s="73"/>
    </row>
    <row r="45" customFormat="false" ht="19.5" hidden="false" customHeight="true" outlineLevel="0" collapsed="false">
      <c r="A45" s="50"/>
      <c r="B45" s="73"/>
      <c r="C45" s="13"/>
      <c r="D45" s="53"/>
      <c r="E45" s="13"/>
      <c r="F45" s="73"/>
    </row>
    <row r="46" customFormat="false" ht="19.5" hidden="false" customHeight="true" outlineLevel="0" collapsed="false">
      <c r="A46" s="50"/>
      <c r="B46" s="73"/>
      <c r="C46" s="13"/>
      <c r="D46" s="53"/>
      <c r="E46" s="13"/>
      <c r="F46" s="73"/>
    </row>
    <row r="47" customFormat="false" ht="19.5" hidden="false" customHeight="true" outlineLevel="0" collapsed="false">
      <c r="A47" s="50"/>
      <c r="B47" s="73"/>
      <c r="C47" s="13"/>
      <c r="D47" s="53"/>
      <c r="E47" s="13"/>
      <c r="F47" s="73"/>
    </row>
    <row r="48" customFormat="false" ht="19.5" hidden="false" customHeight="true" outlineLevel="0" collapsed="false">
      <c r="A48" s="50"/>
      <c r="B48" s="73"/>
      <c r="C48" s="13"/>
      <c r="D48" s="53"/>
      <c r="E48" s="13"/>
      <c r="F48" s="73"/>
    </row>
    <row r="49" customFormat="false" ht="19.5" hidden="false" customHeight="true" outlineLevel="0" collapsed="false">
      <c r="A49" s="50"/>
      <c r="B49" s="73"/>
      <c r="C49" s="13"/>
      <c r="D49" s="53"/>
      <c r="E49" s="13"/>
      <c r="F49" s="73"/>
    </row>
    <row r="50" customFormat="false" ht="19.5" hidden="false" customHeight="true" outlineLevel="0" collapsed="false">
      <c r="A50" s="50"/>
      <c r="B50" s="73"/>
      <c r="C50" s="13"/>
      <c r="D50" s="53"/>
      <c r="E50" s="13"/>
      <c r="F50" s="73"/>
    </row>
    <row r="51" customFormat="false" ht="19.5" hidden="false" customHeight="true" outlineLevel="0" collapsed="false">
      <c r="A51" s="50"/>
      <c r="B51" s="73"/>
      <c r="C51" s="13"/>
      <c r="D51" s="53"/>
      <c r="E51" s="13"/>
      <c r="F51" s="73"/>
    </row>
    <row r="52" customFormat="false" ht="19.5" hidden="false" customHeight="true" outlineLevel="0" collapsed="false">
      <c r="A52" s="50"/>
      <c r="B52" s="73"/>
      <c r="C52" s="13"/>
      <c r="D52" s="53"/>
      <c r="E52" s="13"/>
      <c r="F52" s="73"/>
    </row>
    <row r="53" customFormat="false" ht="19.5" hidden="false" customHeight="true" outlineLevel="0" collapsed="false">
      <c r="A53" s="50"/>
      <c r="B53" s="73"/>
      <c r="C53" s="13"/>
      <c r="D53" s="53"/>
      <c r="E53" s="13"/>
      <c r="F53" s="73"/>
    </row>
    <row r="54" customFormat="false" ht="19.5" hidden="false" customHeight="true" outlineLevel="0" collapsed="false">
      <c r="A54" s="50"/>
      <c r="B54" s="73"/>
      <c r="C54" s="13"/>
      <c r="D54" s="53"/>
      <c r="E54" s="13"/>
      <c r="F54" s="73"/>
    </row>
    <row r="55" customFormat="false" ht="19.5" hidden="false" customHeight="true" outlineLevel="0" collapsed="false">
      <c r="A55" s="50"/>
      <c r="B55" s="73"/>
      <c r="C55" s="13"/>
      <c r="D55" s="53"/>
      <c r="E55" s="13"/>
      <c r="F55" s="73"/>
    </row>
    <row r="56" customFormat="false" ht="19.5" hidden="false" customHeight="true" outlineLevel="0" collapsed="false">
      <c r="A56" s="50"/>
      <c r="B56" s="73"/>
      <c r="C56" s="13"/>
      <c r="D56" s="53"/>
      <c r="E56" s="13"/>
      <c r="F56" s="73"/>
    </row>
    <row r="57" customFormat="false" ht="19.5" hidden="false" customHeight="true" outlineLevel="0" collapsed="false">
      <c r="A57" s="50"/>
      <c r="B57" s="73"/>
      <c r="C57" s="13"/>
      <c r="D57" s="53"/>
      <c r="E57" s="13"/>
      <c r="F57" s="73"/>
    </row>
    <row r="58" customFormat="false" ht="19.5" hidden="false" customHeight="true" outlineLevel="0" collapsed="false">
      <c r="A58" s="50"/>
      <c r="B58" s="73"/>
      <c r="C58" s="13"/>
      <c r="D58" s="53"/>
      <c r="E58" s="13"/>
      <c r="F58" s="73"/>
    </row>
    <row r="59" customFormat="false" ht="19.5" hidden="false" customHeight="true" outlineLevel="0" collapsed="false">
      <c r="A59" s="50"/>
      <c r="B59" s="73"/>
      <c r="C59" s="13"/>
      <c r="D59" s="53"/>
      <c r="E59" s="13"/>
      <c r="F59" s="73"/>
    </row>
    <row r="60" customFormat="false" ht="19.5" hidden="false" customHeight="true" outlineLevel="0" collapsed="false">
      <c r="A60" s="50"/>
      <c r="B60" s="73"/>
      <c r="C60" s="13"/>
      <c r="D60" s="53"/>
      <c r="E60" s="13"/>
      <c r="F60" s="73"/>
    </row>
    <row r="61" customFormat="false" ht="19.5" hidden="false" customHeight="true" outlineLevel="0" collapsed="false">
      <c r="A61" s="50"/>
      <c r="B61" s="73"/>
      <c r="C61" s="13"/>
      <c r="D61" s="53"/>
      <c r="E61" s="13"/>
      <c r="F61" s="73"/>
    </row>
    <row r="62" customFormat="false" ht="19.5" hidden="false" customHeight="true" outlineLevel="0" collapsed="false">
      <c r="A62" s="50"/>
      <c r="B62" s="73"/>
      <c r="C62" s="13"/>
      <c r="D62" s="53"/>
      <c r="E62" s="13"/>
      <c r="F62" s="73"/>
    </row>
    <row r="63" customFormat="false" ht="19.5" hidden="false" customHeight="true" outlineLevel="0" collapsed="false">
      <c r="A63" s="50"/>
      <c r="B63" s="73"/>
      <c r="C63" s="13"/>
      <c r="D63" s="53"/>
      <c r="E63" s="13"/>
      <c r="F63" s="73"/>
    </row>
    <row r="64" customFormat="false" ht="19.5" hidden="false" customHeight="true" outlineLevel="0" collapsed="false">
      <c r="A64" s="50"/>
      <c r="B64" s="73"/>
      <c r="C64" s="13"/>
      <c r="D64" s="53"/>
      <c r="E64" s="13"/>
      <c r="F64" s="73"/>
    </row>
    <row r="65" customFormat="false" ht="19.5" hidden="false" customHeight="true" outlineLevel="0" collapsed="false">
      <c r="A65" s="50"/>
      <c r="B65" s="73"/>
      <c r="C65" s="13"/>
      <c r="D65" s="53"/>
      <c r="E65" s="13"/>
      <c r="F65" s="73"/>
    </row>
    <row r="66" customFormat="false" ht="19.5" hidden="false" customHeight="true" outlineLevel="0" collapsed="false">
      <c r="A66" s="50"/>
      <c r="B66" s="73"/>
      <c r="C66" s="13"/>
      <c r="D66" s="53"/>
      <c r="E66" s="13"/>
      <c r="F66" s="73"/>
    </row>
    <row r="67" customFormat="false" ht="19.5" hidden="false" customHeight="true" outlineLevel="0" collapsed="false">
      <c r="A67" s="50"/>
      <c r="B67" s="73"/>
      <c r="C67" s="13"/>
      <c r="D67" s="53"/>
      <c r="E67" s="13"/>
      <c r="F67" s="73"/>
    </row>
    <row r="68" customFormat="false" ht="19.5" hidden="false" customHeight="true" outlineLevel="0" collapsed="false">
      <c r="A68" s="50"/>
      <c r="B68" s="73"/>
      <c r="C68" s="13"/>
      <c r="D68" s="53"/>
      <c r="E68" s="13"/>
      <c r="F68" s="73"/>
    </row>
    <row r="69" customFormat="false" ht="19.5" hidden="false" customHeight="true" outlineLevel="0" collapsed="false">
      <c r="A69" s="50"/>
      <c r="B69" s="73"/>
      <c r="C69" s="13"/>
      <c r="D69" s="53"/>
      <c r="E69" s="13"/>
      <c r="F69" s="73"/>
    </row>
    <row r="70" customFormat="false" ht="19.5" hidden="false" customHeight="true" outlineLevel="0" collapsed="false">
      <c r="A70" s="50"/>
      <c r="B70" s="73"/>
      <c r="C70" s="13"/>
      <c r="D70" s="53"/>
      <c r="E70" s="13"/>
      <c r="F70" s="73"/>
    </row>
    <row r="71" customFormat="false" ht="19.5" hidden="false" customHeight="true" outlineLevel="0" collapsed="false">
      <c r="A71" s="50"/>
      <c r="B71" s="73"/>
      <c r="C71" s="13"/>
      <c r="D71" s="53"/>
      <c r="E71" s="13"/>
      <c r="F71" s="73"/>
    </row>
    <row r="72" customFormat="false" ht="19.5" hidden="false" customHeight="true" outlineLevel="0" collapsed="false">
      <c r="A72" s="50"/>
      <c r="B72" s="73"/>
      <c r="C72" s="13"/>
      <c r="D72" s="53"/>
      <c r="E72" s="13"/>
      <c r="F72" s="73"/>
    </row>
    <row r="73" customFormat="false" ht="19.5" hidden="false" customHeight="true" outlineLevel="0" collapsed="false">
      <c r="A73" s="50"/>
      <c r="B73" s="73"/>
      <c r="C73" s="13"/>
      <c r="D73" s="53"/>
      <c r="E73" s="13"/>
      <c r="F73" s="73"/>
    </row>
    <row r="74" customFormat="false" ht="19.5" hidden="false" customHeight="true" outlineLevel="0" collapsed="false">
      <c r="A74" s="50"/>
      <c r="B74" s="73"/>
      <c r="C74" s="13"/>
      <c r="D74" s="53"/>
      <c r="E74" s="13"/>
      <c r="F74" s="73"/>
    </row>
    <row r="75" customFormat="false" ht="19.5" hidden="false" customHeight="true" outlineLevel="0" collapsed="false">
      <c r="A75" s="50"/>
      <c r="B75" s="73"/>
      <c r="C75" s="13"/>
      <c r="D75" s="53"/>
      <c r="E75" s="13"/>
      <c r="F75" s="73"/>
    </row>
    <row r="76" customFormat="false" ht="19.5" hidden="false" customHeight="true" outlineLevel="0" collapsed="false">
      <c r="A76" s="50"/>
      <c r="B76" s="73"/>
      <c r="C76" s="13"/>
      <c r="D76" s="53"/>
      <c r="E76" s="13"/>
      <c r="F76" s="73"/>
    </row>
    <row r="77" customFormat="false" ht="19.5" hidden="false" customHeight="true" outlineLevel="0" collapsed="false">
      <c r="A77" s="50"/>
      <c r="B77" s="73"/>
      <c r="C77" s="13"/>
      <c r="D77" s="53"/>
      <c r="E77" s="13"/>
      <c r="F77" s="73"/>
    </row>
    <row r="78" customFormat="false" ht="19.5" hidden="false" customHeight="true" outlineLevel="0" collapsed="false">
      <c r="A78" s="50"/>
      <c r="B78" s="73"/>
      <c r="C78" s="13"/>
      <c r="D78" s="53"/>
      <c r="E78" s="13"/>
      <c r="F78" s="73"/>
    </row>
    <row r="79" customFormat="false" ht="19.5" hidden="false" customHeight="true" outlineLevel="0" collapsed="false">
      <c r="A79" s="50"/>
      <c r="B79" s="73"/>
      <c r="C79" s="13"/>
      <c r="D79" s="53"/>
      <c r="E79" s="13"/>
      <c r="F79" s="73"/>
    </row>
    <row r="80" customFormat="false" ht="19.5" hidden="false" customHeight="true" outlineLevel="0" collapsed="false">
      <c r="A80" s="50"/>
      <c r="B80" s="73"/>
      <c r="C80" s="13"/>
      <c r="D80" s="53"/>
      <c r="E80" s="13"/>
      <c r="F80" s="73"/>
    </row>
    <row r="81" customFormat="false" ht="19.5" hidden="false" customHeight="true" outlineLevel="0" collapsed="false">
      <c r="A81" s="50"/>
      <c r="B81" s="73"/>
      <c r="C81" s="13"/>
      <c r="D81" s="53"/>
      <c r="E81" s="13"/>
      <c r="F81" s="73"/>
    </row>
    <row r="82" customFormat="false" ht="19.5" hidden="false" customHeight="true" outlineLevel="0" collapsed="false">
      <c r="A82" s="50"/>
      <c r="B82" s="73"/>
      <c r="C82" s="13"/>
      <c r="D82" s="53"/>
      <c r="E82" s="13"/>
      <c r="F82" s="73"/>
    </row>
    <row r="83" customFormat="false" ht="19.5" hidden="false" customHeight="true" outlineLevel="0" collapsed="false">
      <c r="A83" s="50"/>
      <c r="B83" s="73"/>
      <c r="C83" s="13"/>
      <c r="D83" s="53"/>
      <c r="E83" s="13"/>
      <c r="F83" s="73"/>
    </row>
    <row r="84" customFormat="false" ht="19.5" hidden="false" customHeight="true" outlineLevel="0" collapsed="false">
      <c r="A84" s="50"/>
      <c r="B84" s="73"/>
      <c r="C84" s="13"/>
      <c r="D84" s="53"/>
      <c r="E84" s="13"/>
      <c r="F84" s="73"/>
    </row>
    <row r="85" customFormat="false" ht="19.5" hidden="false" customHeight="true" outlineLevel="0" collapsed="false">
      <c r="A85" s="50"/>
      <c r="B85" s="73"/>
      <c r="C85" s="13"/>
      <c r="D85" s="53"/>
      <c r="E85" s="13"/>
      <c r="F85" s="73"/>
    </row>
    <row r="86" customFormat="false" ht="19.5" hidden="false" customHeight="true" outlineLevel="0" collapsed="false">
      <c r="A86" s="50"/>
      <c r="B86" s="73"/>
      <c r="C86" s="13"/>
      <c r="D86" s="53"/>
      <c r="E86" s="13"/>
      <c r="F86" s="73"/>
    </row>
    <row r="87" customFormat="false" ht="19.5" hidden="false" customHeight="true" outlineLevel="0" collapsed="false">
      <c r="A87" s="50"/>
      <c r="B87" s="73"/>
      <c r="C87" s="13"/>
      <c r="D87" s="53"/>
      <c r="E87" s="13"/>
      <c r="F87" s="73"/>
    </row>
    <row r="88" customFormat="false" ht="19.5" hidden="false" customHeight="true" outlineLevel="0" collapsed="false">
      <c r="A88" s="50"/>
      <c r="B88" s="73"/>
      <c r="C88" s="13"/>
      <c r="D88" s="53"/>
      <c r="E88" s="13"/>
      <c r="F88" s="73"/>
    </row>
    <row r="89" customFormat="false" ht="19.5" hidden="false" customHeight="true" outlineLevel="0" collapsed="false">
      <c r="A89" s="50"/>
      <c r="B89" s="73"/>
      <c r="C89" s="13"/>
      <c r="D89" s="53"/>
      <c r="E89" s="13"/>
      <c r="F89" s="73"/>
    </row>
    <row r="90" customFormat="false" ht="19.5" hidden="false" customHeight="true" outlineLevel="0" collapsed="false">
      <c r="A90" s="50"/>
      <c r="B90" s="73"/>
      <c r="C90" s="13"/>
      <c r="D90" s="53"/>
      <c r="E90" s="13"/>
      <c r="F90" s="73"/>
    </row>
    <row r="91" customFormat="false" ht="19.5" hidden="false" customHeight="true" outlineLevel="0" collapsed="false">
      <c r="A91" s="50"/>
      <c r="B91" s="73"/>
      <c r="C91" s="13"/>
      <c r="D91" s="53"/>
      <c r="E91" s="13"/>
      <c r="F91" s="73"/>
    </row>
    <row r="92" customFormat="false" ht="19.5" hidden="false" customHeight="true" outlineLevel="0" collapsed="false">
      <c r="A92" s="50"/>
      <c r="B92" s="73"/>
      <c r="C92" s="13"/>
      <c r="D92" s="53"/>
      <c r="E92" s="13"/>
      <c r="F92" s="73"/>
    </row>
    <row r="93" customFormat="false" ht="19.5" hidden="false" customHeight="true" outlineLevel="0" collapsed="false">
      <c r="A93" s="50"/>
      <c r="B93" s="73"/>
      <c r="C93" s="13"/>
      <c r="D93" s="53"/>
      <c r="E93" s="13"/>
      <c r="F93" s="73"/>
    </row>
    <row r="94" customFormat="false" ht="19.5" hidden="false" customHeight="true" outlineLevel="0" collapsed="false">
      <c r="A94" s="50"/>
      <c r="B94" s="73"/>
      <c r="C94" s="13"/>
      <c r="D94" s="53"/>
      <c r="E94" s="13"/>
      <c r="F94" s="73"/>
    </row>
    <row r="95" customFormat="false" ht="19.5" hidden="false" customHeight="true" outlineLevel="0" collapsed="false">
      <c r="A95" s="50"/>
      <c r="B95" s="73"/>
      <c r="C95" s="13"/>
      <c r="D95" s="53"/>
      <c r="E95" s="13"/>
      <c r="F95" s="73"/>
    </row>
    <row r="96" customFormat="false" ht="19.5" hidden="false" customHeight="true" outlineLevel="0" collapsed="false">
      <c r="A96" s="50"/>
      <c r="B96" s="73"/>
      <c r="C96" s="13"/>
      <c r="D96" s="53"/>
      <c r="E96" s="13"/>
      <c r="F96" s="73"/>
    </row>
    <row r="97" customFormat="false" ht="19.5" hidden="false" customHeight="true" outlineLevel="0" collapsed="false">
      <c r="A97" s="50"/>
      <c r="B97" s="73"/>
      <c r="C97" s="13"/>
      <c r="D97" s="53"/>
      <c r="E97" s="13"/>
      <c r="F97" s="73"/>
    </row>
    <row r="98" customFormat="false" ht="19.5" hidden="false" customHeight="true" outlineLevel="0" collapsed="false">
      <c r="A98" s="50"/>
      <c r="B98" s="73"/>
      <c r="C98" s="13"/>
      <c r="D98" s="53"/>
      <c r="E98" s="13"/>
      <c r="F98" s="73"/>
    </row>
    <row r="99" customFormat="false" ht="19.5" hidden="false" customHeight="true" outlineLevel="0" collapsed="false">
      <c r="A99" s="50"/>
      <c r="B99" s="73"/>
      <c r="C99" s="13"/>
      <c r="D99" s="53"/>
      <c r="E99" s="13"/>
      <c r="F99" s="73"/>
    </row>
    <row r="100" customFormat="false" ht="19.5" hidden="false" customHeight="true" outlineLevel="0" collapsed="false">
      <c r="A100" s="50"/>
      <c r="B100" s="73"/>
      <c r="C100" s="13"/>
      <c r="D100" s="53"/>
      <c r="E100" s="13"/>
      <c r="F100" s="73"/>
    </row>
    <row r="101" customFormat="false" ht="19.5" hidden="false" customHeight="true" outlineLevel="0" collapsed="false">
      <c r="A101" s="50"/>
      <c r="B101" s="73"/>
      <c r="C101" s="13"/>
      <c r="D101" s="53"/>
      <c r="E101" s="13"/>
      <c r="F101" s="73"/>
    </row>
    <row r="102" customFormat="false" ht="19.5" hidden="false" customHeight="true" outlineLevel="0" collapsed="false">
      <c r="A102" s="50"/>
      <c r="B102" s="73"/>
      <c r="C102" s="13"/>
      <c r="D102" s="53"/>
      <c r="E102" s="13"/>
      <c r="F102" s="73"/>
    </row>
    <row r="103" customFormat="false" ht="19.5" hidden="false" customHeight="true" outlineLevel="0" collapsed="false">
      <c r="A103" s="50"/>
      <c r="B103" s="73"/>
      <c r="C103" s="13"/>
      <c r="D103" s="53"/>
      <c r="E103" s="13"/>
      <c r="F103" s="73"/>
    </row>
    <row r="104" customFormat="false" ht="19.5" hidden="false" customHeight="true" outlineLevel="0" collapsed="false">
      <c r="A104" s="50"/>
      <c r="B104" s="73"/>
      <c r="C104" s="13"/>
      <c r="D104" s="53"/>
      <c r="E104" s="13"/>
      <c r="F104" s="73"/>
    </row>
    <row r="105" customFormat="false" ht="19.5" hidden="false" customHeight="true" outlineLevel="0" collapsed="false">
      <c r="A105" s="50"/>
      <c r="B105" s="73"/>
      <c r="C105" s="13"/>
      <c r="D105" s="53"/>
      <c r="E105" s="13"/>
      <c r="F105" s="73"/>
    </row>
    <row r="106" customFormat="false" ht="19.5" hidden="false" customHeight="true" outlineLevel="0" collapsed="false">
      <c r="A106" s="50"/>
      <c r="B106" s="73"/>
      <c r="C106" s="13"/>
      <c r="D106" s="53"/>
      <c r="E106" s="13"/>
      <c r="F106" s="73"/>
    </row>
    <row r="107" customFormat="false" ht="19.5" hidden="false" customHeight="true" outlineLevel="0" collapsed="false">
      <c r="A107" s="50"/>
      <c r="B107" s="73"/>
      <c r="C107" s="13"/>
      <c r="D107" s="53"/>
      <c r="E107" s="13"/>
      <c r="F107" s="73"/>
    </row>
    <row r="108" customFormat="false" ht="19.5" hidden="false" customHeight="true" outlineLevel="0" collapsed="false">
      <c r="A108" s="50"/>
      <c r="B108" s="73"/>
      <c r="C108" s="13"/>
      <c r="D108" s="53"/>
      <c r="E108" s="13"/>
      <c r="F108" s="73"/>
    </row>
    <row r="109" customFormat="false" ht="19.5" hidden="false" customHeight="true" outlineLevel="0" collapsed="false">
      <c r="A109" s="50"/>
      <c r="B109" s="73"/>
      <c r="C109" s="13"/>
      <c r="D109" s="53"/>
      <c r="E109" s="13"/>
      <c r="F109" s="73"/>
    </row>
    <row r="110" customFormat="false" ht="19.5" hidden="false" customHeight="true" outlineLevel="0" collapsed="false">
      <c r="A110" s="50"/>
      <c r="B110" s="73"/>
      <c r="C110" s="13"/>
      <c r="D110" s="53"/>
      <c r="E110" s="13"/>
      <c r="F110" s="73"/>
    </row>
    <row r="111" customFormat="false" ht="19.5" hidden="false" customHeight="true" outlineLevel="0" collapsed="false">
      <c r="A111" s="50"/>
      <c r="B111" s="73"/>
      <c r="C111" s="13"/>
      <c r="D111" s="53"/>
      <c r="E111" s="13"/>
      <c r="F111" s="73"/>
    </row>
    <row r="112" customFormat="false" ht="19.5" hidden="false" customHeight="true" outlineLevel="0" collapsed="false">
      <c r="A112" s="50"/>
      <c r="B112" s="73"/>
      <c r="C112" s="13"/>
      <c r="D112" s="53"/>
      <c r="E112" s="13"/>
      <c r="F112" s="73"/>
    </row>
    <row r="113" customFormat="false" ht="19.5" hidden="false" customHeight="true" outlineLevel="0" collapsed="false">
      <c r="A113" s="50"/>
      <c r="B113" s="73"/>
      <c r="C113" s="13"/>
      <c r="D113" s="53"/>
      <c r="E113" s="13"/>
      <c r="F113" s="73"/>
    </row>
    <row r="114" customFormat="false" ht="19.5" hidden="false" customHeight="true" outlineLevel="0" collapsed="false">
      <c r="A114" s="50"/>
      <c r="B114" s="73"/>
      <c r="C114" s="13"/>
      <c r="D114" s="53"/>
      <c r="E114" s="13"/>
      <c r="F114" s="73"/>
    </row>
    <row r="115" customFormat="false" ht="19.5" hidden="false" customHeight="true" outlineLevel="0" collapsed="false">
      <c r="A115" s="50"/>
      <c r="B115" s="73"/>
      <c r="C115" s="13"/>
      <c r="D115" s="53"/>
      <c r="E115" s="13"/>
      <c r="F115" s="73"/>
    </row>
    <row r="116" customFormat="false" ht="19.5" hidden="false" customHeight="true" outlineLevel="0" collapsed="false">
      <c r="A116" s="50"/>
      <c r="B116" s="73"/>
      <c r="C116" s="13"/>
      <c r="D116" s="53"/>
      <c r="E116" s="13"/>
      <c r="F116" s="73"/>
    </row>
    <row r="117" customFormat="false" ht="19.5" hidden="false" customHeight="true" outlineLevel="0" collapsed="false">
      <c r="A117" s="50"/>
      <c r="B117" s="73"/>
      <c r="C117" s="13"/>
      <c r="D117" s="53"/>
      <c r="E117" s="13"/>
      <c r="F117" s="73"/>
    </row>
    <row r="118" customFormat="false" ht="19.5" hidden="false" customHeight="true" outlineLevel="0" collapsed="false">
      <c r="A118" s="50"/>
      <c r="B118" s="73"/>
      <c r="C118" s="13"/>
      <c r="D118" s="53"/>
      <c r="E118" s="13"/>
      <c r="F118" s="73"/>
    </row>
    <row r="119" customFormat="false" ht="19.5" hidden="false" customHeight="true" outlineLevel="0" collapsed="false">
      <c r="A119" s="50"/>
      <c r="B119" s="73"/>
      <c r="C119" s="13"/>
      <c r="D119" s="53"/>
      <c r="E119" s="13"/>
      <c r="F119" s="73"/>
    </row>
    <row r="120" customFormat="false" ht="19.5" hidden="false" customHeight="true" outlineLevel="0" collapsed="false">
      <c r="A120" s="50"/>
      <c r="B120" s="73"/>
      <c r="C120" s="13"/>
      <c r="D120" s="53"/>
      <c r="E120" s="13"/>
      <c r="F120" s="73"/>
    </row>
    <row r="121" customFormat="false" ht="19.5" hidden="false" customHeight="true" outlineLevel="0" collapsed="false">
      <c r="A121" s="50"/>
      <c r="B121" s="73"/>
      <c r="C121" s="13"/>
      <c r="D121" s="53"/>
      <c r="E121" s="13"/>
      <c r="F121" s="73"/>
    </row>
    <row r="122" customFormat="false" ht="19.5" hidden="false" customHeight="true" outlineLevel="0" collapsed="false">
      <c r="A122" s="50"/>
      <c r="B122" s="73"/>
      <c r="C122" s="13"/>
      <c r="D122" s="53"/>
      <c r="E122" s="13"/>
      <c r="F122" s="73"/>
    </row>
    <row r="123" customFormat="false" ht="19.5" hidden="false" customHeight="true" outlineLevel="0" collapsed="false">
      <c r="A123" s="50"/>
      <c r="B123" s="73"/>
      <c r="C123" s="13"/>
      <c r="D123" s="53"/>
      <c r="E123" s="13"/>
      <c r="F123" s="73"/>
    </row>
    <row r="124" customFormat="false" ht="19.5" hidden="false" customHeight="true" outlineLevel="0" collapsed="false">
      <c r="A124" s="50"/>
      <c r="B124" s="73"/>
      <c r="C124" s="13"/>
      <c r="D124" s="53"/>
      <c r="E124" s="13"/>
      <c r="F124" s="73"/>
    </row>
    <row r="125" customFormat="false" ht="19.5" hidden="false" customHeight="true" outlineLevel="0" collapsed="false">
      <c r="A125" s="50"/>
      <c r="B125" s="73"/>
      <c r="C125" s="13"/>
      <c r="D125" s="53"/>
      <c r="E125" s="13"/>
      <c r="F125" s="73"/>
    </row>
    <row r="126" customFormat="false" ht="19.5" hidden="false" customHeight="true" outlineLevel="0" collapsed="false">
      <c r="A126" s="50"/>
      <c r="B126" s="73"/>
      <c r="C126" s="13"/>
      <c r="D126" s="53"/>
      <c r="E126" s="13"/>
      <c r="F126" s="73"/>
    </row>
    <row r="127" customFormat="false" ht="19.5" hidden="false" customHeight="true" outlineLevel="0" collapsed="false">
      <c r="A127" s="50"/>
      <c r="B127" s="73"/>
      <c r="C127" s="13"/>
      <c r="D127" s="53"/>
      <c r="E127" s="13"/>
      <c r="F127" s="73"/>
    </row>
    <row r="128" customFormat="false" ht="19.5" hidden="false" customHeight="true" outlineLevel="0" collapsed="false">
      <c r="A128" s="50"/>
      <c r="B128" s="73"/>
      <c r="C128" s="13"/>
      <c r="D128" s="53"/>
      <c r="E128" s="13"/>
      <c r="F128" s="73"/>
    </row>
    <row r="129" customFormat="false" ht="19.5" hidden="false" customHeight="true" outlineLevel="0" collapsed="false">
      <c r="A129" s="50"/>
      <c r="B129" s="73"/>
      <c r="C129" s="13"/>
      <c r="D129" s="53"/>
      <c r="E129" s="13"/>
      <c r="F129" s="73"/>
    </row>
    <row r="130" customFormat="false" ht="19.5" hidden="false" customHeight="true" outlineLevel="0" collapsed="false">
      <c r="A130" s="50"/>
      <c r="B130" s="73"/>
      <c r="C130" s="13"/>
      <c r="D130" s="53"/>
      <c r="E130" s="13"/>
      <c r="F130" s="73"/>
    </row>
    <row r="131" customFormat="false" ht="19.5" hidden="false" customHeight="true" outlineLevel="0" collapsed="false">
      <c r="A131" s="50"/>
      <c r="B131" s="73"/>
      <c r="C131" s="13"/>
      <c r="D131" s="53"/>
      <c r="E131" s="13"/>
      <c r="F131" s="73"/>
    </row>
    <row r="132" customFormat="false" ht="19.5" hidden="false" customHeight="true" outlineLevel="0" collapsed="false">
      <c r="A132" s="50"/>
      <c r="B132" s="73"/>
      <c r="C132" s="13"/>
      <c r="D132" s="53"/>
      <c r="E132" s="13"/>
      <c r="F132" s="73"/>
    </row>
    <row r="133" customFormat="false" ht="19.5" hidden="false" customHeight="true" outlineLevel="0" collapsed="false">
      <c r="A133" s="50"/>
      <c r="B133" s="73"/>
      <c r="C133" s="13"/>
      <c r="D133" s="53"/>
      <c r="E133" s="13"/>
      <c r="F133" s="73"/>
    </row>
    <row r="134" customFormat="false" ht="19.5" hidden="false" customHeight="true" outlineLevel="0" collapsed="false">
      <c r="A134" s="50"/>
      <c r="B134" s="73"/>
      <c r="C134" s="13"/>
      <c r="D134" s="53"/>
      <c r="E134" s="13"/>
      <c r="F134" s="73"/>
    </row>
    <row r="135" customFormat="false" ht="19.5" hidden="false" customHeight="true" outlineLevel="0" collapsed="false">
      <c r="A135" s="50"/>
      <c r="B135" s="73"/>
      <c r="C135" s="13"/>
      <c r="D135" s="53"/>
      <c r="E135" s="13"/>
      <c r="F135" s="73"/>
    </row>
    <row r="136" customFormat="false" ht="19.5" hidden="false" customHeight="true" outlineLevel="0" collapsed="false">
      <c r="A136" s="50"/>
      <c r="B136" s="73"/>
      <c r="C136" s="13"/>
      <c r="D136" s="53"/>
      <c r="E136" s="13"/>
      <c r="F136" s="73"/>
    </row>
    <row r="137" customFormat="false" ht="19.5" hidden="false" customHeight="true" outlineLevel="0" collapsed="false">
      <c r="A137" s="50"/>
      <c r="B137" s="73"/>
      <c r="C137" s="13"/>
      <c r="D137" s="53"/>
      <c r="E137" s="13"/>
      <c r="F137" s="73"/>
    </row>
    <row r="138" customFormat="false" ht="19.5" hidden="false" customHeight="true" outlineLevel="0" collapsed="false">
      <c r="A138" s="50"/>
      <c r="B138" s="73"/>
      <c r="C138" s="13"/>
      <c r="D138" s="53"/>
      <c r="E138" s="13"/>
      <c r="F138" s="73"/>
    </row>
    <row r="139" customFormat="false" ht="19.5" hidden="false" customHeight="true" outlineLevel="0" collapsed="false">
      <c r="A139" s="50"/>
      <c r="B139" s="73"/>
      <c r="C139" s="13"/>
      <c r="D139" s="53"/>
      <c r="E139" s="13"/>
      <c r="F139" s="73"/>
    </row>
    <row r="140" customFormat="false" ht="19.5" hidden="false" customHeight="true" outlineLevel="0" collapsed="false">
      <c r="A140" s="50"/>
      <c r="B140" s="73"/>
      <c r="C140" s="13"/>
      <c r="D140" s="53"/>
      <c r="E140" s="13"/>
      <c r="F140" s="73"/>
    </row>
    <row r="141" customFormat="false" ht="19.5" hidden="false" customHeight="true" outlineLevel="0" collapsed="false">
      <c r="A141" s="50"/>
      <c r="B141" s="73"/>
      <c r="C141" s="13"/>
      <c r="D141" s="53"/>
      <c r="E141" s="13"/>
      <c r="F141" s="73"/>
    </row>
    <row r="142" customFormat="false" ht="19.5" hidden="false" customHeight="true" outlineLevel="0" collapsed="false">
      <c r="A142" s="50"/>
      <c r="B142" s="73"/>
      <c r="C142" s="13"/>
      <c r="D142" s="53"/>
      <c r="E142" s="13"/>
      <c r="F142" s="73"/>
    </row>
    <row r="143" customFormat="false" ht="19.5" hidden="false" customHeight="true" outlineLevel="0" collapsed="false">
      <c r="A143" s="50"/>
      <c r="B143" s="73"/>
      <c r="C143" s="13"/>
      <c r="D143" s="53"/>
      <c r="E143" s="13"/>
      <c r="F143" s="73"/>
    </row>
    <row r="144" customFormat="false" ht="19.5" hidden="false" customHeight="true" outlineLevel="0" collapsed="false">
      <c r="A144" s="50"/>
      <c r="B144" s="73"/>
      <c r="C144" s="13"/>
      <c r="D144" s="53"/>
      <c r="E144" s="13"/>
      <c r="F144" s="73"/>
    </row>
    <row r="145" customFormat="false" ht="19.5" hidden="false" customHeight="true" outlineLevel="0" collapsed="false">
      <c r="A145" s="50"/>
      <c r="B145" s="73"/>
      <c r="C145" s="13"/>
      <c r="D145" s="53"/>
      <c r="E145" s="13"/>
      <c r="F145" s="73"/>
    </row>
    <row r="146" customFormat="false" ht="19.5" hidden="false" customHeight="true" outlineLevel="0" collapsed="false">
      <c r="A146" s="50"/>
      <c r="B146" s="73"/>
      <c r="C146" s="13"/>
      <c r="D146" s="53"/>
      <c r="E146" s="13"/>
      <c r="F146" s="73"/>
    </row>
    <row r="147" customFormat="false" ht="19.5" hidden="false" customHeight="true" outlineLevel="0" collapsed="false">
      <c r="A147" s="50"/>
      <c r="B147" s="73"/>
      <c r="C147" s="13"/>
      <c r="D147" s="53"/>
      <c r="E147" s="13"/>
      <c r="F147" s="73"/>
    </row>
    <row r="148" customFormat="false" ht="19.5" hidden="false" customHeight="true" outlineLevel="0" collapsed="false">
      <c r="A148" s="50"/>
      <c r="B148" s="73"/>
      <c r="C148" s="13"/>
      <c r="D148" s="53"/>
      <c r="E148" s="13"/>
      <c r="F148" s="73"/>
    </row>
    <row r="149" customFormat="false" ht="19.5" hidden="false" customHeight="true" outlineLevel="0" collapsed="false">
      <c r="A149" s="50"/>
      <c r="B149" s="73"/>
      <c r="C149" s="13"/>
      <c r="D149" s="53"/>
      <c r="E149" s="13"/>
      <c r="F149" s="73"/>
    </row>
    <row r="150" customFormat="false" ht="19.5" hidden="false" customHeight="true" outlineLevel="0" collapsed="false">
      <c r="A150" s="50"/>
      <c r="B150" s="73"/>
      <c r="C150" s="13"/>
      <c r="D150" s="53"/>
      <c r="E150" s="13"/>
      <c r="F150" s="73"/>
    </row>
    <row r="151" customFormat="false" ht="19.5" hidden="false" customHeight="true" outlineLevel="0" collapsed="false">
      <c r="A151" s="50"/>
      <c r="B151" s="73"/>
      <c r="C151" s="13"/>
      <c r="D151" s="53"/>
      <c r="E151" s="13"/>
      <c r="F151" s="73"/>
    </row>
    <row r="152" customFormat="false" ht="19.5" hidden="false" customHeight="true" outlineLevel="0" collapsed="false">
      <c r="A152" s="50"/>
      <c r="B152" s="73"/>
      <c r="C152" s="13"/>
      <c r="D152" s="53"/>
      <c r="E152" s="13"/>
      <c r="F152" s="73"/>
    </row>
    <row r="153" customFormat="false" ht="19.5" hidden="false" customHeight="true" outlineLevel="0" collapsed="false">
      <c r="A153" s="50"/>
      <c r="B153" s="73"/>
      <c r="C153" s="13"/>
      <c r="D153" s="53"/>
      <c r="E153" s="13"/>
      <c r="F153" s="73"/>
    </row>
    <row r="154" customFormat="false" ht="19.5" hidden="false" customHeight="true" outlineLevel="0" collapsed="false">
      <c r="A154" s="50"/>
      <c r="B154" s="73"/>
      <c r="C154" s="13"/>
      <c r="D154" s="53"/>
      <c r="E154" s="13"/>
      <c r="F154" s="73"/>
    </row>
    <row r="155" customFormat="false" ht="19.5" hidden="false" customHeight="true" outlineLevel="0" collapsed="false">
      <c r="A155" s="50"/>
      <c r="B155" s="73"/>
      <c r="C155" s="13"/>
      <c r="D155" s="53"/>
      <c r="E155" s="13"/>
      <c r="F155" s="73"/>
    </row>
    <row r="156" customFormat="false" ht="19.5" hidden="false" customHeight="true" outlineLevel="0" collapsed="false">
      <c r="A156" s="50"/>
      <c r="B156" s="73"/>
      <c r="C156" s="13"/>
      <c r="D156" s="53"/>
      <c r="E156" s="13"/>
      <c r="F156" s="73"/>
    </row>
    <row r="157" customFormat="false" ht="19.5" hidden="false" customHeight="true" outlineLevel="0" collapsed="false">
      <c r="A157" s="50"/>
      <c r="B157" s="73"/>
      <c r="C157" s="13"/>
      <c r="D157" s="53"/>
      <c r="E157" s="13"/>
      <c r="F157" s="73"/>
    </row>
    <row r="158" customFormat="false" ht="19.5" hidden="false" customHeight="true" outlineLevel="0" collapsed="false">
      <c r="A158" s="50"/>
      <c r="B158" s="73"/>
      <c r="C158" s="13"/>
      <c r="D158" s="53"/>
      <c r="E158" s="13"/>
      <c r="F158" s="73"/>
    </row>
    <row r="159" customFormat="false" ht="19.5" hidden="false" customHeight="true" outlineLevel="0" collapsed="false">
      <c r="A159" s="50"/>
      <c r="B159" s="73"/>
      <c r="C159" s="13"/>
      <c r="D159" s="53"/>
      <c r="E159" s="13"/>
      <c r="F159" s="73"/>
    </row>
    <row r="160" customFormat="false" ht="19.5" hidden="false" customHeight="true" outlineLevel="0" collapsed="false">
      <c r="A160" s="50"/>
      <c r="B160" s="73"/>
      <c r="C160" s="13"/>
      <c r="D160" s="53"/>
      <c r="E160" s="13"/>
      <c r="F160" s="73"/>
    </row>
    <row r="161" customFormat="false" ht="19.5" hidden="false" customHeight="true" outlineLevel="0" collapsed="false">
      <c r="A161" s="50"/>
      <c r="B161" s="73"/>
      <c r="C161" s="13"/>
      <c r="D161" s="53"/>
      <c r="E161" s="13"/>
      <c r="F161" s="73"/>
    </row>
    <row r="162" customFormat="false" ht="19.5" hidden="false" customHeight="true" outlineLevel="0" collapsed="false">
      <c r="A162" s="50"/>
      <c r="B162" s="73"/>
      <c r="C162" s="13"/>
      <c r="D162" s="53"/>
      <c r="E162" s="13"/>
      <c r="F162" s="73"/>
    </row>
    <row r="163" customFormat="false" ht="19.5" hidden="false" customHeight="true" outlineLevel="0" collapsed="false">
      <c r="A163" s="50"/>
      <c r="B163" s="73"/>
      <c r="C163" s="13"/>
      <c r="D163" s="53"/>
      <c r="E163" s="13"/>
      <c r="F163" s="73"/>
    </row>
    <row r="164" customFormat="false" ht="19.5" hidden="false" customHeight="true" outlineLevel="0" collapsed="false">
      <c r="A164" s="50"/>
      <c r="B164" s="73"/>
      <c r="C164" s="13"/>
      <c r="D164" s="53"/>
      <c r="E164" s="13"/>
      <c r="F164" s="73"/>
    </row>
    <row r="165" customFormat="false" ht="19.5" hidden="false" customHeight="true" outlineLevel="0" collapsed="false">
      <c r="A165" s="50"/>
      <c r="B165" s="73"/>
      <c r="C165" s="13"/>
      <c r="D165" s="53"/>
      <c r="E165" s="13"/>
      <c r="F165" s="73"/>
    </row>
    <row r="166" customFormat="false" ht="19.5" hidden="false" customHeight="true" outlineLevel="0" collapsed="false">
      <c r="A166" s="50"/>
      <c r="B166" s="73"/>
      <c r="C166" s="13"/>
      <c r="D166" s="53"/>
      <c r="E166" s="13"/>
      <c r="F166" s="73"/>
    </row>
    <row r="167" customFormat="false" ht="19.5" hidden="false" customHeight="true" outlineLevel="0" collapsed="false">
      <c r="A167" s="50"/>
      <c r="B167" s="73"/>
      <c r="C167" s="13"/>
      <c r="D167" s="53"/>
      <c r="E167" s="13"/>
      <c r="F167" s="73"/>
    </row>
    <row r="168" customFormat="false" ht="19.5" hidden="false" customHeight="true" outlineLevel="0" collapsed="false">
      <c r="A168" s="50"/>
      <c r="B168" s="73"/>
      <c r="C168" s="13"/>
      <c r="D168" s="53"/>
      <c r="E168" s="13"/>
      <c r="F168" s="73"/>
    </row>
    <row r="169" customFormat="false" ht="19.5" hidden="false" customHeight="true" outlineLevel="0" collapsed="false">
      <c r="A169" s="50"/>
      <c r="B169" s="73"/>
      <c r="C169" s="13"/>
      <c r="D169" s="53"/>
      <c r="E169" s="13"/>
      <c r="F169" s="73"/>
    </row>
    <row r="170" customFormat="false" ht="19.5" hidden="false" customHeight="true" outlineLevel="0" collapsed="false">
      <c r="A170" s="50"/>
      <c r="B170" s="73"/>
      <c r="C170" s="13"/>
      <c r="D170" s="53"/>
      <c r="E170" s="13"/>
      <c r="F170" s="73"/>
    </row>
    <row r="171" customFormat="false" ht="19.5" hidden="false" customHeight="true" outlineLevel="0" collapsed="false">
      <c r="A171" s="50"/>
      <c r="B171" s="73"/>
      <c r="C171" s="13"/>
      <c r="D171" s="53"/>
      <c r="E171" s="13"/>
      <c r="F171" s="73"/>
    </row>
    <row r="172" customFormat="false" ht="19.5" hidden="false" customHeight="true" outlineLevel="0" collapsed="false">
      <c r="A172" s="50"/>
      <c r="B172" s="73"/>
      <c r="C172" s="13"/>
      <c r="D172" s="53"/>
      <c r="E172" s="13"/>
      <c r="F172" s="73"/>
    </row>
    <row r="173" customFormat="false" ht="19.5" hidden="false" customHeight="true" outlineLevel="0" collapsed="false">
      <c r="A173" s="50"/>
      <c r="B173" s="73"/>
      <c r="C173" s="13"/>
      <c r="D173" s="53"/>
      <c r="E173" s="13"/>
      <c r="F173" s="73"/>
    </row>
    <row r="174" customFormat="false" ht="19.5" hidden="false" customHeight="true" outlineLevel="0" collapsed="false">
      <c r="A174" s="50"/>
      <c r="B174" s="73"/>
      <c r="C174" s="13"/>
      <c r="D174" s="53"/>
      <c r="E174" s="13"/>
      <c r="F174" s="73"/>
    </row>
    <row r="175" customFormat="false" ht="19.5" hidden="false" customHeight="true" outlineLevel="0" collapsed="false">
      <c r="A175" s="50"/>
      <c r="B175" s="73"/>
      <c r="C175" s="13"/>
      <c r="D175" s="53"/>
      <c r="E175" s="13"/>
      <c r="F175" s="73"/>
    </row>
    <row r="176" customFormat="false" ht="19.5" hidden="false" customHeight="true" outlineLevel="0" collapsed="false">
      <c r="A176" s="50"/>
      <c r="B176" s="73"/>
      <c r="C176" s="13"/>
      <c r="D176" s="53"/>
      <c r="E176" s="13"/>
      <c r="F176" s="73"/>
    </row>
    <row r="177" customFormat="false" ht="19.5" hidden="false" customHeight="true" outlineLevel="0" collapsed="false">
      <c r="A177" s="50"/>
      <c r="B177" s="73"/>
      <c r="C177" s="13"/>
      <c r="D177" s="53"/>
      <c r="E177" s="13"/>
      <c r="F177" s="73"/>
    </row>
    <row r="178" customFormat="false" ht="19.5" hidden="false" customHeight="true" outlineLevel="0" collapsed="false">
      <c r="A178" s="50"/>
      <c r="B178" s="73"/>
      <c r="C178" s="13"/>
      <c r="D178" s="53"/>
      <c r="E178" s="13"/>
      <c r="F178" s="73"/>
    </row>
    <row r="179" customFormat="false" ht="19.5" hidden="false" customHeight="true" outlineLevel="0" collapsed="false">
      <c r="A179" s="50"/>
      <c r="B179" s="73"/>
      <c r="C179" s="13"/>
      <c r="D179" s="53"/>
      <c r="E179" s="13"/>
      <c r="F179" s="73"/>
    </row>
    <row r="180" customFormat="false" ht="19.5" hidden="false" customHeight="true" outlineLevel="0" collapsed="false">
      <c r="A180" s="50"/>
      <c r="B180" s="73"/>
      <c r="C180" s="13"/>
      <c r="D180" s="53"/>
      <c r="E180" s="13"/>
      <c r="F180" s="73"/>
    </row>
    <row r="181" customFormat="false" ht="19.5" hidden="false" customHeight="true" outlineLevel="0" collapsed="false">
      <c r="A181" s="50"/>
      <c r="B181" s="73"/>
      <c r="C181" s="13"/>
      <c r="D181" s="53"/>
      <c r="E181" s="13"/>
      <c r="F181" s="73"/>
    </row>
    <row r="182" customFormat="false" ht="19.5" hidden="false" customHeight="true" outlineLevel="0" collapsed="false">
      <c r="A182" s="50"/>
      <c r="B182" s="73"/>
      <c r="C182" s="13"/>
      <c r="D182" s="53"/>
      <c r="E182" s="13"/>
      <c r="F182" s="73"/>
    </row>
    <row r="183" customFormat="false" ht="19.5" hidden="false" customHeight="true" outlineLevel="0" collapsed="false">
      <c r="A183" s="50"/>
      <c r="B183" s="73"/>
      <c r="C183" s="13"/>
      <c r="D183" s="53"/>
      <c r="E183" s="13"/>
      <c r="F183" s="73"/>
    </row>
    <row r="184" customFormat="false" ht="19.5" hidden="false" customHeight="true" outlineLevel="0" collapsed="false">
      <c r="A184" s="50"/>
      <c r="B184" s="73"/>
      <c r="C184" s="13"/>
      <c r="D184" s="53"/>
      <c r="E184" s="13"/>
      <c r="F184" s="73"/>
    </row>
    <row r="185" customFormat="false" ht="19.5" hidden="false" customHeight="true" outlineLevel="0" collapsed="false">
      <c r="A185" s="50"/>
      <c r="B185" s="73"/>
      <c r="C185" s="13"/>
      <c r="D185" s="53"/>
      <c r="E185" s="13"/>
      <c r="F185" s="73"/>
    </row>
    <row r="186" customFormat="false" ht="19.5" hidden="false" customHeight="true" outlineLevel="0" collapsed="false">
      <c r="A186" s="50"/>
      <c r="B186" s="73"/>
      <c r="C186" s="13"/>
      <c r="D186" s="53"/>
      <c r="E186" s="13"/>
      <c r="F186" s="73"/>
    </row>
    <row r="187" customFormat="false" ht="19.5" hidden="false" customHeight="true" outlineLevel="0" collapsed="false">
      <c r="A187" s="50"/>
      <c r="B187" s="73"/>
      <c r="C187" s="13"/>
      <c r="D187" s="53"/>
      <c r="E187" s="13"/>
      <c r="F187" s="73"/>
    </row>
    <row r="188" customFormat="false" ht="19.5" hidden="false" customHeight="true" outlineLevel="0" collapsed="false">
      <c r="A188" s="50"/>
      <c r="B188" s="73"/>
      <c r="C188" s="13"/>
      <c r="D188" s="53"/>
      <c r="E188" s="13"/>
      <c r="F188" s="73"/>
    </row>
    <row r="189" customFormat="false" ht="19.5" hidden="false" customHeight="true" outlineLevel="0" collapsed="false">
      <c r="A189" s="50"/>
      <c r="B189" s="73"/>
      <c r="C189" s="13"/>
      <c r="D189" s="53"/>
      <c r="E189" s="13"/>
      <c r="F189" s="73"/>
    </row>
    <row r="190" customFormat="false" ht="19.5" hidden="false" customHeight="true" outlineLevel="0" collapsed="false">
      <c r="A190" s="50"/>
      <c r="B190" s="73"/>
      <c r="C190" s="13"/>
      <c r="D190" s="53"/>
      <c r="E190" s="13"/>
      <c r="F190" s="73"/>
    </row>
    <row r="191" customFormat="false" ht="19.5" hidden="false" customHeight="true" outlineLevel="0" collapsed="false">
      <c r="A191" s="50"/>
      <c r="B191" s="73"/>
      <c r="C191" s="13"/>
      <c r="D191" s="53"/>
      <c r="E191" s="13"/>
      <c r="F191" s="73"/>
    </row>
    <row r="192" customFormat="false" ht="19.5" hidden="false" customHeight="true" outlineLevel="0" collapsed="false">
      <c r="A192" s="50"/>
      <c r="B192" s="73"/>
      <c r="C192" s="13"/>
      <c r="D192" s="53"/>
      <c r="E192" s="13"/>
      <c r="F192" s="73"/>
    </row>
    <row r="193" customFormat="false" ht="19.5" hidden="false" customHeight="true" outlineLevel="0" collapsed="false">
      <c r="A193" s="50"/>
      <c r="B193" s="73"/>
      <c r="C193" s="13"/>
      <c r="D193" s="53"/>
      <c r="E193" s="13"/>
      <c r="F193" s="73"/>
    </row>
    <row r="194" customFormat="false" ht="19.5" hidden="false" customHeight="true" outlineLevel="0" collapsed="false">
      <c r="A194" s="50"/>
      <c r="B194" s="73"/>
      <c r="C194" s="13"/>
      <c r="D194" s="53"/>
      <c r="E194" s="13"/>
      <c r="F194" s="73"/>
    </row>
    <row r="195" customFormat="false" ht="19.5" hidden="false" customHeight="true" outlineLevel="0" collapsed="false">
      <c r="A195" s="50"/>
      <c r="B195" s="73"/>
      <c r="C195" s="13"/>
      <c r="D195" s="53"/>
      <c r="E195" s="13"/>
      <c r="F195" s="73"/>
    </row>
    <row r="196" customFormat="false" ht="19.5" hidden="false" customHeight="true" outlineLevel="0" collapsed="false">
      <c r="A196" s="50"/>
      <c r="B196" s="73"/>
      <c r="C196" s="13"/>
      <c r="D196" s="53"/>
      <c r="E196" s="13"/>
      <c r="F196" s="73"/>
    </row>
    <row r="197" customFormat="false" ht="19.5" hidden="false" customHeight="true" outlineLevel="0" collapsed="false">
      <c r="A197" s="50"/>
      <c r="B197" s="73"/>
      <c r="C197" s="13"/>
      <c r="D197" s="53"/>
      <c r="E197" s="13"/>
      <c r="F197" s="73"/>
    </row>
    <row r="198" customFormat="false" ht="19.5" hidden="false" customHeight="true" outlineLevel="0" collapsed="false">
      <c r="A198" s="50"/>
      <c r="B198" s="73"/>
      <c r="C198" s="13"/>
      <c r="D198" s="53"/>
      <c r="E198" s="13"/>
      <c r="F198" s="73"/>
    </row>
    <row r="199" customFormat="false" ht="19.5" hidden="false" customHeight="true" outlineLevel="0" collapsed="false">
      <c r="A199" s="50"/>
      <c r="B199" s="73"/>
      <c r="C199" s="13"/>
      <c r="D199" s="53"/>
      <c r="E199" s="13"/>
      <c r="F199" s="73"/>
    </row>
    <row r="200" customFormat="false" ht="19.5" hidden="false" customHeight="true" outlineLevel="0" collapsed="false">
      <c r="A200" s="50"/>
      <c r="B200" s="73"/>
      <c r="C200" s="13"/>
      <c r="D200" s="53"/>
      <c r="E200" s="13"/>
      <c r="F200" s="73"/>
    </row>
    <row r="201" customFormat="false" ht="19.5" hidden="false" customHeight="true" outlineLevel="0" collapsed="false">
      <c r="A201" s="50"/>
      <c r="B201" s="73"/>
      <c r="C201" s="13"/>
      <c r="D201" s="53"/>
      <c r="E201" s="13"/>
      <c r="F201" s="73"/>
    </row>
    <row r="202" customFormat="false" ht="19.5" hidden="false" customHeight="true" outlineLevel="0" collapsed="false">
      <c r="A202" s="50"/>
      <c r="B202" s="73"/>
      <c r="C202" s="13"/>
      <c r="D202" s="53"/>
      <c r="E202" s="13"/>
      <c r="F202" s="73"/>
    </row>
    <row r="203" customFormat="false" ht="19.5" hidden="false" customHeight="true" outlineLevel="0" collapsed="false">
      <c r="A203" s="50"/>
      <c r="B203" s="73"/>
      <c r="C203" s="13"/>
      <c r="D203" s="53"/>
      <c r="E203" s="13"/>
      <c r="F203" s="73"/>
    </row>
    <row r="204" customFormat="false" ht="19.5" hidden="false" customHeight="true" outlineLevel="0" collapsed="false">
      <c r="A204" s="50"/>
      <c r="B204" s="73"/>
      <c r="C204" s="13"/>
      <c r="D204" s="53"/>
      <c r="E204" s="13"/>
      <c r="F204" s="73"/>
    </row>
    <row r="205" customFormat="false" ht="19.5" hidden="false" customHeight="true" outlineLevel="0" collapsed="false">
      <c r="A205" s="50"/>
      <c r="B205" s="73"/>
      <c r="C205" s="13"/>
      <c r="D205" s="53"/>
      <c r="E205" s="13"/>
      <c r="F205" s="73"/>
    </row>
    <row r="206" customFormat="false" ht="19.5" hidden="false" customHeight="true" outlineLevel="0" collapsed="false">
      <c r="A206" s="50"/>
      <c r="B206" s="73"/>
      <c r="C206" s="13"/>
      <c r="D206" s="53"/>
      <c r="E206" s="13"/>
      <c r="F206" s="73"/>
    </row>
    <row r="207" customFormat="false" ht="19.5" hidden="false" customHeight="true" outlineLevel="0" collapsed="false">
      <c r="A207" s="50"/>
      <c r="B207" s="73"/>
      <c r="C207" s="13"/>
      <c r="D207" s="53"/>
      <c r="E207" s="13"/>
      <c r="F207" s="73"/>
    </row>
    <row r="208" customFormat="false" ht="19.5" hidden="false" customHeight="true" outlineLevel="0" collapsed="false">
      <c r="A208" s="50"/>
      <c r="B208" s="73"/>
      <c r="C208" s="13"/>
      <c r="D208" s="53"/>
      <c r="E208" s="13"/>
      <c r="F208" s="73"/>
    </row>
    <row r="209" customFormat="false" ht="19.5" hidden="false" customHeight="true" outlineLevel="0" collapsed="false">
      <c r="A209" s="50"/>
      <c r="B209" s="73"/>
      <c r="C209" s="13"/>
      <c r="D209" s="53"/>
      <c r="E209" s="13"/>
      <c r="F209" s="73"/>
    </row>
    <row r="210" customFormat="false" ht="19.5" hidden="false" customHeight="true" outlineLevel="0" collapsed="false">
      <c r="A210" s="50"/>
      <c r="B210" s="73"/>
      <c r="C210" s="13"/>
      <c r="D210" s="53"/>
      <c r="E210" s="13"/>
      <c r="F210" s="73"/>
    </row>
    <row r="211" customFormat="false" ht="19.5" hidden="false" customHeight="true" outlineLevel="0" collapsed="false">
      <c r="A211" s="50"/>
      <c r="B211" s="73"/>
      <c r="C211" s="13"/>
      <c r="D211" s="53"/>
      <c r="E211" s="13"/>
      <c r="F211" s="73"/>
    </row>
    <row r="212" customFormat="false" ht="19.5" hidden="false" customHeight="true" outlineLevel="0" collapsed="false">
      <c r="A212" s="50"/>
      <c r="B212" s="73"/>
      <c r="C212" s="13"/>
      <c r="D212" s="53"/>
      <c r="E212" s="13"/>
      <c r="F212" s="73"/>
    </row>
    <row r="213" customFormat="false" ht="19.5" hidden="false" customHeight="true" outlineLevel="0" collapsed="false">
      <c r="A213" s="50"/>
      <c r="B213" s="73"/>
      <c r="C213" s="13"/>
      <c r="D213" s="53"/>
      <c r="E213" s="13"/>
      <c r="F213" s="73"/>
    </row>
    <row r="214" customFormat="false" ht="19.5" hidden="false" customHeight="true" outlineLevel="0" collapsed="false">
      <c r="A214" s="50"/>
      <c r="B214" s="73"/>
      <c r="C214" s="13"/>
      <c r="D214" s="53"/>
      <c r="E214" s="13"/>
      <c r="F214" s="73"/>
    </row>
    <row r="215" customFormat="false" ht="19.5" hidden="false" customHeight="true" outlineLevel="0" collapsed="false">
      <c r="A215" s="50"/>
      <c r="B215" s="73"/>
      <c r="C215" s="13"/>
      <c r="D215" s="53"/>
      <c r="E215" s="13"/>
      <c r="F215" s="73"/>
    </row>
    <row r="216" customFormat="false" ht="19.5" hidden="false" customHeight="true" outlineLevel="0" collapsed="false">
      <c r="A216" s="50"/>
      <c r="B216" s="73"/>
      <c r="C216" s="13"/>
      <c r="D216" s="53"/>
      <c r="E216" s="13"/>
      <c r="F216" s="73"/>
    </row>
    <row r="217" customFormat="false" ht="19.5" hidden="false" customHeight="true" outlineLevel="0" collapsed="false">
      <c r="A217" s="50"/>
      <c r="B217" s="73"/>
      <c r="C217" s="13"/>
      <c r="D217" s="53"/>
      <c r="E217" s="13"/>
      <c r="F217" s="73"/>
    </row>
    <row r="218" customFormat="false" ht="19.5" hidden="false" customHeight="true" outlineLevel="0" collapsed="false">
      <c r="A218" s="50"/>
      <c r="B218" s="73"/>
      <c r="C218" s="13"/>
      <c r="D218" s="53"/>
      <c r="E218" s="13"/>
      <c r="F218" s="73"/>
    </row>
    <row r="219" customFormat="false" ht="19.5" hidden="false" customHeight="true" outlineLevel="0" collapsed="false">
      <c r="A219" s="50"/>
      <c r="B219" s="73"/>
      <c r="C219" s="13"/>
      <c r="D219" s="53"/>
      <c r="E219" s="13"/>
      <c r="F219" s="73"/>
    </row>
    <row r="220" customFormat="false" ht="19.5" hidden="false" customHeight="true" outlineLevel="0" collapsed="false">
      <c r="A220" s="50"/>
      <c r="B220" s="73"/>
      <c r="C220" s="13"/>
      <c r="D220" s="53"/>
      <c r="E220" s="13"/>
      <c r="F220" s="73"/>
    </row>
    <row r="221" customFormat="false" ht="19.5" hidden="false" customHeight="true" outlineLevel="0" collapsed="false">
      <c r="A221" s="50"/>
      <c r="B221" s="73"/>
      <c r="C221" s="13"/>
      <c r="D221" s="53"/>
      <c r="E221" s="13"/>
      <c r="F221" s="73"/>
    </row>
    <row r="222" customFormat="false" ht="19.5" hidden="false" customHeight="true" outlineLevel="0" collapsed="false">
      <c r="A222" s="50"/>
      <c r="B222" s="73"/>
      <c r="C222" s="13"/>
      <c r="D222" s="53"/>
      <c r="E222" s="13"/>
      <c r="F222" s="73"/>
    </row>
    <row r="223" customFormat="false" ht="19.5" hidden="false" customHeight="true" outlineLevel="0" collapsed="false">
      <c r="A223" s="50"/>
      <c r="B223" s="73"/>
      <c r="C223" s="13"/>
      <c r="D223" s="53"/>
      <c r="E223" s="13"/>
      <c r="F223" s="73"/>
    </row>
    <row r="224" customFormat="false" ht="19.5" hidden="false" customHeight="true" outlineLevel="0" collapsed="false">
      <c r="A224" s="50"/>
      <c r="B224" s="73"/>
      <c r="C224" s="13"/>
      <c r="D224" s="53"/>
      <c r="E224" s="13"/>
      <c r="F224" s="73"/>
    </row>
    <row r="225" customFormat="false" ht="19.5" hidden="false" customHeight="true" outlineLevel="0" collapsed="false">
      <c r="A225" s="50"/>
      <c r="B225" s="73"/>
      <c r="C225" s="13"/>
      <c r="D225" s="53"/>
      <c r="E225" s="13"/>
      <c r="F225" s="73"/>
    </row>
    <row r="226" customFormat="false" ht="19.5" hidden="false" customHeight="true" outlineLevel="0" collapsed="false">
      <c r="A226" s="50"/>
      <c r="B226" s="73"/>
      <c r="C226" s="13"/>
      <c r="D226" s="53"/>
      <c r="E226" s="13"/>
      <c r="F226" s="73"/>
    </row>
    <row r="227" customFormat="false" ht="19.5" hidden="false" customHeight="true" outlineLevel="0" collapsed="false">
      <c r="A227" s="50"/>
      <c r="B227" s="73"/>
      <c r="C227" s="13"/>
      <c r="D227" s="53"/>
      <c r="E227" s="13"/>
      <c r="F227" s="73"/>
    </row>
    <row r="228" customFormat="false" ht="19.5" hidden="false" customHeight="true" outlineLevel="0" collapsed="false">
      <c r="A228" s="50"/>
      <c r="B228" s="73"/>
      <c r="C228" s="13"/>
      <c r="D228" s="53"/>
      <c r="E228" s="13"/>
      <c r="F228" s="73"/>
    </row>
    <row r="229" customFormat="false" ht="19.5" hidden="false" customHeight="true" outlineLevel="0" collapsed="false">
      <c r="A229" s="50"/>
      <c r="B229" s="73"/>
      <c r="C229" s="13"/>
      <c r="D229" s="53"/>
      <c r="E229" s="13"/>
      <c r="F229" s="73"/>
    </row>
    <row r="230" customFormat="false" ht="19.5" hidden="false" customHeight="true" outlineLevel="0" collapsed="false">
      <c r="A230" s="50"/>
      <c r="B230" s="73"/>
      <c r="C230" s="13"/>
      <c r="D230" s="53"/>
      <c r="E230" s="13"/>
      <c r="F230" s="73"/>
    </row>
    <row r="231" customFormat="false" ht="19.5" hidden="false" customHeight="true" outlineLevel="0" collapsed="false">
      <c r="A231" s="50"/>
      <c r="B231" s="73"/>
      <c r="C231" s="13"/>
      <c r="D231" s="53"/>
      <c r="E231" s="13"/>
      <c r="F231" s="73"/>
    </row>
    <row r="232" customFormat="false" ht="19.5" hidden="false" customHeight="true" outlineLevel="0" collapsed="false">
      <c r="A232" s="50"/>
      <c r="B232" s="73"/>
      <c r="C232" s="13"/>
      <c r="D232" s="53"/>
      <c r="E232" s="13"/>
      <c r="F232" s="73"/>
    </row>
    <row r="233" customFormat="false" ht="19.5" hidden="false" customHeight="true" outlineLevel="0" collapsed="false">
      <c r="A233" s="50"/>
      <c r="B233" s="73"/>
      <c r="C233" s="13"/>
      <c r="D233" s="53"/>
      <c r="E233" s="13"/>
      <c r="F233" s="73"/>
    </row>
    <row r="234" customFormat="false" ht="19.5" hidden="false" customHeight="true" outlineLevel="0" collapsed="false">
      <c r="A234" s="50"/>
      <c r="B234" s="73"/>
      <c r="C234" s="13"/>
      <c r="D234" s="53"/>
      <c r="E234" s="13"/>
      <c r="F234" s="73"/>
    </row>
    <row r="235" customFormat="false" ht="19.5" hidden="false" customHeight="true" outlineLevel="0" collapsed="false">
      <c r="A235" s="50"/>
      <c r="B235" s="73"/>
      <c r="C235" s="13"/>
      <c r="D235" s="53"/>
      <c r="E235" s="13"/>
      <c r="F235" s="73"/>
    </row>
    <row r="236" customFormat="false" ht="19.5" hidden="false" customHeight="true" outlineLevel="0" collapsed="false">
      <c r="A236" s="50"/>
      <c r="B236" s="73"/>
      <c r="C236" s="13"/>
      <c r="D236" s="53"/>
      <c r="E236" s="13"/>
      <c r="F236" s="73"/>
    </row>
    <row r="237" customFormat="false" ht="19.5" hidden="false" customHeight="true" outlineLevel="0" collapsed="false">
      <c r="A237" s="50"/>
      <c r="B237" s="73"/>
      <c r="C237" s="13"/>
      <c r="D237" s="53"/>
      <c r="E237" s="13"/>
      <c r="F237" s="73"/>
    </row>
    <row r="238" customFormat="false" ht="19.5" hidden="false" customHeight="true" outlineLevel="0" collapsed="false">
      <c r="A238" s="50"/>
      <c r="B238" s="73"/>
      <c r="C238" s="13"/>
      <c r="D238" s="53"/>
      <c r="E238" s="13"/>
      <c r="F238" s="73"/>
    </row>
    <row r="239" customFormat="false" ht="19.5" hidden="false" customHeight="true" outlineLevel="0" collapsed="false">
      <c r="A239" s="50"/>
      <c r="B239" s="73"/>
      <c r="C239" s="13"/>
      <c r="D239" s="53"/>
      <c r="E239" s="13"/>
      <c r="F239" s="73"/>
    </row>
    <row r="240" customFormat="false" ht="19.5" hidden="false" customHeight="true" outlineLevel="0" collapsed="false">
      <c r="A240" s="50"/>
      <c r="B240" s="73"/>
      <c r="C240" s="13"/>
      <c r="D240" s="53"/>
      <c r="E240" s="13"/>
      <c r="F240" s="73"/>
    </row>
    <row r="241" customFormat="false" ht="19.5" hidden="false" customHeight="true" outlineLevel="0" collapsed="false">
      <c r="A241" s="50"/>
      <c r="B241" s="73"/>
      <c r="C241" s="13"/>
      <c r="D241" s="53"/>
      <c r="E241" s="13"/>
      <c r="F241" s="73"/>
    </row>
    <row r="242" customFormat="false" ht="19.5" hidden="false" customHeight="true" outlineLevel="0" collapsed="false">
      <c r="A242" s="50"/>
      <c r="B242" s="73"/>
      <c r="C242" s="13"/>
      <c r="D242" s="53"/>
      <c r="E242" s="13"/>
      <c r="F242" s="73"/>
    </row>
    <row r="243" customFormat="false" ht="19.5" hidden="false" customHeight="true" outlineLevel="0" collapsed="false">
      <c r="A243" s="50"/>
      <c r="B243" s="73"/>
      <c r="C243" s="13"/>
      <c r="D243" s="53"/>
      <c r="E243" s="13"/>
      <c r="F243" s="73"/>
    </row>
    <row r="244" customFormat="false" ht="19.5" hidden="false" customHeight="true" outlineLevel="0" collapsed="false">
      <c r="A244" s="50"/>
      <c r="B244" s="73"/>
      <c r="C244" s="13"/>
      <c r="D244" s="53"/>
      <c r="E244" s="13"/>
      <c r="F244" s="73"/>
    </row>
    <row r="245" customFormat="false" ht="19.5" hidden="false" customHeight="true" outlineLevel="0" collapsed="false">
      <c r="A245" s="50"/>
      <c r="B245" s="73"/>
      <c r="C245" s="13"/>
      <c r="D245" s="53"/>
      <c r="E245" s="13"/>
      <c r="F245" s="73"/>
    </row>
    <row r="246" customFormat="false" ht="19.5" hidden="false" customHeight="true" outlineLevel="0" collapsed="false">
      <c r="A246" s="50"/>
      <c r="B246" s="73"/>
      <c r="C246" s="13"/>
      <c r="D246" s="53"/>
      <c r="E246" s="13"/>
      <c r="F246" s="73"/>
    </row>
    <row r="247" customFormat="false" ht="19.5" hidden="false" customHeight="true" outlineLevel="0" collapsed="false">
      <c r="A247" s="50"/>
      <c r="B247" s="73"/>
      <c r="C247" s="13"/>
      <c r="D247" s="53"/>
      <c r="E247" s="13"/>
      <c r="F247" s="73"/>
    </row>
    <row r="248" customFormat="false" ht="19.5" hidden="false" customHeight="true" outlineLevel="0" collapsed="false">
      <c r="A248" s="50"/>
      <c r="B248" s="73"/>
      <c r="C248" s="13"/>
      <c r="D248" s="53"/>
      <c r="E248" s="13"/>
      <c r="F248" s="73"/>
    </row>
    <row r="249" customFormat="false" ht="19.5" hidden="false" customHeight="true" outlineLevel="0" collapsed="false">
      <c r="A249" s="50"/>
      <c r="B249" s="73"/>
      <c r="C249" s="13"/>
      <c r="D249" s="53"/>
      <c r="E249" s="13"/>
      <c r="F249" s="73"/>
    </row>
    <row r="250" customFormat="false" ht="19.5" hidden="false" customHeight="true" outlineLevel="0" collapsed="false">
      <c r="A250" s="50"/>
      <c r="B250" s="73"/>
      <c r="C250" s="13"/>
      <c r="D250" s="53"/>
      <c r="E250" s="13"/>
      <c r="F250" s="73"/>
    </row>
    <row r="251" customFormat="false" ht="19.5" hidden="false" customHeight="true" outlineLevel="0" collapsed="false">
      <c r="A251" s="50"/>
      <c r="B251" s="73"/>
      <c r="C251" s="13"/>
      <c r="D251" s="53"/>
      <c r="E251" s="13"/>
      <c r="F251" s="73"/>
    </row>
    <row r="252" customFormat="false" ht="19.5" hidden="false" customHeight="true" outlineLevel="0" collapsed="false">
      <c r="A252" s="50"/>
      <c r="B252" s="73"/>
      <c r="C252" s="13"/>
      <c r="D252" s="53"/>
      <c r="E252" s="13"/>
      <c r="F252" s="73"/>
    </row>
    <row r="253" customFormat="false" ht="19.5" hidden="false" customHeight="true" outlineLevel="0" collapsed="false">
      <c r="A253" s="50"/>
      <c r="B253" s="73"/>
      <c r="C253" s="13"/>
      <c r="D253" s="53"/>
      <c r="E253" s="13"/>
      <c r="F253" s="73"/>
    </row>
    <row r="254" customFormat="false" ht="19.5" hidden="false" customHeight="true" outlineLevel="0" collapsed="false">
      <c r="A254" s="50"/>
      <c r="B254" s="73"/>
      <c r="C254" s="13"/>
      <c r="D254" s="53"/>
      <c r="E254" s="13"/>
      <c r="F254" s="73"/>
    </row>
    <row r="255" customFormat="false" ht="19.5" hidden="false" customHeight="true" outlineLevel="0" collapsed="false">
      <c r="A255" s="50"/>
      <c r="B255" s="73"/>
      <c r="C255" s="13"/>
      <c r="D255" s="53"/>
      <c r="E255" s="13"/>
      <c r="F255" s="73"/>
    </row>
    <row r="256" customFormat="false" ht="19.5" hidden="false" customHeight="true" outlineLevel="0" collapsed="false">
      <c r="A256" s="50"/>
      <c r="B256" s="73"/>
      <c r="C256" s="13"/>
      <c r="D256" s="53"/>
      <c r="E256" s="13"/>
      <c r="F256" s="73"/>
    </row>
    <row r="257" customFormat="false" ht="19.5" hidden="false" customHeight="true" outlineLevel="0" collapsed="false">
      <c r="A257" s="50"/>
      <c r="B257" s="73"/>
      <c r="C257" s="13"/>
      <c r="D257" s="53"/>
      <c r="E257" s="13"/>
      <c r="F257" s="73"/>
    </row>
    <row r="258" customFormat="false" ht="19.5" hidden="false" customHeight="true" outlineLevel="0" collapsed="false">
      <c r="A258" s="50"/>
      <c r="B258" s="73"/>
      <c r="C258" s="13"/>
      <c r="D258" s="53"/>
      <c r="E258" s="13"/>
      <c r="F258" s="73"/>
    </row>
    <row r="259" customFormat="false" ht="19.5" hidden="false" customHeight="true" outlineLevel="0" collapsed="false">
      <c r="A259" s="50"/>
      <c r="B259" s="73"/>
      <c r="C259" s="13"/>
      <c r="D259" s="53"/>
      <c r="E259" s="13"/>
      <c r="F259" s="73"/>
    </row>
    <row r="260" customFormat="false" ht="19.5" hidden="false" customHeight="true" outlineLevel="0" collapsed="false">
      <c r="A260" s="50"/>
      <c r="B260" s="73"/>
      <c r="C260" s="13"/>
      <c r="D260" s="53"/>
      <c r="E260" s="13"/>
      <c r="F260" s="73"/>
    </row>
    <row r="261" customFormat="false" ht="19.5" hidden="false" customHeight="true" outlineLevel="0" collapsed="false">
      <c r="A261" s="50"/>
      <c r="B261" s="73"/>
      <c r="C261" s="13"/>
      <c r="D261" s="53"/>
      <c r="E261" s="13"/>
      <c r="F261" s="73"/>
    </row>
    <row r="262" customFormat="false" ht="19.5" hidden="false" customHeight="true" outlineLevel="0" collapsed="false">
      <c r="A262" s="50"/>
      <c r="B262" s="73"/>
      <c r="C262" s="13"/>
      <c r="D262" s="53"/>
      <c r="E262" s="13"/>
      <c r="F262" s="73"/>
    </row>
    <row r="263" customFormat="false" ht="19.5" hidden="false" customHeight="true" outlineLevel="0" collapsed="false">
      <c r="A263" s="50"/>
      <c r="B263" s="73"/>
      <c r="C263" s="13"/>
      <c r="D263" s="53"/>
      <c r="E263" s="13"/>
      <c r="F263" s="73"/>
    </row>
    <row r="264" customFormat="false" ht="19.5" hidden="false" customHeight="true" outlineLevel="0" collapsed="false">
      <c r="A264" s="50"/>
      <c r="B264" s="73"/>
      <c r="C264" s="13"/>
      <c r="D264" s="53"/>
      <c r="E264" s="13"/>
      <c r="F264" s="73"/>
    </row>
    <row r="265" customFormat="false" ht="19.5" hidden="false" customHeight="true" outlineLevel="0" collapsed="false">
      <c r="A265" s="50"/>
      <c r="B265" s="73"/>
      <c r="C265" s="13"/>
      <c r="D265" s="53"/>
      <c r="E265" s="13"/>
      <c r="F265" s="73"/>
    </row>
    <row r="266" customFormat="false" ht="19.5" hidden="false" customHeight="true" outlineLevel="0" collapsed="false">
      <c r="A266" s="50"/>
      <c r="B266" s="73"/>
      <c r="C266" s="13"/>
      <c r="D266" s="53"/>
      <c r="E266" s="13"/>
      <c r="F266" s="73"/>
    </row>
    <row r="267" customFormat="false" ht="19.5" hidden="false" customHeight="true" outlineLevel="0" collapsed="false">
      <c r="A267" s="50"/>
      <c r="B267" s="73"/>
      <c r="C267" s="13"/>
      <c r="D267" s="53"/>
      <c r="E267" s="13"/>
      <c r="F267" s="73"/>
    </row>
    <row r="268" customFormat="false" ht="19.5" hidden="false" customHeight="true" outlineLevel="0" collapsed="false">
      <c r="A268" s="50"/>
      <c r="B268" s="73"/>
      <c r="C268" s="13"/>
      <c r="D268" s="53"/>
      <c r="E268" s="13"/>
      <c r="F268" s="73"/>
    </row>
    <row r="269" customFormat="false" ht="19.5" hidden="false" customHeight="true" outlineLevel="0" collapsed="false">
      <c r="A269" s="50"/>
      <c r="B269" s="73"/>
      <c r="C269" s="13"/>
      <c r="D269" s="53"/>
      <c r="E269" s="13"/>
      <c r="F269" s="73"/>
    </row>
    <row r="270" customFormat="false" ht="19.5" hidden="false" customHeight="true" outlineLevel="0" collapsed="false">
      <c r="A270" s="50"/>
      <c r="B270" s="73"/>
      <c r="C270" s="13"/>
      <c r="D270" s="53"/>
      <c r="E270" s="13"/>
      <c r="F270" s="73"/>
    </row>
    <row r="271" customFormat="false" ht="19.5" hidden="false" customHeight="true" outlineLevel="0" collapsed="false">
      <c r="A271" s="50"/>
      <c r="B271" s="73"/>
      <c r="C271" s="13"/>
      <c r="D271" s="53"/>
      <c r="E271" s="13"/>
      <c r="F271" s="73"/>
    </row>
    <row r="272" customFormat="false" ht="19.5" hidden="false" customHeight="true" outlineLevel="0" collapsed="false">
      <c r="A272" s="50"/>
      <c r="B272" s="73"/>
      <c r="C272" s="13"/>
      <c r="D272" s="53"/>
      <c r="E272" s="13"/>
      <c r="F272" s="73"/>
    </row>
    <row r="273" customFormat="false" ht="19.5" hidden="false" customHeight="true" outlineLevel="0" collapsed="false">
      <c r="A273" s="50"/>
      <c r="B273" s="73"/>
      <c r="C273" s="13"/>
      <c r="D273" s="53"/>
      <c r="E273" s="13"/>
      <c r="F273" s="73"/>
    </row>
    <row r="274" customFormat="false" ht="19.5" hidden="false" customHeight="true" outlineLevel="0" collapsed="false">
      <c r="A274" s="50"/>
      <c r="B274" s="73"/>
      <c r="C274" s="13"/>
      <c r="D274" s="53"/>
      <c r="E274" s="13"/>
      <c r="F274" s="73"/>
    </row>
    <row r="275" customFormat="false" ht="19.5" hidden="false" customHeight="true" outlineLevel="0" collapsed="false">
      <c r="A275" s="50"/>
      <c r="B275" s="73"/>
      <c r="C275" s="13"/>
      <c r="D275" s="53"/>
      <c r="E275" s="13"/>
      <c r="F275" s="73"/>
    </row>
    <row r="276" customFormat="false" ht="19.5" hidden="false" customHeight="true" outlineLevel="0" collapsed="false">
      <c r="A276" s="50"/>
      <c r="B276" s="73"/>
      <c r="C276" s="13"/>
      <c r="D276" s="53"/>
      <c r="E276" s="13"/>
      <c r="F276" s="73"/>
    </row>
    <row r="277" customFormat="false" ht="19.5" hidden="false" customHeight="true" outlineLevel="0" collapsed="false">
      <c r="A277" s="50"/>
      <c r="B277" s="73"/>
      <c r="C277" s="13"/>
      <c r="D277" s="53"/>
      <c r="E277" s="13"/>
      <c r="F277" s="73"/>
    </row>
    <row r="278" customFormat="false" ht="19.5" hidden="false" customHeight="true" outlineLevel="0" collapsed="false">
      <c r="A278" s="50"/>
      <c r="B278" s="73"/>
      <c r="C278" s="13"/>
      <c r="D278" s="53"/>
      <c r="E278" s="13"/>
      <c r="F278" s="73"/>
    </row>
    <row r="279" customFormat="false" ht="19.5" hidden="false" customHeight="true" outlineLevel="0" collapsed="false">
      <c r="A279" s="50"/>
      <c r="B279" s="73"/>
      <c r="C279" s="13"/>
      <c r="D279" s="53"/>
      <c r="E279" s="13"/>
      <c r="F279" s="73"/>
    </row>
    <row r="280" customFormat="false" ht="19.5" hidden="false" customHeight="true" outlineLevel="0" collapsed="false">
      <c r="A280" s="50"/>
      <c r="B280" s="73"/>
      <c r="C280" s="13"/>
      <c r="D280" s="53"/>
      <c r="E280" s="13"/>
      <c r="F280" s="73"/>
    </row>
    <row r="281" customFormat="false" ht="19.5" hidden="false" customHeight="true" outlineLevel="0" collapsed="false">
      <c r="A281" s="50"/>
      <c r="B281" s="73"/>
      <c r="C281" s="13"/>
      <c r="D281" s="53"/>
      <c r="E281" s="13"/>
      <c r="F281" s="73"/>
    </row>
    <row r="282" customFormat="false" ht="19.5" hidden="false" customHeight="true" outlineLevel="0" collapsed="false">
      <c r="A282" s="50"/>
      <c r="B282" s="73"/>
      <c r="C282" s="13"/>
      <c r="D282" s="53"/>
      <c r="E282" s="13"/>
      <c r="F282" s="73"/>
    </row>
    <row r="283" customFormat="false" ht="19.5" hidden="false" customHeight="true" outlineLevel="0" collapsed="false">
      <c r="A283" s="50"/>
      <c r="B283" s="73"/>
      <c r="C283" s="13"/>
      <c r="D283" s="53"/>
      <c r="E283" s="13"/>
      <c r="F283" s="73"/>
    </row>
    <row r="284" customFormat="false" ht="19.5" hidden="false" customHeight="true" outlineLevel="0" collapsed="false">
      <c r="A284" s="50"/>
      <c r="B284" s="73"/>
      <c r="C284" s="13"/>
      <c r="D284" s="53"/>
      <c r="E284" s="13"/>
      <c r="F284" s="73"/>
    </row>
    <row r="285" customFormat="false" ht="19.5" hidden="false" customHeight="true" outlineLevel="0" collapsed="false">
      <c r="A285" s="50"/>
      <c r="B285" s="73"/>
      <c r="C285" s="13"/>
      <c r="D285" s="53"/>
      <c r="E285" s="13"/>
      <c r="F285" s="73"/>
    </row>
    <row r="286" customFormat="false" ht="19.5" hidden="false" customHeight="true" outlineLevel="0" collapsed="false">
      <c r="A286" s="50"/>
      <c r="B286" s="73"/>
      <c r="C286" s="13"/>
      <c r="D286" s="53"/>
      <c r="E286" s="13"/>
      <c r="F286" s="73"/>
    </row>
    <row r="287" customFormat="false" ht="19.5" hidden="false" customHeight="true" outlineLevel="0" collapsed="false">
      <c r="A287" s="50"/>
      <c r="B287" s="73"/>
      <c r="C287" s="13"/>
      <c r="D287" s="53"/>
      <c r="E287" s="13"/>
      <c r="F287" s="73"/>
    </row>
    <row r="288" customFormat="false" ht="19.5" hidden="false" customHeight="true" outlineLevel="0" collapsed="false">
      <c r="A288" s="50"/>
      <c r="B288" s="73"/>
      <c r="C288" s="13"/>
      <c r="D288" s="53"/>
      <c r="E288" s="13"/>
      <c r="F288" s="73"/>
    </row>
    <row r="289" customFormat="false" ht="19.5" hidden="false" customHeight="true" outlineLevel="0" collapsed="false">
      <c r="A289" s="50"/>
      <c r="B289" s="73"/>
      <c r="C289" s="13"/>
      <c r="D289" s="53"/>
      <c r="E289" s="13"/>
      <c r="F289" s="73"/>
    </row>
    <row r="290" customFormat="false" ht="19.5" hidden="false" customHeight="true" outlineLevel="0" collapsed="false">
      <c r="A290" s="50"/>
      <c r="B290" s="73"/>
      <c r="C290" s="13"/>
      <c r="D290" s="53"/>
      <c r="E290" s="13"/>
      <c r="F290" s="73"/>
    </row>
    <row r="291" customFormat="false" ht="19.5" hidden="false" customHeight="true" outlineLevel="0" collapsed="false">
      <c r="A291" s="50"/>
      <c r="B291" s="73"/>
      <c r="C291" s="13"/>
      <c r="D291" s="53"/>
      <c r="E291" s="13"/>
      <c r="F291" s="73"/>
    </row>
    <row r="292" customFormat="false" ht="19.5" hidden="false" customHeight="true" outlineLevel="0" collapsed="false">
      <c r="A292" s="50"/>
      <c r="B292" s="73"/>
      <c r="C292" s="13"/>
      <c r="D292" s="53"/>
      <c r="E292" s="13"/>
      <c r="F292" s="73"/>
    </row>
    <row r="293" customFormat="false" ht="19.5" hidden="false" customHeight="true" outlineLevel="0" collapsed="false">
      <c r="A293" s="50"/>
      <c r="B293" s="73"/>
      <c r="C293" s="13"/>
      <c r="D293" s="53"/>
      <c r="E293" s="13"/>
      <c r="F293" s="73"/>
    </row>
    <row r="294" customFormat="false" ht="19.5" hidden="false" customHeight="true" outlineLevel="0" collapsed="false">
      <c r="A294" s="50"/>
      <c r="B294" s="73"/>
      <c r="C294" s="13"/>
      <c r="D294" s="53"/>
      <c r="E294" s="13"/>
      <c r="F294" s="73"/>
    </row>
    <row r="295" customFormat="false" ht="19.5" hidden="false" customHeight="true" outlineLevel="0" collapsed="false">
      <c r="A295" s="50"/>
      <c r="B295" s="73"/>
      <c r="C295" s="13"/>
      <c r="D295" s="53"/>
      <c r="E295" s="13"/>
      <c r="F295" s="73"/>
    </row>
    <row r="296" customFormat="false" ht="19.5" hidden="false" customHeight="true" outlineLevel="0" collapsed="false">
      <c r="A296" s="50"/>
      <c r="B296" s="73"/>
      <c r="C296" s="13"/>
      <c r="D296" s="53"/>
      <c r="E296" s="13"/>
      <c r="F296" s="73"/>
    </row>
    <row r="297" customFormat="false" ht="19.5" hidden="false" customHeight="true" outlineLevel="0" collapsed="false">
      <c r="A297" s="50"/>
      <c r="B297" s="73"/>
      <c r="C297" s="13"/>
      <c r="D297" s="53"/>
      <c r="E297" s="13"/>
      <c r="F297" s="73"/>
    </row>
    <row r="298" customFormat="false" ht="19.5" hidden="false" customHeight="true" outlineLevel="0" collapsed="false">
      <c r="A298" s="50"/>
      <c r="B298" s="73"/>
      <c r="C298" s="13"/>
      <c r="D298" s="53"/>
      <c r="E298" s="13"/>
      <c r="F298" s="73"/>
    </row>
    <row r="299" customFormat="false" ht="19.5" hidden="false" customHeight="true" outlineLevel="0" collapsed="false">
      <c r="A299" s="50"/>
      <c r="B299" s="73"/>
      <c r="C299" s="13"/>
      <c r="D299" s="53"/>
      <c r="E299" s="13"/>
      <c r="F299" s="73"/>
    </row>
    <row r="300" customFormat="false" ht="19.5" hidden="false" customHeight="true" outlineLevel="0" collapsed="false">
      <c r="A300" s="50"/>
      <c r="B300" s="73"/>
      <c r="C300" s="13"/>
      <c r="D300" s="53"/>
      <c r="E300" s="13"/>
      <c r="F300" s="73"/>
    </row>
    <row r="301" customFormat="false" ht="19.5" hidden="false" customHeight="true" outlineLevel="0" collapsed="false">
      <c r="A301" s="50"/>
      <c r="B301" s="73"/>
      <c r="C301" s="13"/>
      <c r="D301" s="53"/>
      <c r="E301" s="13"/>
      <c r="F301" s="73"/>
    </row>
    <row r="302" customFormat="false" ht="19.5" hidden="false" customHeight="true" outlineLevel="0" collapsed="false">
      <c r="A302" s="50"/>
      <c r="B302" s="73"/>
      <c r="C302" s="13"/>
      <c r="D302" s="53"/>
      <c r="E302" s="13"/>
      <c r="F302" s="73"/>
    </row>
    <row r="303" customFormat="false" ht="19.5" hidden="false" customHeight="true" outlineLevel="0" collapsed="false">
      <c r="A303" s="50"/>
      <c r="B303" s="73"/>
      <c r="C303" s="13"/>
      <c r="D303" s="53"/>
      <c r="E303" s="13"/>
      <c r="F303" s="73"/>
    </row>
    <row r="304" customFormat="false" ht="19.5" hidden="false" customHeight="true" outlineLevel="0" collapsed="false">
      <c r="A304" s="50"/>
      <c r="B304" s="73"/>
      <c r="C304" s="13"/>
      <c r="D304" s="53"/>
      <c r="E304" s="13"/>
      <c r="F304" s="73"/>
    </row>
    <row r="305" customFormat="false" ht="19.5" hidden="false" customHeight="true" outlineLevel="0" collapsed="false">
      <c r="A305" s="50"/>
      <c r="B305" s="73"/>
      <c r="C305" s="13"/>
      <c r="D305" s="53"/>
      <c r="E305" s="13"/>
      <c r="F305" s="73"/>
    </row>
    <row r="306" customFormat="false" ht="19.5" hidden="false" customHeight="true" outlineLevel="0" collapsed="false">
      <c r="A306" s="50"/>
      <c r="B306" s="73"/>
      <c r="C306" s="13"/>
      <c r="D306" s="53"/>
      <c r="E306" s="13"/>
      <c r="F306" s="73"/>
    </row>
    <row r="307" customFormat="false" ht="19.5" hidden="false" customHeight="true" outlineLevel="0" collapsed="false">
      <c r="A307" s="50"/>
      <c r="B307" s="73"/>
      <c r="C307" s="13"/>
      <c r="D307" s="53"/>
      <c r="E307" s="13"/>
      <c r="F307" s="73"/>
    </row>
    <row r="308" customFormat="false" ht="19.5" hidden="false" customHeight="true" outlineLevel="0" collapsed="false">
      <c r="A308" s="50"/>
      <c r="B308" s="73"/>
      <c r="C308" s="13"/>
      <c r="D308" s="53"/>
      <c r="E308" s="13"/>
      <c r="F308" s="73"/>
    </row>
    <row r="309" customFormat="false" ht="19.5" hidden="false" customHeight="true" outlineLevel="0" collapsed="false">
      <c r="A309" s="50"/>
      <c r="B309" s="73"/>
      <c r="C309" s="13"/>
      <c r="D309" s="53"/>
      <c r="E309" s="13"/>
      <c r="F309" s="73"/>
    </row>
    <row r="310" customFormat="false" ht="19.5" hidden="false" customHeight="true" outlineLevel="0" collapsed="false">
      <c r="A310" s="50"/>
      <c r="B310" s="73"/>
      <c r="C310" s="13"/>
      <c r="D310" s="53"/>
      <c r="E310" s="13"/>
      <c r="F310" s="73"/>
    </row>
    <row r="311" customFormat="false" ht="19.5" hidden="false" customHeight="true" outlineLevel="0" collapsed="false">
      <c r="A311" s="50"/>
      <c r="B311" s="73"/>
      <c r="C311" s="13"/>
      <c r="D311" s="53"/>
      <c r="E311" s="13"/>
      <c r="F311" s="73"/>
    </row>
    <row r="312" customFormat="false" ht="19.5" hidden="false" customHeight="true" outlineLevel="0" collapsed="false">
      <c r="A312" s="50"/>
      <c r="B312" s="73"/>
      <c r="C312" s="13"/>
      <c r="D312" s="53"/>
      <c r="E312" s="13"/>
      <c r="F312" s="73"/>
    </row>
    <row r="313" customFormat="false" ht="19.5" hidden="false" customHeight="true" outlineLevel="0" collapsed="false">
      <c r="A313" s="50"/>
      <c r="B313" s="73"/>
      <c r="C313" s="13"/>
      <c r="D313" s="53"/>
      <c r="E313" s="13"/>
      <c r="F313" s="73"/>
    </row>
    <row r="314" customFormat="false" ht="19.5" hidden="false" customHeight="true" outlineLevel="0" collapsed="false">
      <c r="A314" s="50"/>
      <c r="B314" s="73"/>
      <c r="C314" s="13"/>
      <c r="D314" s="53"/>
      <c r="E314" s="13"/>
      <c r="F314" s="73"/>
    </row>
    <row r="315" customFormat="false" ht="19.5" hidden="false" customHeight="true" outlineLevel="0" collapsed="false">
      <c r="A315" s="50"/>
      <c r="B315" s="73"/>
      <c r="C315" s="13"/>
      <c r="D315" s="53"/>
      <c r="E315" s="13"/>
      <c r="F315" s="73"/>
    </row>
    <row r="316" customFormat="false" ht="19.5" hidden="false" customHeight="true" outlineLevel="0" collapsed="false">
      <c r="A316" s="50"/>
      <c r="B316" s="73"/>
      <c r="C316" s="13"/>
      <c r="D316" s="53"/>
      <c r="E316" s="13"/>
      <c r="F316" s="73"/>
    </row>
    <row r="317" customFormat="false" ht="19.5" hidden="false" customHeight="true" outlineLevel="0" collapsed="false">
      <c r="A317" s="50"/>
      <c r="B317" s="73"/>
      <c r="C317" s="13"/>
      <c r="D317" s="53"/>
      <c r="E317" s="13"/>
      <c r="F317" s="73"/>
    </row>
    <row r="318" customFormat="false" ht="19.5" hidden="false" customHeight="true" outlineLevel="0" collapsed="false">
      <c r="A318" s="50"/>
      <c r="B318" s="73"/>
      <c r="C318" s="13"/>
      <c r="D318" s="53"/>
      <c r="E318" s="13"/>
      <c r="F318" s="73"/>
    </row>
    <row r="319" customFormat="false" ht="19.5" hidden="false" customHeight="true" outlineLevel="0" collapsed="false">
      <c r="A319" s="50"/>
      <c r="B319" s="73"/>
      <c r="C319" s="13"/>
      <c r="D319" s="53"/>
      <c r="E319" s="13"/>
      <c r="F319" s="73"/>
    </row>
    <row r="320" customFormat="false" ht="19.5" hidden="false" customHeight="true" outlineLevel="0" collapsed="false">
      <c r="A320" s="50"/>
      <c r="B320" s="73"/>
      <c r="C320" s="13"/>
      <c r="D320" s="53"/>
      <c r="E320" s="13"/>
      <c r="F320" s="73"/>
    </row>
    <row r="321" customFormat="false" ht="19.5" hidden="false" customHeight="true" outlineLevel="0" collapsed="false">
      <c r="A321" s="50"/>
      <c r="B321" s="73"/>
      <c r="C321" s="13"/>
      <c r="D321" s="53"/>
      <c r="E321" s="13"/>
      <c r="F321" s="73"/>
    </row>
    <row r="322" customFormat="false" ht="19.5" hidden="false" customHeight="true" outlineLevel="0" collapsed="false">
      <c r="A322" s="50"/>
      <c r="B322" s="73"/>
      <c r="C322" s="13"/>
      <c r="D322" s="53"/>
      <c r="E322" s="13"/>
      <c r="F322" s="73"/>
    </row>
    <row r="323" customFormat="false" ht="19.5" hidden="false" customHeight="true" outlineLevel="0" collapsed="false">
      <c r="A323" s="50"/>
      <c r="B323" s="73"/>
      <c r="C323" s="13"/>
      <c r="D323" s="53"/>
      <c r="E323" s="13"/>
      <c r="F323" s="73"/>
    </row>
    <row r="324" customFormat="false" ht="19.5" hidden="false" customHeight="true" outlineLevel="0" collapsed="false">
      <c r="A324" s="50"/>
      <c r="B324" s="73"/>
      <c r="C324" s="13"/>
      <c r="D324" s="53"/>
      <c r="E324" s="13"/>
      <c r="F324" s="73"/>
    </row>
    <row r="325" customFormat="false" ht="19.5" hidden="false" customHeight="true" outlineLevel="0" collapsed="false">
      <c r="A325" s="50"/>
      <c r="B325" s="73"/>
      <c r="C325" s="13"/>
      <c r="D325" s="53"/>
      <c r="E325" s="13"/>
      <c r="F325" s="73"/>
    </row>
    <row r="326" customFormat="false" ht="19.5" hidden="false" customHeight="true" outlineLevel="0" collapsed="false">
      <c r="A326" s="50"/>
      <c r="B326" s="73"/>
      <c r="C326" s="13"/>
      <c r="D326" s="53"/>
      <c r="E326" s="13"/>
      <c r="F326" s="73"/>
    </row>
    <row r="327" customFormat="false" ht="19.5" hidden="false" customHeight="true" outlineLevel="0" collapsed="false">
      <c r="A327" s="50"/>
      <c r="B327" s="73"/>
      <c r="C327" s="13"/>
      <c r="D327" s="53"/>
      <c r="E327" s="13"/>
      <c r="F327" s="73"/>
    </row>
    <row r="328" customFormat="false" ht="19.5" hidden="false" customHeight="true" outlineLevel="0" collapsed="false">
      <c r="A328" s="50"/>
      <c r="B328" s="73"/>
      <c r="C328" s="13"/>
      <c r="D328" s="53"/>
      <c r="E328" s="13"/>
      <c r="F328" s="73"/>
    </row>
    <row r="329" customFormat="false" ht="19.5" hidden="false" customHeight="true" outlineLevel="0" collapsed="false">
      <c r="A329" s="50"/>
      <c r="B329" s="73"/>
      <c r="C329" s="13"/>
      <c r="D329" s="53"/>
      <c r="E329" s="13"/>
      <c r="F329" s="73"/>
    </row>
    <row r="330" customFormat="false" ht="19.5" hidden="false" customHeight="true" outlineLevel="0" collapsed="false">
      <c r="A330" s="50"/>
      <c r="B330" s="73"/>
      <c r="C330" s="13"/>
      <c r="D330" s="53"/>
      <c r="E330" s="13"/>
      <c r="F330" s="73"/>
    </row>
    <row r="331" customFormat="false" ht="19.5" hidden="false" customHeight="true" outlineLevel="0" collapsed="false">
      <c r="A331" s="50"/>
      <c r="B331" s="73"/>
      <c r="C331" s="13"/>
      <c r="D331" s="53"/>
      <c r="E331" s="13"/>
      <c r="F331" s="73"/>
    </row>
    <row r="332" customFormat="false" ht="19.5" hidden="false" customHeight="true" outlineLevel="0" collapsed="false">
      <c r="A332" s="50"/>
      <c r="B332" s="73"/>
      <c r="C332" s="13"/>
      <c r="D332" s="53"/>
      <c r="E332" s="13"/>
      <c r="F332" s="73"/>
    </row>
    <row r="333" customFormat="false" ht="19.5" hidden="false" customHeight="true" outlineLevel="0" collapsed="false">
      <c r="A333" s="50"/>
      <c r="B333" s="73"/>
      <c r="C333" s="13"/>
      <c r="D333" s="53"/>
      <c r="E333" s="13"/>
      <c r="F333" s="73"/>
    </row>
    <row r="334" customFormat="false" ht="19.5" hidden="false" customHeight="true" outlineLevel="0" collapsed="false">
      <c r="A334" s="50"/>
      <c r="B334" s="73"/>
      <c r="C334" s="13"/>
      <c r="D334" s="53"/>
      <c r="E334" s="13"/>
      <c r="F334" s="73"/>
    </row>
    <row r="335" customFormat="false" ht="19.5" hidden="false" customHeight="true" outlineLevel="0" collapsed="false">
      <c r="A335" s="50"/>
      <c r="B335" s="73"/>
      <c r="C335" s="13"/>
      <c r="D335" s="53"/>
      <c r="E335" s="13"/>
      <c r="F335" s="73"/>
    </row>
    <row r="336" customFormat="false" ht="19.5" hidden="false" customHeight="true" outlineLevel="0" collapsed="false">
      <c r="A336" s="50"/>
      <c r="B336" s="73"/>
      <c r="C336" s="13"/>
      <c r="D336" s="53"/>
      <c r="E336" s="13"/>
      <c r="F336" s="73"/>
    </row>
    <row r="337" customFormat="false" ht="19.5" hidden="false" customHeight="true" outlineLevel="0" collapsed="false">
      <c r="A337" s="50"/>
      <c r="B337" s="73"/>
      <c r="C337" s="13"/>
      <c r="D337" s="53"/>
      <c r="E337" s="13"/>
      <c r="F337" s="73"/>
    </row>
    <row r="338" customFormat="false" ht="19.5" hidden="false" customHeight="true" outlineLevel="0" collapsed="false">
      <c r="A338" s="50"/>
      <c r="B338" s="73"/>
      <c r="C338" s="13"/>
      <c r="D338" s="53"/>
      <c r="E338" s="13"/>
      <c r="F338" s="73"/>
    </row>
    <row r="339" customFormat="false" ht="19.5" hidden="false" customHeight="true" outlineLevel="0" collapsed="false">
      <c r="A339" s="50"/>
      <c r="B339" s="73"/>
      <c r="C339" s="13"/>
      <c r="D339" s="53"/>
      <c r="E339" s="13"/>
      <c r="F339" s="73"/>
    </row>
    <row r="340" customFormat="false" ht="19.5" hidden="false" customHeight="true" outlineLevel="0" collapsed="false">
      <c r="A340" s="50"/>
      <c r="B340" s="73"/>
      <c r="C340" s="13"/>
      <c r="D340" s="53"/>
      <c r="E340" s="13"/>
      <c r="F340" s="73"/>
    </row>
    <row r="341" customFormat="false" ht="19.5" hidden="false" customHeight="true" outlineLevel="0" collapsed="false">
      <c r="A341" s="50"/>
      <c r="B341" s="73"/>
      <c r="C341" s="13"/>
      <c r="D341" s="53"/>
      <c r="E341" s="13"/>
      <c r="F341" s="73"/>
    </row>
    <row r="342" customFormat="false" ht="19.5" hidden="false" customHeight="true" outlineLevel="0" collapsed="false">
      <c r="A342" s="50"/>
      <c r="B342" s="73"/>
      <c r="C342" s="13"/>
      <c r="D342" s="53"/>
      <c r="E342" s="13"/>
      <c r="F342" s="73"/>
    </row>
    <row r="343" customFormat="false" ht="19.5" hidden="false" customHeight="true" outlineLevel="0" collapsed="false">
      <c r="A343" s="50"/>
      <c r="B343" s="73"/>
      <c r="C343" s="13"/>
      <c r="D343" s="53"/>
      <c r="E343" s="13"/>
      <c r="F343" s="73"/>
    </row>
    <row r="344" customFormat="false" ht="19.5" hidden="false" customHeight="true" outlineLevel="0" collapsed="false">
      <c r="A344" s="50"/>
      <c r="B344" s="73"/>
      <c r="C344" s="13"/>
      <c r="D344" s="53"/>
      <c r="E344" s="13"/>
      <c r="F344" s="73"/>
    </row>
    <row r="345" customFormat="false" ht="19.5" hidden="false" customHeight="true" outlineLevel="0" collapsed="false">
      <c r="A345" s="50"/>
      <c r="B345" s="73"/>
      <c r="C345" s="13"/>
      <c r="D345" s="53"/>
      <c r="E345" s="13"/>
      <c r="F345" s="73"/>
    </row>
    <row r="346" customFormat="false" ht="19.5" hidden="false" customHeight="true" outlineLevel="0" collapsed="false">
      <c r="A346" s="50"/>
      <c r="B346" s="73"/>
      <c r="C346" s="13"/>
      <c r="D346" s="53"/>
      <c r="E346" s="13"/>
      <c r="F346" s="73"/>
    </row>
    <row r="347" customFormat="false" ht="19.5" hidden="false" customHeight="true" outlineLevel="0" collapsed="false">
      <c r="A347" s="50"/>
      <c r="B347" s="73"/>
      <c r="C347" s="13"/>
      <c r="D347" s="53"/>
      <c r="E347" s="13"/>
      <c r="F347" s="73"/>
    </row>
    <row r="348" customFormat="false" ht="19.5" hidden="false" customHeight="true" outlineLevel="0" collapsed="false">
      <c r="A348" s="50"/>
      <c r="B348" s="73"/>
      <c r="C348" s="13"/>
      <c r="D348" s="53"/>
      <c r="E348" s="13"/>
      <c r="F348" s="73"/>
    </row>
    <row r="349" customFormat="false" ht="19.5" hidden="false" customHeight="true" outlineLevel="0" collapsed="false">
      <c r="A349" s="50"/>
      <c r="B349" s="73"/>
      <c r="C349" s="13"/>
      <c r="D349" s="53"/>
      <c r="E349" s="13"/>
      <c r="F349" s="73"/>
    </row>
    <row r="350" customFormat="false" ht="19.5" hidden="false" customHeight="true" outlineLevel="0" collapsed="false">
      <c r="A350" s="50"/>
      <c r="B350" s="73"/>
      <c r="C350" s="13"/>
      <c r="D350" s="53"/>
      <c r="E350" s="13"/>
      <c r="F350" s="73"/>
    </row>
    <row r="351" customFormat="false" ht="19.5" hidden="false" customHeight="true" outlineLevel="0" collapsed="false">
      <c r="A351" s="50"/>
      <c r="B351" s="73"/>
      <c r="C351" s="13"/>
      <c r="D351" s="53"/>
      <c r="E351" s="13"/>
      <c r="F351" s="73"/>
    </row>
    <row r="352" customFormat="false" ht="19.5" hidden="false" customHeight="true" outlineLevel="0" collapsed="false">
      <c r="A352" s="50"/>
      <c r="B352" s="73"/>
      <c r="C352" s="13"/>
      <c r="D352" s="53"/>
      <c r="E352" s="13"/>
      <c r="F352" s="73"/>
    </row>
    <row r="353" customFormat="false" ht="19.5" hidden="false" customHeight="true" outlineLevel="0" collapsed="false">
      <c r="A353" s="50"/>
      <c r="B353" s="73"/>
      <c r="C353" s="13"/>
      <c r="D353" s="53"/>
      <c r="E353" s="13"/>
      <c r="F353" s="73"/>
    </row>
    <row r="354" customFormat="false" ht="19.5" hidden="false" customHeight="true" outlineLevel="0" collapsed="false">
      <c r="A354" s="50"/>
      <c r="B354" s="73"/>
      <c r="C354" s="13"/>
      <c r="D354" s="53"/>
      <c r="E354" s="13"/>
      <c r="F354" s="73"/>
    </row>
    <row r="355" customFormat="false" ht="19.5" hidden="false" customHeight="true" outlineLevel="0" collapsed="false">
      <c r="A355" s="50"/>
      <c r="B355" s="73"/>
      <c r="C355" s="13"/>
      <c r="D355" s="53"/>
      <c r="E355" s="13"/>
      <c r="F355" s="73"/>
    </row>
    <row r="356" customFormat="false" ht="19.5" hidden="false" customHeight="true" outlineLevel="0" collapsed="false">
      <c r="A356" s="50"/>
      <c r="B356" s="73"/>
      <c r="C356" s="13"/>
      <c r="D356" s="53"/>
      <c r="E356" s="13"/>
      <c r="F356" s="73"/>
    </row>
    <row r="357" customFormat="false" ht="19.5" hidden="false" customHeight="true" outlineLevel="0" collapsed="false">
      <c r="A357" s="50"/>
      <c r="B357" s="73"/>
      <c r="C357" s="13"/>
      <c r="D357" s="53"/>
      <c r="E357" s="13"/>
      <c r="F357" s="73"/>
    </row>
    <row r="358" customFormat="false" ht="19.5" hidden="false" customHeight="true" outlineLevel="0" collapsed="false">
      <c r="A358" s="50"/>
      <c r="B358" s="73"/>
      <c r="C358" s="13"/>
      <c r="D358" s="53"/>
      <c r="E358" s="13"/>
      <c r="F358" s="73"/>
    </row>
    <row r="359" customFormat="false" ht="19.5" hidden="false" customHeight="true" outlineLevel="0" collapsed="false">
      <c r="A359" s="50"/>
      <c r="B359" s="73"/>
      <c r="C359" s="13"/>
      <c r="D359" s="53"/>
      <c r="E359" s="13"/>
      <c r="F359" s="73"/>
    </row>
    <row r="360" customFormat="false" ht="19.5" hidden="false" customHeight="true" outlineLevel="0" collapsed="false">
      <c r="A360" s="50"/>
      <c r="B360" s="73"/>
      <c r="C360" s="13"/>
      <c r="D360" s="53"/>
      <c r="E360" s="13"/>
      <c r="F360" s="73"/>
    </row>
    <row r="361" customFormat="false" ht="19.5" hidden="false" customHeight="true" outlineLevel="0" collapsed="false">
      <c r="A361" s="50"/>
      <c r="B361" s="73"/>
      <c r="C361" s="13"/>
      <c r="D361" s="53"/>
      <c r="E361" s="13"/>
      <c r="F361" s="73"/>
    </row>
    <row r="362" customFormat="false" ht="19.5" hidden="false" customHeight="true" outlineLevel="0" collapsed="false">
      <c r="A362" s="50"/>
      <c r="B362" s="73"/>
      <c r="C362" s="13"/>
      <c r="D362" s="53"/>
      <c r="E362" s="13"/>
      <c r="F362" s="73"/>
    </row>
    <row r="363" customFormat="false" ht="19.5" hidden="false" customHeight="true" outlineLevel="0" collapsed="false">
      <c r="A363" s="50"/>
      <c r="B363" s="73"/>
      <c r="C363" s="13"/>
      <c r="D363" s="53"/>
      <c r="E363" s="13"/>
      <c r="F363" s="73"/>
    </row>
    <row r="364" customFormat="false" ht="19.5" hidden="false" customHeight="true" outlineLevel="0" collapsed="false">
      <c r="A364" s="50"/>
      <c r="B364" s="73"/>
      <c r="C364" s="13"/>
      <c r="D364" s="53"/>
      <c r="E364" s="13"/>
      <c r="F364" s="73"/>
    </row>
    <row r="365" customFormat="false" ht="19.5" hidden="false" customHeight="true" outlineLevel="0" collapsed="false">
      <c r="A365" s="50"/>
      <c r="B365" s="73"/>
      <c r="C365" s="13"/>
      <c r="D365" s="53"/>
      <c r="E365" s="13"/>
      <c r="F365" s="73"/>
    </row>
    <row r="366" customFormat="false" ht="19.5" hidden="false" customHeight="true" outlineLevel="0" collapsed="false">
      <c r="A366" s="50"/>
      <c r="B366" s="73"/>
      <c r="C366" s="13"/>
      <c r="D366" s="53"/>
      <c r="E366" s="13"/>
      <c r="F366" s="73"/>
    </row>
    <row r="367" customFormat="false" ht="19.5" hidden="false" customHeight="true" outlineLevel="0" collapsed="false">
      <c r="A367" s="50"/>
      <c r="B367" s="73"/>
      <c r="C367" s="13"/>
      <c r="D367" s="53"/>
      <c r="E367" s="13"/>
      <c r="F367" s="73"/>
    </row>
    <row r="368" customFormat="false" ht="19.5" hidden="false" customHeight="true" outlineLevel="0" collapsed="false">
      <c r="A368" s="50"/>
      <c r="B368" s="73"/>
      <c r="C368" s="13"/>
      <c r="D368" s="53"/>
      <c r="E368" s="13"/>
      <c r="F368" s="73"/>
    </row>
    <row r="369" customFormat="false" ht="19.5" hidden="false" customHeight="true" outlineLevel="0" collapsed="false">
      <c r="A369" s="50"/>
      <c r="B369" s="73"/>
      <c r="C369" s="13"/>
      <c r="D369" s="53"/>
      <c r="E369" s="13"/>
      <c r="F369" s="73"/>
    </row>
    <row r="370" customFormat="false" ht="19.5" hidden="false" customHeight="true" outlineLevel="0" collapsed="false">
      <c r="A370" s="50"/>
      <c r="B370" s="73"/>
      <c r="C370" s="13"/>
      <c r="D370" s="53"/>
      <c r="E370" s="13"/>
      <c r="F370" s="73"/>
    </row>
    <row r="371" customFormat="false" ht="19.5" hidden="false" customHeight="true" outlineLevel="0" collapsed="false">
      <c r="A371" s="50"/>
      <c r="B371" s="73"/>
      <c r="C371" s="13"/>
      <c r="D371" s="53"/>
      <c r="E371" s="13"/>
      <c r="F371" s="73"/>
    </row>
    <row r="372" customFormat="false" ht="19.5" hidden="false" customHeight="true" outlineLevel="0" collapsed="false">
      <c r="A372" s="50"/>
      <c r="B372" s="73"/>
      <c r="C372" s="13"/>
      <c r="D372" s="53"/>
      <c r="E372" s="13"/>
      <c r="F372" s="73"/>
    </row>
    <row r="373" customFormat="false" ht="19.5" hidden="false" customHeight="true" outlineLevel="0" collapsed="false">
      <c r="A373" s="50"/>
      <c r="B373" s="73"/>
      <c r="C373" s="13"/>
      <c r="D373" s="53"/>
      <c r="E373" s="13"/>
      <c r="F373" s="73"/>
    </row>
    <row r="374" customFormat="false" ht="19.5" hidden="false" customHeight="true" outlineLevel="0" collapsed="false">
      <c r="A374" s="50"/>
      <c r="B374" s="73"/>
      <c r="C374" s="13"/>
      <c r="D374" s="53"/>
      <c r="E374" s="13"/>
      <c r="F374" s="73"/>
    </row>
    <row r="375" customFormat="false" ht="19.5" hidden="false" customHeight="true" outlineLevel="0" collapsed="false">
      <c r="A375" s="50"/>
      <c r="B375" s="73"/>
      <c r="C375" s="13"/>
      <c r="D375" s="53"/>
      <c r="E375" s="13"/>
      <c r="F375" s="73"/>
    </row>
    <row r="376" customFormat="false" ht="19.5" hidden="false" customHeight="true" outlineLevel="0" collapsed="false">
      <c r="A376" s="50"/>
      <c r="B376" s="73"/>
      <c r="C376" s="13"/>
      <c r="D376" s="53"/>
      <c r="E376" s="13"/>
      <c r="F376" s="73"/>
    </row>
    <row r="377" customFormat="false" ht="19.5" hidden="false" customHeight="true" outlineLevel="0" collapsed="false">
      <c r="A377" s="50"/>
      <c r="B377" s="73"/>
      <c r="C377" s="13"/>
      <c r="D377" s="53"/>
      <c r="E377" s="13"/>
      <c r="F377" s="73"/>
    </row>
    <row r="378" customFormat="false" ht="19.5" hidden="false" customHeight="true" outlineLevel="0" collapsed="false">
      <c r="A378" s="50"/>
      <c r="B378" s="73"/>
      <c r="C378" s="13"/>
      <c r="D378" s="53"/>
      <c r="E378" s="13"/>
      <c r="F378" s="73"/>
    </row>
    <row r="379" customFormat="false" ht="19.5" hidden="false" customHeight="true" outlineLevel="0" collapsed="false">
      <c r="A379" s="50"/>
      <c r="B379" s="73"/>
      <c r="C379" s="13"/>
      <c r="D379" s="53"/>
      <c r="E379" s="13"/>
      <c r="F379" s="73"/>
    </row>
    <row r="380" customFormat="false" ht="19.5" hidden="false" customHeight="true" outlineLevel="0" collapsed="false">
      <c r="A380" s="50"/>
      <c r="B380" s="73"/>
      <c r="C380" s="13"/>
      <c r="D380" s="53"/>
      <c r="E380" s="13"/>
      <c r="F380" s="73"/>
    </row>
    <row r="381" customFormat="false" ht="19.5" hidden="false" customHeight="true" outlineLevel="0" collapsed="false">
      <c r="A381" s="50"/>
      <c r="B381" s="73"/>
      <c r="C381" s="13"/>
      <c r="D381" s="53"/>
      <c r="E381" s="13"/>
      <c r="F381" s="73"/>
    </row>
    <row r="382" customFormat="false" ht="19.5" hidden="false" customHeight="true" outlineLevel="0" collapsed="false">
      <c r="A382" s="50"/>
      <c r="B382" s="73"/>
      <c r="C382" s="13"/>
      <c r="D382" s="53"/>
      <c r="E382" s="13"/>
      <c r="F382" s="73"/>
    </row>
    <row r="383" customFormat="false" ht="19.5" hidden="false" customHeight="true" outlineLevel="0" collapsed="false">
      <c r="A383" s="50"/>
      <c r="B383" s="73"/>
      <c r="C383" s="13"/>
      <c r="D383" s="53"/>
      <c r="E383" s="13"/>
      <c r="F383" s="73"/>
    </row>
    <row r="384" customFormat="false" ht="19.5" hidden="false" customHeight="true" outlineLevel="0" collapsed="false">
      <c r="A384" s="50"/>
      <c r="B384" s="73"/>
      <c r="C384" s="13"/>
      <c r="D384" s="53"/>
      <c r="E384" s="13"/>
      <c r="F384" s="73"/>
    </row>
    <row r="385" customFormat="false" ht="19.5" hidden="false" customHeight="true" outlineLevel="0" collapsed="false">
      <c r="A385" s="50"/>
      <c r="B385" s="73"/>
      <c r="C385" s="13"/>
      <c r="D385" s="53"/>
      <c r="E385" s="13"/>
      <c r="F385" s="73"/>
    </row>
    <row r="386" customFormat="false" ht="19.5" hidden="false" customHeight="true" outlineLevel="0" collapsed="false">
      <c r="A386" s="50"/>
      <c r="B386" s="73"/>
      <c r="C386" s="13"/>
      <c r="D386" s="53"/>
      <c r="E386" s="13"/>
      <c r="F386" s="73"/>
    </row>
    <row r="387" customFormat="false" ht="19.5" hidden="false" customHeight="true" outlineLevel="0" collapsed="false">
      <c r="A387" s="50"/>
      <c r="B387" s="73"/>
      <c r="C387" s="13"/>
      <c r="D387" s="53"/>
      <c r="E387" s="13"/>
      <c r="F387" s="73"/>
    </row>
    <row r="388" customFormat="false" ht="19.5" hidden="false" customHeight="true" outlineLevel="0" collapsed="false">
      <c r="A388" s="50"/>
      <c r="B388" s="73"/>
      <c r="C388" s="13"/>
      <c r="D388" s="53"/>
      <c r="E388" s="13"/>
      <c r="F388" s="73"/>
    </row>
    <row r="389" customFormat="false" ht="19.5" hidden="false" customHeight="true" outlineLevel="0" collapsed="false">
      <c r="A389" s="50"/>
      <c r="B389" s="73"/>
      <c r="C389" s="13"/>
      <c r="D389" s="53"/>
      <c r="E389" s="13"/>
      <c r="F389" s="73"/>
    </row>
    <row r="390" customFormat="false" ht="19.5" hidden="false" customHeight="true" outlineLevel="0" collapsed="false">
      <c r="A390" s="50"/>
      <c r="B390" s="73"/>
      <c r="C390" s="13"/>
      <c r="D390" s="53"/>
      <c r="E390" s="13"/>
      <c r="F390" s="73"/>
    </row>
    <row r="391" customFormat="false" ht="19.5" hidden="false" customHeight="true" outlineLevel="0" collapsed="false">
      <c r="A391" s="50"/>
      <c r="B391" s="73"/>
      <c r="C391" s="13"/>
      <c r="D391" s="53"/>
      <c r="E391" s="13"/>
      <c r="F391" s="73"/>
    </row>
    <row r="392" customFormat="false" ht="19.5" hidden="false" customHeight="true" outlineLevel="0" collapsed="false">
      <c r="A392" s="50"/>
      <c r="B392" s="73"/>
      <c r="C392" s="13"/>
      <c r="D392" s="53"/>
      <c r="E392" s="13"/>
      <c r="F392" s="73"/>
    </row>
    <row r="393" customFormat="false" ht="19.5" hidden="false" customHeight="true" outlineLevel="0" collapsed="false">
      <c r="A393" s="50"/>
      <c r="B393" s="73"/>
      <c r="C393" s="13"/>
      <c r="D393" s="53"/>
      <c r="E393" s="13"/>
      <c r="F393" s="73"/>
    </row>
    <row r="394" customFormat="false" ht="19.5" hidden="false" customHeight="true" outlineLevel="0" collapsed="false">
      <c r="A394" s="50"/>
      <c r="B394" s="73"/>
      <c r="C394" s="13"/>
      <c r="D394" s="53"/>
      <c r="E394" s="13"/>
      <c r="F394" s="73"/>
    </row>
    <row r="395" customFormat="false" ht="19.5" hidden="false" customHeight="true" outlineLevel="0" collapsed="false">
      <c r="A395" s="50"/>
      <c r="B395" s="73"/>
      <c r="C395" s="13"/>
      <c r="D395" s="53"/>
      <c r="E395" s="13"/>
      <c r="F395" s="73"/>
    </row>
    <row r="396" customFormat="false" ht="19.5" hidden="false" customHeight="true" outlineLevel="0" collapsed="false">
      <c r="A396" s="50"/>
      <c r="B396" s="73"/>
      <c r="C396" s="13"/>
      <c r="D396" s="53"/>
      <c r="E396" s="13"/>
      <c r="F396" s="73"/>
    </row>
    <row r="397" customFormat="false" ht="19.5" hidden="false" customHeight="true" outlineLevel="0" collapsed="false">
      <c r="A397" s="50"/>
      <c r="B397" s="73"/>
      <c r="C397" s="13"/>
      <c r="D397" s="53"/>
      <c r="E397" s="13"/>
      <c r="F397" s="73"/>
    </row>
    <row r="398" customFormat="false" ht="19.5" hidden="false" customHeight="true" outlineLevel="0" collapsed="false">
      <c r="A398" s="50"/>
      <c r="B398" s="73"/>
      <c r="C398" s="13"/>
      <c r="D398" s="53"/>
      <c r="E398" s="13"/>
      <c r="F398" s="73"/>
    </row>
    <row r="399" customFormat="false" ht="19.5" hidden="false" customHeight="true" outlineLevel="0" collapsed="false">
      <c r="A399" s="50"/>
      <c r="B399" s="73"/>
      <c r="C399" s="13"/>
      <c r="D399" s="53"/>
      <c r="E399" s="13"/>
      <c r="F399" s="73"/>
    </row>
    <row r="400" customFormat="false" ht="19.5" hidden="false" customHeight="true" outlineLevel="0" collapsed="false">
      <c r="A400" s="50"/>
      <c r="B400" s="73"/>
      <c r="C400" s="13"/>
      <c r="D400" s="53"/>
      <c r="E400" s="13"/>
      <c r="F400" s="73"/>
    </row>
    <row r="401" customFormat="false" ht="19.5" hidden="false" customHeight="true" outlineLevel="0" collapsed="false">
      <c r="A401" s="50"/>
      <c r="B401" s="73"/>
      <c r="C401" s="13"/>
      <c r="D401" s="53"/>
      <c r="E401" s="13"/>
      <c r="F401" s="73"/>
    </row>
    <row r="402" customFormat="false" ht="19.5" hidden="false" customHeight="true" outlineLevel="0" collapsed="false">
      <c r="A402" s="50"/>
      <c r="B402" s="73"/>
      <c r="C402" s="13"/>
      <c r="D402" s="53"/>
      <c r="E402" s="13"/>
      <c r="F402" s="73"/>
    </row>
    <row r="403" customFormat="false" ht="19.5" hidden="false" customHeight="true" outlineLevel="0" collapsed="false">
      <c r="A403" s="50"/>
      <c r="B403" s="73"/>
      <c r="C403" s="13"/>
      <c r="D403" s="53"/>
      <c r="E403" s="13"/>
      <c r="F403" s="73"/>
    </row>
    <row r="404" customFormat="false" ht="19.5" hidden="false" customHeight="true" outlineLevel="0" collapsed="false">
      <c r="A404" s="50"/>
      <c r="B404" s="73"/>
      <c r="C404" s="13"/>
      <c r="D404" s="53"/>
      <c r="E404" s="13"/>
      <c r="F404" s="73"/>
    </row>
    <row r="405" customFormat="false" ht="19.5" hidden="false" customHeight="true" outlineLevel="0" collapsed="false">
      <c r="A405" s="50"/>
      <c r="B405" s="73"/>
      <c r="C405" s="13"/>
      <c r="D405" s="53"/>
      <c r="E405" s="13"/>
      <c r="F405" s="73"/>
    </row>
    <row r="406" customFormat="false" ht="19.5" hidden="false" customHeight="true" outlineLevel="0" collapsed="false">
      <c r="A406" s="50"/>
      <c r="B406" s="73"/>
      <c r="C406" s="13"/>
      <c r="D406" s="53"/>
      <c r="E406" s="13"/>
      <c r="F406" s="73"/>
    </row>
    <row r="407" customFormat="false" ht="19.5" hidden="false" customHeight="true" outlineLevel="0" collapsed="false">
      <c r="A407" s="50"/>
      <c r="B407" s="73"/>
      <c r="C407" s="13"/>
      <c r="D407" s="53"/>
      <c r="E407" s="13"/>
      <c r="F407" s="73"/>
    </row>
    <row r="408" customFormat="false" ht="19.5" hidden="false" customHeight="true" outlineLevel="0" collapsed="false">
      <c r="A408" s="50"/>
      <c r="B408" s="73"/>
      <c r="C408" s="13"/>
      <c r="D408" s="53"/>
      <c r="E408" s="13"/>
      <c r="F408" s="73"/>
    </row>
    <row r="409" customFormat="false" ht="19.5" hidden="false" customHeight="true" outlineLevel="0" collapsed="false">
      <c r="A409" s="50"/>
      <c r="B409" s="73"/>
      <c r="C409" s="13"/>
      <c r="D409" s="53"/>
      <c r="E409" s="13"/>
      <c r="F409" s="73"/>
    </row>
    <row r="410" customFormat="false" ht="19.5" hidden="false" customHeight="true" outlineLevel="0" collapsed="false">
      <c r="A410" s="50"/>
      <c r="B410" s="73"/>
      <c r="C410" s="13"/>
      <c r="D410" s="53"/>
      <c r="E410" s="13"/>
      <c r="F410" s="73"/>
    </row>
    <row r="411" customFormat="false" ht="19.5" hidden="false" customHeight="true" outlineLevel="0" collapsed="false">
      <c r="A411" s="50"/>
      <c r="B411" s="73"/>
      <c r="C411" s="13"/>
      <c r="D411" s="53"/>
      <c r="E411" s="13"/>
      <c r="F411" s="73"/>
    </row>
    <row r="412" customFormat="false" ht="19.5" hidden="false" customHeight="true" outlineLevel="0" collapsed="false">
      <c r="A412" s="50"/>
      <c r="B412" s="73"/>
      <c r="C412" s="13"/>
      <c r="D412" s="53"/>
      <c r="E412" s="13"/>
      <c r="F412" s="73"/>
    </row>
    <row r="413" customFormat="false" ht="19.5" hidden="false" customHeight="true" outlineLevel="0" collapsed="false">
      <c r="A413" s="50"/>
      <c r="B413" s="73"/>
      <c r="C413" s="13"/>
      <c r="D413" s="53"/>
      <c r="E413" s="13"/>
      <c r="F413" s="73"/>
    </row>
    <row r="414" customFormat="false" ht="19.5" hidden="false" customHeight="true" outlineLevel="0" collapsed="false">
      <c r="A414" s="50"/>
      <c r="B414" s="73"/>
      <c r="C414" s="13"/>
      <c r="D414" s="53"/>
      <c r="E414" s="13"/>
      <c r="F414" s="73"/>
    </row>
    <row r="415" customFormat="false" ht="19.5" hidden="false" customHeight="true" outlineLevel="0" collapsed="false">
      <c r="A415" s="50"/>
      <c r="B415" s="73"/>
      <c r="C415" s="13"/>
      <c r="D415" s="53"/>
      <c r="E415" s="13"/>
      <c r="F415" s="73"/>
    </row>
    <row r="416" customFormat="false" ht="19.5" hidden="false" customHeight="true" outlineLevel="0" collapsed="false">
      <c r="A416" s="50"/>
      <c r="B416" s="73"/>
      <c r="C416" s="13"/>
      <c r="D416" s="53"/>
      <c r="E416" s="13"/>
      <c r="F416" s="73"/>
    </row>
    <row r="417" customFormat="false" ht="19.5" hidden="false" customHeight="true" outlineLevel="0" collapsed="false">
      <c r="A417" s="50"/>
      <c r="B417" s="73"/>
      <c r="C417" s="13"/>
      <c r="D417" s="53"/>
      <c r="E417" s="13"/>
      <c r="F417" s="73"/>
    </row>
    <row r="418" customFormat="false" ht="19.5" hidden="false" customHeight="true" outlineLevel="0" collapsed="false">
      <c r="A418" s="50"/>
      <c r="B418" s="73"/>
      <c r="C418" s="13"/>
      <c r="D418" s="53"/>
      <c r="E418" s="13"/>
      <c r="F418" s="73"/>
    </row>
    <row r="419" customFormat="false" ht="19.5" hidden="false" customHeight="true" outlineLevel="0" collapsed="false">
      <c r="A419" s="50"/>
      <c r="B419" s="73"/>
      <c r="C419" s="13"/>
      <c r="D419" s="53"/>
      <c r="E419" s="13"/>
      <c r="F419" s="73"/>
    </row>
    <row r="420" customFormat="false" ht="19.5" hidden="false" customHeight="true" outlineLevel="0" collapsed="false">
      <c r="A420" s="50"/>
      <c r="B420" s="73"/>
      <c r="C420" s="13"/>
      <c r="D420" s="53"/>
      <c r="E420" s="13"/>
      <c r="F420" s="73"/>
    </row>
    <row r="421" customFormat="false" ht="19.5" hidden="false" customHeight="true" outlineLevel="0" collapsed="false">
      <c r="A421" s="50"/>
      <c r="B421" s="73"/>
      <c r="C421" s="13"/>
      <c r="D421" s="53"/>
      <c r="E421" s="13"/>
      <c r="F421" s="73"/>
    </row>
    <row r="422" customFormat="false" ht="19.5" hidden="false" customHeight="true" outlineLevel="0" collapsed="false">
      <c r="A422" s="50"/>
      <c r="B422" s="73"/>
      <c r="C422" s="13"/>
      <c r="D422" s="53"/>
      <c r="E422" s="13"/>
      <c r="F422" s="73"/>
    </row>
    <row r="423" customFormat="false" ht="19.5" hidden="false" customHeight="true" outlineLevel="0" collapsed="false">
      <c r="A423" s="50"/>
      <c r="B423" s="73"/>
      <c r="C423" s="13"/>
      <c r="D423" s="53"/>
      <c r="E423" s="13"/>
      <c r="F423" s="73"/>
    </row>
    <row r="424" customFormat="false" ht="19.5" hidden="false" customHeight="true" outlineLevel="0" collapsed="false">
      <c r="A424" s="50"/>
      <c r="B424" s="73"/>
      <c r="C424" s="13"/>
      <c r="D424" s="53"/>
      <c r="E424" s="13"/>
      <c r="F424" s="73"/>
    </row>
    <row r="425" customFormat="false" ht="19.5" hidden="false" customHeight="true" outlineLevel="0" collapsed="false">
      <c r="A425" s="50"/>
      <c r="B425" s="73"/>
      <c r="C425" s="13"/>
      <c r="D425" s="53"/>
      <c r="E425" s="13"/>
      <c r="F425" s="73"/>
    </row>
    <row r="426" customFormat="false" ht="19.5" hidden="false" customHeight="true" outlineLevel="0" collapsed="false">
      <c r="A426" s="50"/>
      <c r="B426" s="73"/>
      <c r="C426" s="13"/>
      <c r="D426" s="53"/>
      <c r="E426" s="13"/>
      <c r="F426" s="73"/>
    </row>
    <row r="427" customFormat="false" ht="19.5" hidden="false" customHeight="true" outlineLevel="0" collapsed="false">
      <c r="A427" s="50"/>
      <c r="B427" s="73"/>
      <c r="C427" s="13"/>
      <c r="D427" s="53"/>
      <c r="E427" s="13"/>
      <c r="F427" s="73"/>
    </row>
    <row r="428" customFormat="false" ht="19.5" hidden="false" customHeight="true" outlineLevel="0" collapsed="false">
      <c r="A428" s="50"/>
      <c r="B428" s="73"/>
      <c r="C428" s="13"/>
      <c r="D428" s="53"/>
      <c r="E428" s="13"/>
      <c r="F428" s="73"/>
    </row>
    <row r="429" customFormat="false" ht="19.5" hidden="false" customHeight="true" outlineLevel="0" collapsed="false">
      <c r="A429" s="50"/>
      <c r="B429" s="73"/>
      <c r="C429" s="13"/>
      <c r="D429" s="53"/>
      <c r="E429" s="13"/>
      <c r="F429" s="73"/>
    </row>
    <row r="430" customFormat="false" ht="19.5" hidden="false" customHeight="true" outlineLevel="0" collapsed="false">
      <c r="A430" s="50"/>
      <c r="B430" s="73"/>
      <c r="C430" s="13"/>
      <c r="D430" s="53"/>
      <c r="E430" s="13"/>
      <c r="F430" s="73"/>
    </row>
    <row r="431" customFormat="false" ht="19.5" hidden="false" customHeight="true" outlineLevel="0" collapsed="false">
      <c r="A431" s="50"/>
      <c r="B431" s="73"/>
      <c r="C431" s="13"/>
      <c r="D431" s="53"/>
      <c r="E431" s="13"/>
      <c r="F431" s="73"/>
    </row>
    <row r="432" customFormat="false" ht="19.5" hidden="false" customHeight="true" outlineLevel="0" collapsed="false">
      <c r="A432" s="50"/>
      <c r="B432" s="73"/>
      <c r="C432" s="13"/>
      <c r="D432" s="53"/>
      <c r="E432" s="13"/>
      <c r="F432" s="73"/>
    </row>
    <row r="433" customFormat="false" ht="19.5" hidden="false" customHeight="true" outlineLevel="0" collapsed="false">
      <c r="A433" s="50"/>
      <c r="B433" s="73"/>
      <c r="C433" s="13"/>
      <c r="D433" s="53"/>
      <c r="E433" s="13"/>
      <c r="F433" s="73"/>
    </row>
    <row r="434" customFormat="false" ht="19.5" hidden="false" customHeight="true" outlineLevel="0" collapsed="false">
      <c r="A434" s="50"/>
      <c r="B434" s="73"/>
      <c r="C434" s="13"/>
      <c r="D434" s="53"/>
      <c r="E434" s="13"/>
      <c r="F434" s="73"/>
    </row>
    <row r="435" customFormat="false" ht="19.5" hidden="false" customHeight="true" outlineLevel="0" collapsed="false">
      <c r="A435" s="50"/>
      <c r="B435" s="73"/>
      <c r="C435" s="13"/>
      <c r="D435" s="53"/>
      <c r="E435" s="13"/>
      <c r="F435" s="73"/>
    </row>
    <row r="436" customFormat="false" ht="19.5" hidden="false" customHeight="true" outlineLevel="0" collapsed="false">
      <c r="A436" s="50"/>
      <c r="B436" s="73"/>
      <c r="C436" s="13"/>
      <c r="D436" s="53"/>
      <c r="E436" s="13"/>
      <c r="F436" s="73"/>
    </row>
    <row r="437" customFormat="false" ht="19.5" hidden="false" customHeight="true" outlineLevel="0" collapsed="false">
      <c r="A437" s="50"/>
      <c r="B437" s="73"/>
      <c r="C437" s="13"/>
      <c r="D437" s="53"/>
      <c r="E437" s="13"/>
      <c r="F437" s="73"/>
    </row>
    <row r="438" customFormat="false" ht="19.5" hidden="false" customHeight="true" outlineLevel="0" collapsed="false">
      <c r="A438" s="50"/>
      <c r="B438" s="73"/>
      <c r="C438" s="13"/>
      <c r="D438" s="53"/>
      <c r="E438" s="13"/>
      <c r="F438" s="73"/>
    </row>
    <row r="439" customFormat="false" ht="19.5" hidden="false" customHeight="true" outlineLevel="0" collapsed="false">
      <c r="A439" s="50"/>
      <c r="B439" s="73"/>
      <c r="C439" s="13"/>
      <c r="D439" s="53"/>
      <c r="E439" s="13"/>
      <c r="F439" s="73"/>
    </row>
    <row r="440" customFormat="false" ht="19.5" hidden="false" customHeight="true" outlineLevel="0" collapsed="false">
      <c r="A440" s="50"/>
      <c r="B440" s="73"/>
      <c r="C440" s="13"/>
      <c r="D440" s="53"/>
      <c r="E440" s="13"/>
      <c r="F440" s="73"/>
    </row>
    <row r="441" customFormat="false" ht="19.5" hidden="false" customHeight="true" outlineLevel="0" collapsed="false">
      <c r="A441" s="50"/>
      <c r="B441" s="73"/>
      <c r="C441" s="13"/>
      <c r="D441" s="53"/>
      <c r="E441" s="13"/>
      <c r="F441" s="73"/>
    </row>
    <row r="442" customFormat="false" ht="19.5" hidden="false" customHeight="true" outlineLevel="0" collapsed="false">
      <c r="A442" s="50"/>
      <c r="B442" s="73"/>
      <c r="C442" s="13"/>
      <c r="D442" s="53"/>
      <c r="E442" s="13"/>
      <c r="F442" s="73"/>
    </row>
    <row r="443" customFormat="false" ht="19.5" hidden="false" customHeight="true" outlineLevel="0" collapsed="false">
      <c r="A443" s="50"/>
      <c r="B443" s="73"/>
      <c r="C443" s="13"/>
      <c r="D443" s="53"/>
      <c r="E443" s="13"/>
      <c r="F443" s="73"/>
    </row>
    <row r="444" customFormat="false" ht="19.5" hidden="false" customHeight="true" outlineLevel="0" collapsed="false">
      <c r="A444" s="50"/>
      <c r="B444" s="73"/>
      <c r="C444" s="13"/>
      <c r="D444" s="53"/>
      <c r="E444" s="13"/>
      <c r="F444" s="73"/>
    </row>
    <row r="445" customFormat="false" ht="19.5" hidden="false" customHeight="true" outlineLevel="0" collapsed="false">
      <c r="A445" s="50"/>
      <c r="B445" s="73"/>
      <c r="C445" s="13"/>
      <c r="D445" s="53"/>
      <c r="E445" s="13"/>
      <c r="F445" s="73"/>
    </row>
    <row r="446" customFormat="false" ht="19.5" hidden="false" customHeight="true" outlineLevel="0" collapsed="false">
      <c r="A446" s="50"/>
      <c r="B446" s="73"/>
      <c r="C446" s="13"/>
      <c r="D446" s="53"/>
      <c r="E446" s="13"/>
      <c r="F446" s="73"/>
    </row>
    <row r="447" customFormat="false" ht="19.5" hidden="false" customHeight="true" outlineLevel="0" collapsed="false">
      <c r="A447" s="50"/>
      <c r="B447" s="73"/>
      <c r="C447" s="13"/>
      <c r="D447" s="53"/>
      <c r="E447" s="13"/>
      <c r="F447" s="73"/>
    </row>
    <row r="448" customFormat="false" ht="19.5" hidden="false" customHeight="true" outlineLevel="0" collapsed="false">
      <c r="A448" s="50"/>
      <c r="B448" s="73"/>
      <c r="C448" s="13"/>
      <c r="D448" s="53"/>
      <c r="E448" s="13"/>
      <c r="F448" s="73"/>
    </row>
    <row r="449" customFormat="false" ht="19.5" hidden="false" customHeight="true" outlineLevel="0" collapsed="false">
      <c r="A449" s="50"/>
      <c r="B449" s="73"/>
      <c r="C449" s="13"/>
      <c r="D449" s="53"/>
      <c r="E449" s="13"/>
      <c r="F449" s="73"/>
    </row>
    <row r="450" customFormat="false" ht="19.5" hidden="false" customHeight="true" outlineLevel="0" collapsed="false">
      <c r="A450" s="50"/>
      <c r="B450" s="73"/>
      <c r="C450" s="13"/>
      <c r="D450" s="53"/>
      <c r="E450" s="13"/>
      <c r="F450" s="73"/>
    </row>
    <row r="451" customFormat="false" ht="19.5" hidden="false" customHeight="true" outlineLevel="0" collapsed="false">
      <c r="A451" s="50"/>
      <c r="B451" s="73"/>
      <c r="C451" s="13"/>
      <c r="D451" s="53"/>
      <c r="E451" s="13"/>
      <c r="F451" s="73"/>
    </row>
    <row r="452" customFormat="false" ht="19.5" hidden="false" customHeight="true" outlineLevel="0" collapsed="false">
      <c r="A452" s="50"/>
      <c r="B452" s="73"/>
      <c r="C452" s="13"/>
      <c r="D452" s="53"/>
      <c r="E452" s="13"/>
      <c r="F452" s="73"/>
    </row>
    <row r="453" customFormat="false" ht="19.5" hidden="false" customHeight="true" outlineLevel="0" collapsed="false">
      <c r="A453" s="50"/>
      <c r="B453" s="73"/>
      <c r="C453" s="13"/>
      <c r="D453" s="53"/>
      <c r="E453" s="13"/>
      <c r="F453" s="73"/>
    </row>
    <row r="454" customFormat="false" ht="19.5" hidden="false" customHeight="true" outlineLevel="0" collapsed="false">
      <c r="A454" s="50"/>
      <c r="B454" s="73"/>
      <c r="C454" s="13"/>
      <c r="D454" s="53"/>
      <c r="E454" s="13"/>
      <c r="F454" s="73"/>
    </row>
    <row r="455" customFormat="false" ht="19.5" hidden="false" customHeight="true" outlineLevel="0" collapsed="false">
      <c r="A455" s="50"/>
      <c r="B455" s="73"/>
      <c r="C455" s="13"/>
      <c r="D455" s="53"/>
      <c r="E455" s="13"/>
      <c r="F455" s="73"/>
    </row>
    <row r="456" customFormat="false" ht="19.5" hidden="false" customHeight="true" outlineLevel="0" collapsed="false">
      <c r="A456" s="50"/>
      <c r="B456" s="73"/>
      <c r="C456" s="13"/>
      <c r="D456" s="53"/>
      <c r="E456" s="13"/>
      <c r="F456" s="73"/>
    </row>
    <row r="457" customFormat="false" ht="19.5" hidden="false" customHeight="true" outlineLevel="0" collapsed="false">
      <c r="A457" s="50"/>
      <c r="B457" s="73"/>
      <c r="C457" s="13"/>
      <c r="D457" s="53"/>
      <c r="E457" s="13"/>
      <c r="F457" s="73"/>
    </row>
    <row r="458" customFormat="false" ht="19.5" hidden="false" customHeight="true" outlineLevel="0" collapsed="false">
      <c r="A458" s="50"/>
      <c r="B458" s="73"/>
      <c r="C458" s="13"/>
      <c r="D458" s="53"/>
      <c r="E458" s="13"/>
      <c r="F458" s="73"/>
    </row>
    <row r="459" customFormat="false" ht="19.5" hidden="false" customHeight="true" outlineLevel="0" collapsed="false">
      <c r="A459" s="50"/>
      <c r="B459" s="73"/>
      <c r="C459" s="13"/>
      <c r="D459" s="53"/>
      <c r="E459" s="13"/>
      <c r="F459" s="73"/>
    </row>
    <row r="460" customFormat="false" ht="19.5" hidden="false" customHeight="true" outlineLevel="0" collapsed="false">
      <c r="A460" s="50"/>
      <c r="B460" s="73"/>
      <c r="C460" s="13"/>
      <c r="D460" s="53"/>
      <c r="E460" s="13"/>
      <c r="F460" s="73"/>
    </row>
    <row r="461" customFormat="false" ht="19.5" hidden="false" customHeight="true" outlineLevel="0" collapsed="false">
      <c r="A461" s="50"/>
      <c r="B461" s="73"/>
      <c r="C461" s="13"/>
      <c r="D461" s="53"/>
      <c r="E461" s="13"/>
      <c r="F461" s="73"/>
    </row>
    <row r="462" customFormat="false" ht="19.5" hidden="false" customHeight="true" outlineLevel="0" collapsed="false">
      <c r="A462" s="50"/>
      <c r="B462" s="73"/>
      <c r="C462" s="13"/>
      <c r="D462" s="53"/>
      <c r="E462" s="13"/>
      <c r="F462" s="73"/>
    </row>
    <row r="463" customFormat="false" ht="19.5" hidden="false" customHeight="true" outlineLevel="0" collapsed="false">
      <c r="A463" s="50"/>
      <c r="B463" s="73"/>
      <c r="C463" s="13"/>
      <c r="D463" s="53"/>
      <c r="E463" s="13"/>
      <c r="F463" s="73"/>
    </row>
    <row r="464" customFormat="false" ht="19.5" hidden="false" customHeight="true" outlineLevel="0" collapsed="false">
      <c r="A464" s="50"/>
      <c r="B464" s="73"/>
      <c r="C464" s="13"/>
      <c r="D464" s="53"/>
      <c r="E464" s="13"/>
      <c r="F464" s="73"/>
    </row>
    <row r="465" customFormat="false" ht="19.5" hidden="false" customHeight="true" outlineLevel="0" collapsed="false">
      <c r="A465" s="50"/>
      <c r="B465" s="73"/>
      <c r="C465" s="13"/>
      <c r="D465" s="53"/>
      <c r="E465" s="13"/>
      <c r="F465" s="73"/>
    </row>
    <row r="466" customFormat="false" ht="19.5" hidden="false" customHeight="true" outlineLevel="0" collapsed="false">
      <c r="A466" s="50"/>
      <c r="B466" s="73"/>
      <c r="C466" s="13"/>
      <c r="D466" s="53"/>
      <c r="E466" s="13"/>
      <c r="F466" s="73"/>
    </row>
    <row r="467" customFormat="false" ht="19.5" hidden="false" customHeight="true" outlineLevel="0" collapsed="false">
      <c r="A467" s="50"/>
      <c r="B467" s="73"/>
      <c r="C467" s="13"/>
      <c r="D467" s="53"/>
      <c r="E467" s="13"/>
      <c r="F467" s="73"/>
    </row>
    <row r="468" customFormat="false" ht="19.5" hidden="false" customHeight="true" outlineLevel="0" collapsed="false">
      <c r="A468" s="50"/>
      <c r="B468" s="73"/>
      <c r="C468" s="13"/>
      <c r="D468" s="53"/>
      <c r="E468" s="13"/>
      <c r="F468" s="73"/>
    </row>
    <row r="469" customFormat="false" ht="19.5" hidden="false" customHeight="true" outlineLevel="0" collapsed="false">
      <c r="A469" s="50"/>
      <c r="B469" s="73"/>
      <c r="C469" s="13"/>
      <c r="D469" s="53"/>
      <c r="E469" s="13"/>
      <c r="F469" s="73"/>
    </row>
    <row r="470" customFormat="false" ht="19.5" hidden="false" customHeight="true" outlineLevel="0" collapsed="false">
      <c r="A470" s="50"/>
      <c r="B470" s="73"/>
      <c r="C470" s="13"/>
      <c r="D470" s="53"/>
      <c r="E470" s="13"/>
      <c r="F470" s="73"/>
    </row>
    <row r="471" customFormat="false" ht="19.5" hidden="false" customHeight="true" outlineLevel="0" collapsed="false">
      <c r="A471" s="50"/>
      <c r="B471" s="73"/>
      <c r="C471" s="13"/>
      <c r="D471" s="53"/>
      <c r="E471" s="13"/>
      <c r="F471" s="73"/>
    </row>
    <row r="472" customFormat="false" ht="19.5" hidden="false" customHeight="true" outlineLevel="0" collapsed="false">
      <c r="A472" s="50"/>
      <c r="B472" s="73"/>
      <c r="C472" s="13"/>
      <c r="D472" s="53"/>
      <c r="E472" s="13"/>
      <c r="F472" s="73"/>
    </row>
    <row r="473" customFormat="false" ht="19.5" hidden="false" customHeight="true" outlineLevel="0" collapsed="false">
      <c r="A473" s="50"/>
      <c r="B473" s="73"/>
      <c r="C473" s="13"/>
      <c r="D473" s="53"/>
      <c r="E473" s="13"/>
      <c r="F473" s="73"/>
    </row>
    <row r="474" customFormat="false" ht="19.5" hidden="false" customHeight="true" outlineLevel="0" collapsed="false">
      <c r="A474" s="50"/>
      <c r="B474" s="73"/>
      <c r="C474" s="13"/>
      <c r="D474" s="53"/>
      <c r="E474" s="13"/>
      <c r="F474" s="73"/>
    </row>
    <row r="475" customFormat="false" ht="19.5" hidden="false" customHeight="true" outlineLevel="0" collapsed="false">
      <c r="A475" s="50"/>
      <c r="B475" s="73"/>
      <c r="C475" s="13"/>
      <c r="D475" s="53"/>
      <c r="E475" s="13"/>
      <c r="F475" s="73"/>
    </row>
    <row r="476" customFormat="false" ht="19.5" hidden="false" customHeight="true" outlineLevel="0" collapsed="false">
      <c r="A476" s="50"/>
      <c r="B476" s="73"/>
      <c r="C476" s="13"/>
      <c r="D476" s="53"/>
      <c r="E476" s="13"/>
      <c r="F476" s="73"/>
    </row>
    <row r="477" customFormat="false" ht="19.5" hidden="false" customHeight="true" outlineLevel="0" collapsed="false">
      <c r="A477" s="50"/>
      <c r="B477" s="73"/>
      <c r="C477" s="13"/>
      <c r="D477" s="53"/>
      <c r="E477" s="13"/>
      <c r="F477" s="73"/>
    </row>
    <row r="478" customFormat="false" ht="19.5" hidden="false" customHeight="true" outlineLevel="0" collapsed="false">
      <c r="A478" s="50"/>
      <c r="B478" s="73"/>
      <c r="C478" s="13"/>
      <c r="D478" s="53"/>
      <c r="E478" s="13"/>
      <c r="F478" s="73"/>
    </row>
    <row r="479" customFormat="false" ht="19.5" hidden="false" customHeight="true" outlineLevel="0" collapsed="false">
      <c r="A479" s="50"/>
      <c r="B479" s="73"/>
      <c r="C479" s="13"/>
      <c r="D479" s="53"/>
      <c r="E479" s="13"/>
      <c r="F479" s="73"/>
    </row>
    <row r="480" customFormat="false" ht="19.5" hidden="false" customHeight="true" outlineLevel="0" collapsed="false">
      <c r="A480" s="50"/>
      <c r="B480" s="73"/>
      <c r="C480" s="13"/>
      <c r="D480" s="53"/>
      <c r="E480" s="13"/>
      <c r="F480" s="73"/>
    </row>
    <row r="481" customFormat="false" ht="19.5" hidden="false" customHeight="true" outlineLevel="0" collapsed="false">
      <c r="A481" s="50"/>
      <c r="B481" s="73"/>
      <c r="C481" s="13"/>
      <c r="D481" s="53"/>
      <c r="E481" s="13"/>
      <c r="F481" s="73"/>
    </row>
    <row r="482" customFormat="false" ht="19.5" hidden="false" customHeight="true" outlineLevel="0" collapsed="false">
      <c r="A482" s="50"/>
      <c r="B482" s="73"/>
      <c r="C482" s="13"/>
      <c r="D482" s="53"/>
      <c r="E482" s="13"/>
      <c r="F482" s="73"/>
    </row>
    <row r="483" customFormat="false" ht="19.5" hidden="false" customHeight="true" outlineLevel="0" collapsed="false">
      <c r="A483" s="50"/>
      <c r="B483" s="73"/>
      <c r="C483" s="13"/>
      <c r="D483" s="53"/>
      <c r="E483" s="13"/>
      <c r="F483" s="73"/>
    </row>
    <row r="484" customFormat="false" ht="19.5" hidden="false" customHeight="true" outlineLevel="0" collapsed="false">
      <c r="A484" s="50"/>
      <c r="B484" s="73"/>
      <c r="C484" s="13"/>
      <c r="D484" s="53"/>
      <c r="E484" s="13"/>
      <c r="F484" s="73"/>
    </row>
    <row r="485" customFormat="false" ht="19.5" hidden="false" customHeight="true" outlineLevel="0" collapsed="false">
      <c r="A485" s="50"/>
      <c r="B485" s="73"/>
      <c r="C485" s="13"/>
      <c r="D485" s="53"/>
      <c r="E485" s="13"/>
      <c r="F485" s="73"/>
    </row>
    <row r="486" customFormat="false" ht="19.5" hidden="false" customHeight="true" outlineLevel="0" collapsed="false">
      <c r="A486" s="50"/>
      <c r="B486" s="73"/>
      <c r="C486" s="13"/>
      <c r="D486" s="53"/>
      <c r="E486" s="13"/>
      <c r="F486" s="73"/>
    </row>
    <row r="487" customFormat="false" ht="19.5" hidden="false" customHeight="true" outlineLevel="0" collapsed="false">
      <c r="A487" s="50"/>
      <c r="B487" s="73"/>
      <c r="C487" s="13"/>
      <c r="D487" s="53"/>
      <c r="E487" s="13"/>
      <c r="F487" s="73"/>
    </row>
    <row r="488" customFormat="false" ht="19.5" hidden="false" customHeight="true" outlineLevel="0" collapsed="false">
      <c r="A488" s="50"/>
      <c r="B488" s="73"/>
      <c r="C488" s="13"/>
      <c r="D488" s="53"/>
      <c r="E488" s="13"/>
      <c r="F488" s="73"/>
    </row>
    <row r="489" customFormat="false" ht="19.5" hidden="false" customHeight="true" outlineLevel="0" collapsed="false">
      <c r="A489" s="50"/>
      <c r="B489" s="73"/>
      <c r="C489" s="13"/>
      <c r="D489" s="53"/>
      <c r="E489" s="13"/>
      <c r="F489" s="73"/>
    </row>
    <row r="490" customFormat="false" ht="19.5" hidden="false" customHeight="true" outlineLevel="0" collapsed="false">
      <c r="A490" s="50"/>
      <c r="B490" s="73"/>
      <c r="C490" s="13"/>
      <c r="D490" s="53"/>
      <c r="E490" s="13"/>
      <c r="F490" s="73"/>
    </row>
    <row r="491" customFormat="false" ht="19.5" hidden="false" customHeight="true" outlineLevel="0" collapsed="false">
      <c r="A491" s="50"/>
      <c r="B491" s="73"/>
      <c r="C491" s="13"/>
      <c r="D491" s="53"/>
      <c r="E491" s="13"/>
      <c r="F491" s="73"/>
    </row>
    <row r="492" customFormat="false" ht="19.5" hidden="false" customHeight="true" outlineLevel="0" collapsed="false">
      <c r="A492" s="50"/>
      <c r="B492" s="73"/>
      <c r="C492" s="13"/>
      <c r="D492" s="53"/>
      <c r="E492" s="13"/>
      <c r="F492" s="73"/>
    </row>
    <row r="493" customFormat="false" ht="19.5" hidden="false" customHeight="true" outlineLevel="0" collapsed="false">
      <c r="A493" s="50"/>
      <c r="B493" s="73"/>
      <c r="C493" s="13"/>
      <c r="D493" s="53"/>
      <c r="E493" s="13"/>
      <c r="F493" s="73"/>
    </row>
    <row r="494" customFormat="false" ht="19.5" hidden="false" customHeight="true" outlineLevel="0" collapsed="false">
      <c r="A494" s="50"/>
      <c r="B494" s="73"/>
      <c r="C494" s="13"/>
      <c r="D494" s="53"/>
      <c r="E494" s="13"/>
      <c r="F494" s="73"/>
    </row>
    <row r="495" customFormat="false" ht="19.5" hidden="false" customHeight="true" outlineLevel="0" collapsed="false">
      <c r="A495" s="50"/>
      <c r="B495" s="73"/>
      <c r="C495" s="13"/>
      <c r="D495" s="53"/>
      <c r="E495" s="13"/>
      <c r="F495" s="73"/>
    </row>
    <row r="496" customFormat="false" ht="19.5" hidden="false" customHeight="true" outlineLevel="0" collapsed="false">
      <c r="A496" s="50"/>
      <c r="B496" s="73"/>
      <c r="C496" s="13"/>
      <c r="D496" s="53"/>
      <c r="E496" s="13"/>
      <c r="F496" s="73"/>
    </row>
    <row r="497" customFormat="false" ht="19.5" hidden="false" customHeight="true" outlineLevel="0" collapsed="false">
      <c r="A497" s="50"/>
      <c r="B497" s="73"/>
      <c r="C497" s="13"/>
      <c r="D497" s="53"/>
      <c r="E497" s="13"/>
      <c r="F497" s="73"/>
    </row>
    <row r="498" customFormat="false" ht="19.5" hidden="false" customHeight="true" outlineLevel="0" collapsed="false">
      <c r="A498" s="50"/>
      <c r="B498" s="73"/>
      <c r="C498" s="13"/>
      <c r="D498" s="53"/>
      <c r="E498" s="13"/>
      <c r="F498" s="73"/>
    </row>
    <row r="499" customFormat="false" ht="19.5" hidden="false" customHeight="true" outlineLevel="0" collapsed="false">
      <c r="A499" s="50"/>
      <c r="B499" s="73"/>
      <c r="C499" s="13"/>
      <c r="D499" s="53"/>
      <c r="E499" s="13"/>
      <c r="F499" s="73"/>
    </row>
    <row r="500" customFormat="false" ht="19.5" hidden="false" customHeight="true" outlineLevel="0" collapsed="false">
      <c r="A500" s="50"/>
      <c r="B500" s="73"/>
      <c r="C500" s="13"/>
      <c r="D500" s="53"/>
      <c r="E500" s="13"/>
      <c r="F500" s="73"/>
    </row>
    <row r="501" customFormat="false" ht="19.5" hidden="false" customHeight="true" outlineLevel="0" collapsed="false">
      <c r="A501" s="50"/>
      <c r="B501" s="73"/>
      <c r="C501" s="13"/>
      <c r="D501" s="53"/>
      <c r="E501" s="13"/>
      <c r="F501" s="73"/>
    </row>
    <row r="502" customFormat="false" ht="19.5" hidden="false" customHeight="true" outlineLevel="0" collapsed="false">
      <c r="A502" s="50"/>
      <c r="B502" s="73"/>
      <c r="C502" s="13"/>
      <c r="D502" s="53"/>
      <c r="E502" s="13"/>
      <c r="F502" s="73"/>
    </row>
    <row r="503" customFormat="false" ht="19.5" hidden="false" customHeight="true" outlineLevel="0" collapsed="false">
      <c r="A503" s="50"/>
      <c r="B503" s="73"/>
      <c r="C503" s="13"/>
      <c r="D503" s="53"/>
      <c r="E503" s="13"/>
      <c r="F503" s="73"/>
    </row>
    <row r="504" customFormat="false" ht="19.5" hidden="false" customHeight="true" outlineLevel="0" collapsed="false">
      <c r="A504" s="50"/>
      <c r="B504" s="73"/>
      <c r="C504" s="13"/>
      <c r="D504" s="53"/>
      <c r="E504" s="13"/>
      <c r="F504" s="73"/>
    </row>
    <row r="505" customFormat="false" ht="19.5" hidden="false" customHeight="true" outlineLevel="0" collapsed="false">
      <c r="A505" s="50"/>
      <c r="B505" s="73"/>
      <c r="C505" s="13"/>
      <c r="D505" s="53"/>
      <c r="E505" s="13"/>
      <c r="F505" s="73"/>
    </row>
    <row r="506" customFormat="false" ht="19.5" hidden="false" customHeight="true" outlineLevel="0" collapsed="false">
      <c r="A506" s="50"/>
      <c r="B506" s="73"/>
      <c r="C506" s="13"/>
      <c r="D506" s="53"/>
      <c r="E506" s="13"/>
      <c r="F506" s="73"/>
    </row>
  </sheetData>
  <autoFilter ref="A6:F506"/>
  <mergeCells count="4">
    <mergeCell ref="A1:F1"/>
    <mergeCell ref="A2:C2"/>
    <mergeCell ref="D2:F2"/>
    <mergeCell ref="A5:C5"/>
  </mergeCells>
  <conditionalFormatting sqref="D7:D506">
    <cfRule type="dataBar" priority="2">
      <dataBar showValue="1" minLength="10" maxLength="90">
        <cfvo type="num" val="0"/>
        <cfvo type="num" val="6"/>
        <color rgb="FFA3B18A"/>
      </dataBar>
      <extLst>
        <ext xmlns:x14="http://schemas.microsoft.com/office/spreadsheetml/2009/9/main" uri="{B025F937-C7B1-47D3-B67F-A62EFF666E3E}">
          <x14:id>{F071624A-45DC-47ED-8EC5-52AA2960201B}</x14:id>
        </ext>
      </extLst>
    </cfRule>
  </conditionalFormatting>
  <dataValidations count="4">
    <dataValidation allowBlank="true" error="Valor inválido." errorStyle="stop" operator="greaterThan" showDropDown="false" showErrorMessage="true" showInputMessage="false" sqref="A7:A506" type="date">
      <formula1>36526</formula1>
      <formula2>0</formula2>
    </dataValidation>
    <dataValidation allowBlank="true" error="Valor inválido." errorStyle="stop" operator="between" showDropDown="false" showErrorMessage="true" showInputMessage="false" sqref="B7:B506" type="list">
      <formula1>Listas!$E$6:$E$10</formula1>
      <formula2>0</formula2>
    </dataValidation>
    <dataValidation allowBlank="true" error="Valor inválido." errorStyle="stop" operator="between" showDropDown="false" showErrorMessage="true" showInputMessage="false" sqref="D7:D506" type="decimal">
      <formula1>0</formula1>
      <formula2>24</formula2>
    </dataValidation>
    <dataValidation allowBlank="true" error="Valor inválido." errorStyle="stop" operator="between" showDropDown="false" showErrorMessage="true" showInputMessage="false" sqref="F7:F506" type="whole">
      <formula1>1</formula1>
      <formula2>5</formula2>
    </dataValidation>
  </dataValidations>
  <hyperlinks>
    <hyperlink ref="D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71624A-45DC-47ED-8EC5-52AA2960201B}">
            <x14:dataBar minLength="10" maxLength="90" axisPosition="none" gradient="true">
              <x14:cfvo type="num">
                <xm:f>0</xm:f>
              </x14:cfvo>
              <x14:cfvo type="num">
                <xm:f>6</xm:f>
              </x14:cfvo>
              <x14:negativeFillColor rgb="FFA3B18A"/>
              <x14:axisColor rgb="FF000000"/>
            </x14:dataBar>
          </x14:cfRule>
          <xm:sqref>D7:D506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U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26"/>
    <col collapsed="false" customWidth="true" hidden="false" outlineLevel="0" max="19" min="19" style="0" width="22"/>
    <col collapsed="false" customWidth="true" hidden="false" outlineLevel="0" max="20" min="20" style="0" width="30"/>
    <col collapsed="false" customWidth="true" hidden="false" outlineLevel="0" max="21" min="21" style="0" width="36"/>
  </cols>
  <sheetData>
    <row r="1" customFormat="false" ht="37.5" hidden="false" customHeight="true" outlineLevel="0" collapsed="false">
      <c r="A1" s="20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19.5" hidden="false" customHeight="true" outlineLevel="0" collapsed="false">
      <c r="A2" s="21" t="s">
        <v>142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 t="s">
        <v>56</v>
      </c>
      <c r="T2" s="22"/>
      <c r="U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143</v>
      </c>
      <c r="C5" s="23"/>
      <c r="D5" s="23" t="s">
        <v>58</v>
      </c>
      <c r="E5" s="23"/>
      <c r="F5" s="23" t="s">
        <v>59</v>
      </c>
      <c r="G5" s="23"/>
      <c r="H5" s="23" t="s">
        <v>144</v>
      </c>
      <c r="I5" s="23"/>
      <c r="J5" s="23" t="s">
        <v>61</v>
      </c>
      <c r="K5" s="23"/>
      <c r="L5" s="23" t="s">
        <v>145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COUNTIF(O10:O49,"Em andamento")</f>
        <v>1</v>
      </c>
      <c r="E6" s="24"/>
      <c r="F6" s="24" t="n">
        <f aca="false">COUNTIF(O10:O49,"Concluído")</f>
        <v>0</v>
      </c>
      <c r="G6" s="24"/>
      <c r="H6" s="25" t="n">
        <f aca="false">SUM(F10:F49)</f>
        <v>12600</v>
      </c>
      <c r="I6" s="25"/>
      <c r="J6" s="26" t="n">
        <f aca="false">IFERROR(AVERAGE(N10:N49),0)</f>
        <v>0.1</v>
      </c>
      <c r="K6" s="26"/>
      <c r="L6" s="24" t="n">
        <f aca="false">COUNTIF(K10:K49,"*A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0" t="s">
        <v>146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customFormat="false" ht="36" hidden="false" customHeight="true" outlineLevel="0" collapsed="false">
      <c r="A9" s="92" t="s">
        <v>147</v>
      </c>
      <c r="B9" s="32" t="s">
        <v>148</v>
      </c>
      <c r="C9" s="32" t="s">
        <v>149</v>
      </c>
      <c r="D9" s="32" t="s">
        <v>150</v>
      </c>
      <c r="E9" s="32" t="s">
        <v>151</v>
      </c>
      <c r="F9" s="32" t="s">
        <v>152</v>
      </c>
      <c r="G9" s="32" t="s">
        <v>153</v>
      </c>
      <c r="H9" s="32" t="s">
        <v>154</v>
      </c>
      <c r="I9" s="32" t="s">
        <v>155</v>
      </c>
      <c r="J9" s="92" t="s">
        <v>156</v>
      </c>
      <c r="K9" s="92" t="s">
        <v>157</v>
      </c>
      <c r="L9" s="32" t="s">
        <v>158</v>
      </c>
      <c r="M9" s="32" t="s">
        <v>159</v>
      </c>
      <c r="N9" s="92" t="s">
        <v>160</v>
      </c>
      <c r="O9" s="32" t="s">
        <v>93</v>
      </c>
      <c r="P9" s="32" t="s">
        <v>161</v>
      </c>
      <c r="Q9" s="32" t="s">
        <v>162</v>
      </c>
      <c r="R9" s="32" t="s">
        <v>163</v>
      </c>
      <c r="S9" s="32" t="s">
        <v>164</v>
      </c>
      <c r="T9" s="32" t="s">
        <v>165</v>
      </c>
      <c r="U9" s="32" t="s">
        <v>166</v>
      </c>
    </row>
    <row r="10" customFormat="false" ht="21.75" hidden="false" customHeight="true" outlineLevel="0" collapsed="false">
      <c r="A10" s="56" t="str">
        <f aca="false">IF($B10="","","PG-"&amp;TEXT(ROW()-9,"00"))</f>
        <v>PG-01</v>
      </c>
      <c r="B10" s="13" t="s">
        <v>136</v>
      </c>
      <c r="C10" s="13" t="s">
        <v>167</v>
      </c>
      <c r="D10" s="73" t="s">
        <v>168</v>
      </c>
      <c r="E10" s="50" t="n">
        <v>46244</v>
      </c>
      <c r="F10" s="35" t="n">
        <v>12600</v>
      </c>
      <c r="G10" s="50" t="n">
        <v>46266</v>
      </c>
      <c r="H10" s="50" t="n">
        <v>46813</v>
      </c>
      <c r="I10" s="50" t="n">
        <v>46997</v>
      </c>
      <c r="J10" s="93" t="n">
        <f aca="true">IF(OR($B10="",$I10=""),"",$I10-TODAY())</f>
        <v>699</v>
      </c>
      <c r="K10" s="94" t="str">
        <f aca="false">IF($B10="","",IF($I10="","∞ Vitalício",IF($J10&lt;0,"■ Vencido",IF($J10&lt;=Listas!$H$6,"▲ A vencer","● Ativo"))))</f>
        <v>● Ativo</v>
      </c>
      <c r="L10" s="95" t="n">
        <v>20</v>
      </c>
      <c r="M10" s="95" t="n">
        <v>2</v>
      </c>
      <c r="N10" s="41" t="n">
        <f aca="false">IF($B10="","",IF(N($L10)=0,0,MIN(1,N($M10)/$L10)))</f>
        <v>0.1</v>
      </c>
      <c r="O10" s="73" t="s">
        <v>41</v>
      </c>
      <c r="P10" s="73" t="s">
        <v>169</v>
      </c>
      <c r="Q10" s="73" t="s">
        <v>170</v>
      </c>
      <c r="R10" s="13" t="s">
        <v>171</v>
      </c>
      <c r="S10" s="13" t="s">
        <v>172</v>
      </c>
      <c r="T10" s="13" t="s">
        <v>173</v>
      </c>
      <c r="U10" s="11" t="s">
        <v>174</v>
      </c>
    </row>
    <row r="11" customFormat="false" ht="21.75" hidden="false" customHeight="true" outlineLevel="0" collapsed="false">
      <c r="A11" s="56" t="str">
        <f aca="false">IF($B11="","","PG-"&amp;TEXT(ROW()-9,"00"))</f>
        <v/>
      </c>
      <c r="B11" s="13"/>
      <c r="C11" s="13"/>
      <c r="D11" s="73"/>
      <c r="E11" s="50"/>
      <c r="F11" s="35"/>
      <c r="G11" s="50"/>
      <c r="H11" s="50"/>
      <c r="I11" s="50"/>
      <c r="J11" s="93" t="str">
        <f aca="true">IF(OR($B11="",$I11=""),"",$I11-TODAY())</f>
        <v/>
      </c>
      <c r="K11" s="94" t="str">
        <f aca="false">IF($B11="","",IF($I11="","∞ Vitalício",IF($J11&lt;0,"■ Vencido",IF($J11&lt;=Listas!$H$6,"▲ A vencer","● Ativo"))))</f>
        <v/>
      </c>
      <c r="L11" s="95"/>
      <c r="M11" s="95"/>
      <c r="N11" s="41" t="str">
        <f aca="false">IF($B11="","",IF(N($L11)=0,0,MIN(1,N($M11)/$L11)))</f>
        <v/>
      </c>
      <c r="O11" s="73"/>
      <c r="P11" s="73"/>
      <c r="Q11" s="73"/>
      <c r="R11" s="13"/>
      <c r="S11" s="13"/>
      <c r="T11" s="13"/>
      <c r="U11" s="11"/>
    </row>
    <row r="12" customFormat="false" ht="21.75" hidden="false" customHeight="true" outlineLevel="0" collapsed="false">
      <c r="A12" s="56" t="str">
        <f aca="false">IF($B12="","","PG-"&amp;TEXT(ROW()-9,"00"))</f>
        <v/>
      </c>
      <c r="B12" s="13"/>
      <c r="C12" s="13"/>
      <c r="D12" s="73"/>
      <c r="E12" s="50"/>
      <c r="F12" s="35"/>
      <c r="G12" s="50"/>
      <c r="H12" s="50"/>
      <c r="I12" s="50"/>
      <c r="J12" s="93" t="str">
        <f aca="true">IF(OR($B12="",$I12=""),"",$I12-TODAY())</f>
        <v/>
      </c>
      <c r="K12" s="94" t="str">
        <f aca="false">IF($B12="","",IF($I12="","∞ Vitalício",IF($J12&lt;0,"■ Vencido",IF($J12&lt;=Listas!$H$6,"▲ A vencer","● Ativo"))))</f>
        <v/>
      </c>
      <c r="L12" s="95"/>
      <c r="M12" s="95"/>
      <c r="N12" s="41" t="str">
        <f aca="false">IF($B12="","",IF(N($L12)=0,0,MIN(1,N($M12)/$L12)))</f>
        <v/>
      </c>
      <c r="O12" s="73"/>
      <c r="P12" s="73"/>
      <c r="Q12" s="73"/>
      <c r="R12" s="13"/>
      <c r="S12" s="13"/>
      <c r="T12" s="13"/>
      <c r="U12" s="11"/>
    </row>
    <row r="13" customFormat="false" ht="21.75" hidden="false" customHeight="true" outlineLevel="0" collapsed="false">
      <c r="A13" s="56" t="str">
        <f aca="false">IF($B13="","","PG-"&amp;TEXT(ROW()-9,"00"))</f>
        <v/>
      </c>
      <c r="B13" s="13"/>
      <c r="C13" s="13"/>
      <c r="D13" s="73"/>
      <c r="E13" s="50"/>
      <c r="F13" s="35"/>
      <c r="G13" s="50"/>
      <c r="H13" s="50"/>
      <c r="I13" s="50"/>
      <c r="J13" s="93" t="str">
        <f aca="true">IF(OR($B13="",$I13=""),"",$I13-TODAY())</f>
        <v/>
      </c>
      <c r="K13" s="94" t="str">
        <f aca="false">IF($B13="","",IF($I13="","∞ Vitalício",IF($J13&lt;0,"■ Vencido",IF($J13&lt;=Listas!$H$6,"▲ A vencer","● Ativo"))))</f>
        <v/>
      </c>
      <c r="L13" s="95"/>
      <c r="M13" s="95"/>
      <c r="N13" s="41" t="str">
        <f aca="false">IF($B13="","",IF(N($L13)=0,0,MIN(1,N($M13)/$L13)))</f>
        <v/>
      </c>
      <c r="O13" s="73"/>
      <c r="P13" s="73"/>
      <c r="Q13" s="73"/>
      <c r="R13" s="13"/>
      <c r="S13" s="13"/>
      <c r="T13" s="13"/>
      <c r="U13" s="11"/>
    </row>
    <row r="14" customFormat="false" ht="21.75" hidden="false" customHeight="true" outlineLevel="0" collapsed="false">
      <c r="A14" s="56" t="str">
        <f aca="false">IF($B14="","","PG-"&amp;TEXT(ROW()-9,"00"))</f>
        <v/>
      </c>
      <c r="B14" s="13"/>
      <c r="C14" s="13"/>
      <c r="D14" s="73"/>
      <c r="E14" s="50"/>
      <c r="F14" s="35"/>
      <c r="G14" s="50"/>
      <c r="H14" s="50"/>
      <c r="I14" s="50"/>
      <c r="J14" s="93" t="str">
        <f aca="true">IF(OR($B14="",$I14=""),"",$I14-TODAY())</f>
        <v/>
      </c>
      <c r="K14" s="94" t="str">
        <f aca="false">IF($B14="","",IF($I14="","∞ Vitalício",IF($J14&lt;0,"■ Vencido",IF($J14&lt;=Listas!$H$6,"▲ A vencer","● Ativo"))))</f>
        <v/>
      </c>
      <c r="L14" s="95"/>
      <c r="M14" s="95"/>
      <c r="N14" s="41" t="str">
        <f aca="false">IF($B14="","",IF(N($L14)=0,0,MIN(1,N($M14)/$L14)))</f>
        <v/>
      </c>
      <c r="O14" s="73"/>
      <c r="P14" s="73"/>
      <c r="Q14" s="73"/>
      <c r="R14" s="13"/>
      <c r="S14" s="13"/>
      <c r="T14" s="13"/>
      <c r="U14" s="11"/>
    </row>
    <row r="15" customFormat="false" ht="21.75" hidden="false" customHeight="true" outlineLevel="0" collapsed="false">
      <c r="A15" s="56" t="str">
        <f aca="false">IF($B15="","","PG-"&amp;TEXT(ROW()-9,"00"))</f>
        <v/>
      </c>
      <c r="B15" s="13"/>
      <c r="C15" s="13"/>
      <c r="D15" s="73"/>
      <c r="E15" s="50"/>
      <c r="F15" s="35"/>
      <c r="G15" s="50"/>
      <c r="H15" s="50"/>
      <c r="I15" s="50"/>
      <c r="J15" s="93" t="str">
        <f aca="true">IF(OR($B15="",$I15=""),"",$I15-TODAY())</f>
        <v/>
      </c>
      <c r="K15" s="94" t="str">
        <f aca="false">IF($B15="","",IF($I15="","∞ Vitalício",IF($J15&lt;0,"■ Vencido",IF($J15&lt;=Listas!$H$6,"▲ A vencer","● Ativo"))))</f>
        <v/>
      </c>
      <c r="L15" s="95"/>
      <c r="M15" s="95"/>
      <c r="N15" s="41" t="str">
        <f aca="false">IF($B15="","",IF(N($L15)=0,0,MIN(1,N($M15)/$L15)))</f>
        <v/>
      </c>
      <c r="O15" s="73"/>
      <c r="P15" s="73"/>
      <c r="Q15" s="73"/>
      <c r="R15" s="13"/>
      <c r="S15" s="13"/>
      <c r="T15" s="13"/>
      <c r="U15" s="11"/>
    </row>
    <row r="16" customFormat="false" ht="21.75" hidden="false" customHeight="true" outlineLevel="0" collapsed="false">
      <c r="A16" s="56" t="str">
        <f aca="false">IF($B16="","","PG-"&amp;TEXT(ROW()-9,"00"))</f>
        <v/>
      </c>
      <c r="B16" s="13"/>
      <c r="C16" s="13"/>
      <c r="D16" s="73"/>
      <c r="E16" s="50"/>
      <c r="F16" s="35"/>
      <c r="G16" s="50"/>
      <c r="H16" s="50"/>
      <c r="I16" s="50"/>
      <c r="J16" s="93" t="str">
        <f aca="true">IF(OR($B16="",$I16=""),"",$I16-TODAY())</f>
        <v/>
      </c>
      <c r="K16" s="94" t="str">
        <f aca="false">IF($B16="","",IF($I16="","∞ Vitalício",IF($J16&lt;0,"■ Vencido",IF($J16&lt;=Listas!$H$6,"▲ A vencer","● Ativo"))))</f>
        <v/>
      </c>
      <c r="L16" s="95"/>
      <c r="M16" s="95"/>
      <c r="N16" s="41" t="str">
        <f aca="false">IF($B16="","",IF(N($L16)=0,0,MIN(1,N($M16)/$L16)))</f>
        <v/>
      </c>
      <c r="O16" s="73"/>
      <c r="P16" s="73"/>
      <c r="Q16" s="73"/>
      <c r="R16" s="13"/>
      <c r="S16" s="13"/>
      <c r="T16" s="13"/>
      <c r="U16" s="11"/>
    </row>
    <row r="17" customFormat="false" ht="21.75" hidden="false" customHeight="true" outlineLevel="0" collapsed="false">
      <c r="A17" s="56" t="str">
        <f aca="false">IF($B17="","","PG-"&amp;TEXT(ROW()-9,"00"))</f>
        <v/>
      </c>
      <c r="B17" s="13"/>
      <c r="C17" s="13"/>
      <c r="D17" s="73"/>
      <c r="E17" s="50"/>
      <c r="F17" s="35"/>
      <c r="G17" s="50"/>
      <c r="H17" s="50"/>
      <c r="I17" s="50"/>
      <c r="J17" s="93" t="str">
        <f aca="true">IF(OR($B17="",$I17=""),"",$I17-TODAY())</f>
        <v/>
      </c>
      <c r="K17" s="94" t="str">
        <f aca="false">IF($B17="","",IF($I17="","∞ Vitalício",IF($J17&lt;0,"■ Vencido",IF($J17&lt;=Listas!$H$6,"▲ A vencer","● Ativo"))))</f>
        <v/>
      </c>
      <c r="L17" s="95"/>
      <c r="M17" s="95"/>
      <c r="N17" s="41" t="str">
        <f aca="false">IF($B17="","",IF(N($L17)=0,0,MIN(1,N($M17)/$L17)))</f>
        <v/>
      </c>
      <c r="O17" s="73"/>
      <c r="P17" s="73"/>
      <c r="Q17" s="73"/>
      <c r="R17" s="13"/>
      <c r="S17" s="13"/>
      <c r="T17" s="13"/>
      <c r="U17" s="11"/>
    </row>
    <row r="18" customFormat="false" ht="21.75" hidden="false" customHeight="true" outlineLevel="0" collapsed="false">
      <c r="A18" s="56" t="str">
        <f aca="false">IF($B18="","","PG-"&amp;TEXT(ROW()-9,"00"))</f>
        <v/>
      </c>
      <c r="B18" s="13"/>
      <c r="C18" s="13"/>
      <c r="D18" s="73"/>
      <c r="E18" s="50"/>
      <c r="F18" s="35"/>
      <c r="G18" s="50"/>
      <c r="H18" s="50"/>
      <c r="I18" s="50"/>
      <c r="J18" s="93" t="str">
        <f aca="true">IF(OR($B18="",$I18=""),"",$I18-TODAY())</f>
        <v/>
      </c>
      <c r="K18" s="94" t="str">
        <f aca="false">IF($B18="","",IF($I18="","∞ Vitalício",IF($J18&lt;0,"■ Vencido",IF($J18&lt;=Listas!$H$6,"▲ A vencer","● Ativo"))))</f>
        <v/>
      </c>
      <c r="L18" s="95"/>
      <c r="M18" s="95"/>
      <c r="N18" s="41" t="str">
        <f aca="false">IF($B18="","",IF(N($L18)=0,0,MIN(1,N($M18)/$L18)))</f>
        <v/>
      </c>
      <c r="O18" s="73"/>
      <c r="P18" s="73"/>
      <c r="Q18" s="73"/>
      <c r="R18" s="13"/>
      <c r="S18" s="13"/>
      <c r="T18" s="13"/>
      <c r="U18" s="11"/>
    </row>
    <row r="19" customFormat="false" ht="21.75" hidden="false" customHeight="true" outlineLevel="0" collapsed="false">
      <c r="A19" s="56" t="str">
        <f aca="false">IF($B19="","","PG-"&amp;TEXT(ROW()-9,"00"))</f>
        <v/>
      </c>
      <c r="B19" s="13"/>
      <c r="C19" s="13"/>
      <c r="D19" s="73"/>
      <c r="E19" s="50"/>
      <c r="F19" s="35"/>
      <c r="G19" s="50"/>
      <c r="H19" s="50"/>
      <c r="I19" s="50"/>
      <c r="J19" s="93" t="str">
        <f aca="true">IF(OR($B19="",$I19=""),"",$I19-TODAY())</f>
        <v/>
      </c>
      <c r="K19" s="94" t="str">
        <f aca="false">IF($B19="","",IF($I19="","∞ Vitalício",IF($J19&lt;0,"■ Vencido",IF($J19&lt;=Listas!$H$6,"▲ A vencer","● Ativo"))))</f>
        <v/>
      </c>
      <c r="L19" s="95"/>
      <c r="M19" s="95"/>
      <c r="N19" s="41" t="str">
        <f aca="false">IF($B19="","",IF(N($L19)=0,0,MIN(1,N($M19)/$L19)))</f>
        <v/>
      </c>
      <c r="O19" s="73"/>
      <c r="P19" s="73"/>
      <c r="Q19" s="73"/>
      <c r="R19" s="13"/>
      <c r="S19" s="13"/>
      <c r="T19" s="13"/>
      <c r="U19" s="11"/>
    </row>
    <row r="20" customFormat="false" ht="21.75" hidden="false" customHeight="true" outlineLevel="0" collapsed="false">
      <c r="A20" s="56" t="str">
        <f aca="false">IF($B20="","","PG-"&amp;TEXT(ROW()-9,"00"))</f>
        <v/>
      </c>
      <c r="B20" s="13"/>
      <c r="C20" s="13"/>
      <c r="D20" s="73"/>
      <c r="E20" s="50"/>
      <c r="F20" s="35"/>
      <c r="G20" s="50"/>
      <c r="H20" s="50"/>
      <c r="I20" s="50"/>
      <c r="J20" s="93" t="str">
        <f aca="true">IF(OR($B20="",$I20=""),"",$I20-TODAY())</f>
        <v/>
      </c>
      <c r="K20" s="94" t="str">
        <f aca="false">IF($B20="","",IF($I20="","∞ Vitalício",IF($J20&lt;0,"■ Vencido",IF($J20&lt;=Listas!$H$6,"▲ A vencer","● Ativo"))))</f>
        <v/>
      </c>
      <c r="L20" s="95"/>
      <c r="M20" s="95"/>
      <c r="N20" s="41" t="str">
        <f aca="false">IF($B20="","",IF(N($L20)=0,0,MIN(1,N($M20)/$L20)))</f>
        <v/>
      </c>
      <c r="O20" s="73"/>
      <c r="P20" s="73"/>
      <c r="Q20" s="73"/>
      <c r="R20" s="13"/>
      <c r="S20" s="13"/>
      <c r="T20" s="13"/>
      <c r="U20" s="11"/>
    </row>
    <row r="21" customFormat="false" ht="21.75" hidden="false" customHeight="true" outlineLevel="0" collapsed="false">
      <c r="A21" s="56" t="str">
        <f aca="false">IF($B21="","","PG-"&amp;TEXT(ROW()-9,"00"))</f>
        <v/>
      </c>
      <c r="B21" s="13"/>
      <c r="C21" s="13"/>
      <c r="D21" s="73"/>
      <c r="E21" s="50"/>
      <c r="F21" s="35"/>
      <c r="G21" s="50"/>
      <c r="H21" s="50"/>
      <c r="I21" s="50"/>
      <c r="J21" s="93" t="str">
        <f aca="true">IF(OR($B21="",$I21=""),"",$I21-TODAY())</f>
        <v/>
      </c>
      <c r="K21" s="94" t="str">
        <f aca="false">IF($B21="","",IF($I21="","∞ Vitalício",IF($J21&lt;0,"■ Vencido",IF($J21&lt;=Listas!$H$6,"▲ A vencer","● Ativo"))))</f>
        <v/>
      </c>
      <c r="L21" s="95"/>
      <c r="M21" s="95"/>
      <c r="N21" s="41" t="str">
        <f aca="false">IF($B21="","",IF(N($L21)=0,0,MIN(1,N($M21)/$L21)))</f>
        <v/>
      </c>
      <c r="O21" s="73"/>
      <c r="P21" s="73"/>
      <c r="Q21" s="73"/>
      <c r="R21" s="13"/>
      <c r="S21" s="13"/>
      <c r="T21" s="13"/>
      <c r="U21" s="11"/>
    </row>
    <row r="22" customFormat="false" ht="21.75" hidden="false" customHeight="true" outlineLevel="0" collapsed="false">
      <c r="A22" s="56" t="str">
        <f aca="false">IF($B22="","","PG-"&amp;TEXT(ROW()-9,"00"))</f>
        <v/>
      </c>
      <c r="B22" s="13"/>
      <c r="C22" s="13"/>
      <c r="D22" s="73"/>
      <c r="E22" s="50"/>
      <c r="F22" s="35"/>
      <c r="G22" s="50"/>
      <c r="H22" s="50"/>
      <c r="I22" s="50"/>
      <c r="J22" s="93" t="str">
        <f aca="true">IF(OR($B22="",$I22=""),"",$I22-TODAY())</f>
        <v/>
      </c>
      <c r="K22" s="94" t="str">
        <f aca="false">IF($B22="","",IF($I22="","∞ Vitalício",IF($J22&lt;0,"■ Vencido",IF($J22&lt;=Listas!$H$6,"▲ A vencer","● Ativo"))))</f>
        <v/>
      </c>
      <c r="L22" s="95"/>
      <c r="M22" s="95"/>
      <c r="N22" s="41" t="str">
        <f aca="false">IF($B22="","",IF(N($L22)=0,0,MIN(1,N($M22)/$L22)))</f>
        <v/>
      </c>
      <c r="O22" s="73"/>
      <c r="P22" s="73"/>
      <c r="Q22" s="73"/>
      <c r="R22" s="13"/>
      <c r="S22" s="13"/>
      <c r="T22" s="13"/>
      <c r="U22" s="11"/>
    </row>
    <row r="23" customFormat="false" ht="21.75" hidden="false" customHeight="true" outlineLevel="0" collapsed="false">
      <c r="A23" s="56" t="str">
        <f aca="false">IF($B23="","","PG-"&amp;TEXT(ROW()-9,"00"))</f>
        <v/>
      </c>
      <c r="B23" s="13"/>
      <c r="C23" s="13"/>
      <c r="D23" s="73"/>
      <c r="E23" s="50"/>
      <c r="F23" s="35"/>
      <c r="G23" s="50"/>
      <c r="H23" s="50"/>
      <c r="I23" s="50"/>
      <c r="J23" s="93" t="str">
        <f aca="true">IF(OR($B23="",$I23=""),"",$I23-TODAY())</f>
        <v/>
      </c>
      <c r="K23" s="94" t="str">
        <f aca="false">IF($B23="","",IF($I23="","∞ Vitalício",IF($J23&lt;0,"■ Vencido",IF($J23&lt;=Listas!$H$6,"▲ A vencer","● Ativo"))))</f>
        <v/>
      </c>
      <c r="L23" s="95"/>
      <c r="M23" s="95"/>
      <c r="N23" s="41" t="str">
        <f aca="false">IF($B23="","",IF(N($L23)=0,0,MIN(1,N($M23)/$L23)))</f>
        <v/>
      </c>
      <c r="O23" s="73"/>
      <c r="P23" s="73"/>
      <c r="Q23" s="73"/>
      <c r="R23" s="13"/>
      <c r="S23" s="13"/>
      <c r="T23" s="13"/>
      <c r="U23" s="11"/>
    </row>
    <row r="24" customFormat="false" ht="21.75" hidden="false" customHeight="true" outlineLevel="0" collapsed="false">
      <c r="A24" s="56" t="str">
        <f aca="false">IF($B24="","","PG-"&amp;TEXT(ROW()-9,"00"))</f>
        <v/>
      </c>
      <c r="B24" s="13"/>
      <c r="C24" s="13"/>
      <c r="D24" s="73"/>
      <c r="E24" s="50"/>
      <c r="F24" s="35"/>
      <c r="G24" s="50"/>
      <c r="H24" s="50"/>
      <c r="I24" s="50"/>
      <c r="J24" s="93" t="str">
        <f aca="true">IF(OR($B24="",$I24=""),"",$I24-TODAY())</f>
        <v/>
      </c>
      <c r="K24" s="94" t="str">
        <f aca="false">IF($B24="","",IF($I24="","∞ Vitalício",IF($J24&lt;0,"■ Vencido",IF($J24&lt;=Listas!$H$6,"▲ A vencer","● Ativo"))))</f>
        <v/>
      </c>
      <c r="L24" s="95"/>
      <c r="M24" s="95"/>
      <c r="N24" s="41" t="str">
        <f aca="false">IF($B24="","",IF(N($L24)=0,0,MIN(1,N($M24)/$L24)))</f>
        <v/>
      </c>
      <c r="O24" s="73"/>
      <c r="P24" s="73"/>
      <c r="Q24" s="73"/>
      <c r="R24" s="13"/>
      <c r="S24" s="13"/>
      <c r="T24" s="13"/>
      <c r="U24" s="11"/>
    </row>
    <row r="25" customFormat="false" ht="21.75" hidden="false" customHeight="true" outlineLevel="0" collapsed="false">
      <c r="A25" s="56" t="str">
        <f aca="false">IF($B25="","","PG-"&amp;TEXT(ROW()-9,"00"))</f>
        <v/>
      </c>
      <c r="B25" s="13"/>
      <c r="C25" s="13"/>
      <c r="D25" s="73"/>
      <c r="E25" s="50"/>
      <c r="F25" s="35"/>
      <c r="G25" s="50"/>
      <c r="H25" s="50"/>
      <c r="I25" s="50"/>
      <c r="J25" s="93" t="str">
        <f aca="true">IF(OR($B25="",$I25=""),"",$I25-TODAY())</f>
        <v/>
      </c>
      <c r="K25" s="94" t="str">
        <f aca="false">IF($B25="","",IF($I25="","∞ Vitalício",IF($J25&lt;0,"■ Vencido",IF($J25&lt;=Listas!$H$6,"▲ A vencer","● Ativo"))))</f>
        <v/>
      </c>
      <c r="L25" s="95"/>
      <c r="M25" s="95"/>
      <c r="N25" s="41" t="str">
        <f aca="false">IF($B25="","",IF(N($L25)=0,0,MIN(1,N($M25)/$L25)))</f>
        <v/>
      </c>
      <c r="O25" s="73"/>
      <c r="P25" s="73"/>
      <c r="Q25" s="73"/>
      <c r="R25" s="13"/>
      <c r="S25" s="13"/>
      <c r="T25" s="13"/>
      <c r="U25" s="11"/>
    </row>
    <row r="26" customFormat="false" ht="21.75" hidden="false" customHeight="true" outlineLevel="0" collapsed="false">
      <c r="A26" s="56" t="str">
        <f aca="false">IF($B26="","","PG-"&amp;TEXT(ROW()-9,"00"))</f>
        <v/>
      </c>
      <c r="B26" s="13"/>
      <c r="C26" s="13"/>
      <c r="D26" s="73"/>
      <c r="E26" s="50"/>
      <c r="F26" s="35"/>
      <c r="G26" s="50"/>
      <c r="H26" s="50"/>
      <c r="I26" s="50"/>
      <c r="J26" s="93" t="str">
        <f aca="true">IF(OR($B26="",$I26=""),"",$I26-TODAY())</f>
        <v/>
      </c>
      <c r="K26" s="94" t="str">
        <f aca="false">IF($B26="","",IF($I26="","∞ Vitalício",IF($J26&lt;0,"■ Vencido",IF($J26&lt;=Listas!$H$6,"▲ A vencer","● Ativo"))))</f>
        <v/>
      </c>
      <c r="L26" s="95"/>
      <c r="M26" s="95"/>
      <c r="N26" s="41" t="str">
        <f aca="false">IF($B26="","",IF(N($L26)=0,0,MIN(1,N($M26)/$L26)))</f>
        <v/>
      </c>
      <c r="O26" s="73"/>
      <c r="P26" s="73"/>
      <c r="Q26" s="73"/>
      <c r="R26" s="13"/>
      <c r="S26" s="13"/>
      <c r="T26" s="13"/>
      <c r="U26" s="11"/>
    </row>
    <row r="27" customFormat="false" ht="21.75" hidden="false" customHeight="true" outlineLevel="0" collapsed="false">
      <c r="A27" s="56" t="str">
        <f aca="false">IF($B27="","","PG-"&amp;TEXT(ROW()-9,"00"))</f>
        <v/>
      </c>
      <c r="B27" s="13"/>
      <c r="C27" s="13"/>
      <c r="D27" s="73"/>
      <c r="E27" s="50"/>
      <c r="F27" s="35"/>
      <c r="G27" s="50"/>
      <c r="H27" s="50"/>
      <c r="I27" s="50"/>
      <c r="J27" s="93" t="str">
        <f aca="true">IF(OR($B27="",$I27=""),"",$I27-TODAY())</f>
        <v/>
      </c>
      <c r="K27" s="94" t="str">
        <f aca="false">IF($B27="","",IF($I27="","∞ Vitalício",IF($J27&lt;0,"■ Vencido",IF($J27&lt;=Listas!$H$6,"▲ A vencer","● Ativo"))))</f>
        <v/>
      </c>
      <c r="L27" s="95"/>
      <c r="M27" s="95"/>
      <c r="N27" s="41" t="str">
        <f aca="false">IF($B27="","",IF(N($L27)=0,0,MIN(1,N($M27)/$L27)))</f>
        <v/>
      </c>
      <c r="O27" s="73"/>
      <c r="P27" s="73"/>
      <c r="Q27" s="73"/>
      <c r="R27" s="13"/>
      <c r="S27" s="13"/>
      <c r="T27" s="13"/>
      <c r="U27" s="11"/>
    </row>
    <row r="28" customFormat="false" ht="21.75" hidden="false" customHeight="true" outlineLevel="0" collapsed="false">
      <c r="A28" s="56" t="str">
        <f aca="false">IF($B28="","","PG-"&amp;TEXT(ROW()-9,"00"))</f>
        <v/>
      </c>
      <c r="B28" s="13"/>
      <c r="C28" s="13"/>
      <c r="D28" s="73"/>
      <c r="E28" s="50"/>
      <c r="F28" s="35"/>
      <c r="G28" s="50"/>
      <c r="H28" s="50"/>
      <c r="I28" s="50"/>
      <c r="J28" s="93" t="str">
        <f aca="true">IF(OR($B28="",$I28=""),"",$I28-TODAY())</f>
        <v/>
      </c>
      <c r="K28" s="94" t="str">
        <f aca="false">IF($B28="","",IF($I28="","∞ Vitalício",IF($J28&lt;0,"■ Vencido",IF($J28&lt;=Listas!$H$6,"▲ A vencer","● Ativo"))))</f>
        <v/>
      </c>
      <c r="L28" s="95"/>
      <c r="M28" s="95"/>
      <c r="N28" s="41" t="str">
        <f aca="false">IF($B28="","",IF(N($L28)=0,0,MIN(1,N($M28)/$L28)))</f>
        <v/>
      </c>
      <c r="O28" s="73"/>
      <c r="P28" s="73"/>
      <c r="Q28" s="73"/>
      <c r="R28" s="13"/>
      <c r="S28" s="13"/>
      <c r="T28" s="13"/>
      <c r="U28" s="11"/>
    </row>
    <row r="29" customFormat="false" ht="21.75" hidden="false" customHeight="true" outlineLevel="0" collapsed="false">
      <c r="A29" s="56" t="str">
        <f aca="false">IF($B29="","","PG-"&amp;TEXT(ROW()-9,"00"))</f>
        <v/>
      </c>
      <c r="B29" s="13"/>
      <c r="C29" s="13"/>
      <c r="D29" s="73"/>
      <c r="E29" s="50"/>
      <c r="F29" s="35"/>
      <c r="G29" s="50"/>
      <c r="H29" s="50"/>
      <c r="I29" s="50"/>
      <c r="J29" s="93" t="str">
        <f aca="true">IF(OR($B29="",$I29=""),"",$I29-TODAY())</f>
        <v/>
      </c>
      <c r="K29" s="94" t="str">
        <f aca="false">IF($B29="","",IF($I29="","∞ Vitalício",IF($J29&lt;0,"■ Vencido",IF($J29&lt;=Listas!$H$6,"▲ A vencer","● Ativo"))))</f>
        <v/>
      </c>
      <c r="L29" s="95"/>
      <c r="M29" s="95"/>
      <c r="N29" s="41" t="str">
        <f aca="false">IF($B29="","",IF(N($L29)=0,0,MIN(1,N($M29)/$L29)))</f>
        <v/>
      </c>
      <c r="O29" s="73"/>
      <c r="P29" s="73"/>
      <c r="Q29" s="73"/>
      <c r="R29" s="13"/>
      <c r="S29" s="13"/>
      <c r="T29" s="13"/>
      <c r="U29" s="11"/>
    </row>
    <row r="30" customFormat="false" ht="21.75" hidden="false" customHeight="true" outlineLevel="0" collapsed="false">
      <c r="A30" s="56" t="str">
        <f aca="false">IF($B30="","","PG-"&amp;TEXT(ROW()-9,"00"))</f>
        <v/>
      </c>
      <c r="B30" s="13"/>
      <c r="C30" s="13"/>
      <c r="D30" s="73"/>
      <c r="E30" s="50"/>
      <c r="F30" s="35"/>
      <c r="G30" s="50"/>
      <c r="H30" s="50"/>
      <c r="I30" s="50"/>
      <c r="J30" s="93" t="str">
        <f aca="true">IF(OR($B30="",$I30=""),"",$I30-TODAY())</f>
        <v/>
      </c>
      <c r="K30" s="94" t="str">
        <f aca="false">IF($B30="","",IF($I30="","∞ Vitalício",IF($J30&lt;0,"■ Vencido",IF($J30&lt;=Listas!$H$6,"▲ A vencer","● Ativo"))))</f>
        <v/>
      </c>
      <c r="L30" s="95"/>
      <c r="M30" s="95"/>
      <c r="N30" s="41" t="str">
        <f aca="false">IF($B30="","",IF(N($L30)=0,0,MIN(1,N($M30)/$L30)))</f>
        <v/>
      </c>
      <c r="O30" s="73"/>
      <c r="P30" s="73"/>
      <c r="Q30" s="73"/>
      <c r="R30" s="13"/>
      <c r="S30" s="13"/>
      <c r="T30" s="13"/>
      <c r="U30" s="11"/>
    </row>
    <row r="31" customFormat="false" ht="21.75" hidden="false" customHeight="true" outlineLevel="0" collapsed="false">
      <c r="A31" s="56" t="str">
        <f aca="false">IF($B31="","","PG-"&amp;TEXT(ROW()-9,"00"))</f>
        <v/>
      </c>
      <c r="B31" s="13"/>
      <c r="C31" s="13"/>
      <c r="D31" s="73"/>
      <c r="E31" s="50"/>
      <c r="F31" s="35"/>
      <c r="G31" s="50"/>
      <c r="H31" s="50"/>
      <c r="I31" s="50"/>
      <c r="J31" s="93" t="str">
        <f aca="true">IF(OR($B31="",$I31=""),"",$I31-TODAY())</f>
        <v/>
      </c>
      <c r="K31" s="94" t="str">
        <f aca="false">IF($B31="","",IF($I31="","∞ Vitalício",IF($J31&lt;0,"■ Vencido",IF($J31&lt;=Listas!$H$6,"▲ A vencer","● Ativo"))))</f>
        <v/>
      </c>
      <c r="L31" s="95"/>
      <c r="M31" s="95"/>
      <c r="N31" s="41" t="str">
        <f aca="false">IF($B31="","",IF(N($L31)=0,0,MIN(1,N($M31)/$L31)))</f>
        <v/>
      </c>
      <c r="O31" s="73"/>
      <c r="P31" s="73"/>
      <c r="Q31" s="73"/>
      <c r="R31" s="13"/>
      <c r="S31" s="13"/>
      <c r="T31" s="13"/>
      <c r="U31" s="11"/>
    </row>
    <row r="32" customFormat="false" ht="21.75" hidden="false" customHeight="true" outlineLevel="0" collapsed="false">
      <c r="A32" s="56" t="str">
        <f aca="false">IF($B32="","","PG-"&amp;TEXT(ROW()-9,"00"))</f>
        <v/>
      </c>
      <c r="B32" s="13"/>
      <c r="C32" s="13"/>
      <c r="D32" s="73"/>
      <c r="E32" s="50"/>
      <c r="F32" s="35"/>
      <c r="G32" s="50"/>
      <c r="H32" s="50"/>
      <c r="I32" s="50"/>
      <c r="J32" s="93" t="str">
        <f aca="true">IF(OR($B32="",$I32=""),"",$I32-TODAY())</f>
        <v/>
      </c>
      <c r="K32" s="94" t="str">
        <f aca="false">IF($B32="","",IF($I32="","∞ Vitalício",IF($J32&lt;0,"■ Vencido",IF($J32&lt;=Listas!$H$6,"▲ A vencer","● Ativo"))))</f>
        <v/>
      </c>
      <c r="L32" s="95"/>
      <c r="M32" s="95"/>
      <c r="N32" s="41" t="str">
        <f aca="false">IF($B32="","",IF(N($L32)=0,0,MIN(1,N($M32)/$L32)))</f>
        <v/>
      </c>
      <c r="O32" s="73"/>
      <c r="P32" s="73"/>
      <c r="Q32" s="73"/>
      <c r="R32" s="13"/>
      <c r="S32" s="13"/>
      <c r="T32" s="13"/>
      <c r="U32" s="11"/>
    </row>
    <row r="33" customFormat="false" ht="21.75" hidden="false" customHeight="true" outlineLevel="0" collapsed="false">
      <c r="A33" s="56" t="str">
        <f aca="false">IF($B33="","","PG-"&amp;TEXT(ROW()-9,"00"))</f>
        <v/>
      </c>
      <c r="B33" s="13"/>
      <c r="C33" s="13"/>
      <c r="D33" s="73"/>
      <c r="E33" s="50"/>
      <c r="F33" s="35"/>
      <c r="G33" s="50"/>
      <c r="H33" s="50"/>
      <c r="I33" s="50"/>
      <c r="J33" s="93" t="str">
        <f aca="true">IF(OR($B33="",$I33=""),"",$I33-TODAY())</f>
        <v/>
      </c>
      <c r="K33" s="94" t="str">
        <f aca="false">IF($B33="","",IF($I33="","∞ Vitalício",IF($J33&lt;0,"■ Vencido",IF($J33&lt;=Listas!$H$6,"▲ A vencer","● Ativo"))))</f>
        <v/>
      </c>
      <c r="L33" s="95"/>
      <c r="M33" s="95"/>
      <c r="N33" s="41" t="str">
        <f aca="false">IF($B33="","",IF(N($L33)=0,0,MIN(1,N($M33)/$L33)))</f>
        <v/>
      </c>
      <c r="O33" s="73"/>
      <c r="P33" s="73"/>
      <c r="Q33" s="73"/>
      <c r="R33" s="13"/>
      <c r="S33" s="13"/>
      <c r="T33" s="13"/>
      <c r="U33" s="11"/>
    </row>
    <row r="34" customFormat="false" ht="21.75" hidden="false" customHeight="true" outlineLevel="0" collapsed="false">
      <c r="A34" s="56" t="str">
        <f aca="false">IF($B34="","","PG-"&amp;TEXT(ROW()-9,"00"))</f>
        <v/>
      </c>
      <c r="B34" s="13"/>
      <c r="C34" s="13"/>
      <c r="D34" s="73"/>
      <c r="E34" s="50"/>
      <c r="F34" s="35"/>
      <c r="G34" s="50"/>
      <c r="H34" s="50"/>
      <c r="I34" s="50"/>
      <c r="J34" s="93" t="str">
        <f aca="true">IF(OR($B34="",$I34=""),"",$I34-TODAY())</f>
        <v/>
      </c>
      <c r="K34" s="94" t="str">
        <f aca="false">IF($B34="","",IF($I34="","∞ Vitalício",IF($J34&lt;0,"■ Vencido",IF($J34&lt;=Listas!$H$6,"▲ A vencer","● Ativo"))))</f>
        <v/>
      </c>
      <c r="L34" s="95"/>
      <c r="M34" s="95"/>
      <c r="N34" s="41" t="str">
        <f aca="false">IF($B34="","",IF(N($L34)=0,0,MIN(1,N($M34)/$L34)))</f>
        <v/>
      </c>
      <c r="O34" s="73"/>
      <c r="P34" s="73"/>
      <c r="Q34" s="73"/>
      <c r="R34" s="13"/>
      <c r="S34" s="13"/>
      <c r="T34" s="13"/>
      <c r="U34" s="11"/>
    </row>
    <row r="35" customFormat="false" ht="21.75" hidden="false" customHeight="true" outlineLevel="0" collapsed="false">
      <c r="A35" s="56" t="str">
        <f aca="false">IF($B35="","","PG-"&amp;TEXT(ROW()-9,"00"))</f>
        <v/>
      </c>
      <c r="B35" s="13"/>
      <c r="C35" s="13"/>
      <c r="D35" s="73"/>
      <c r="E35" s="50"/>
      <c r="F35" s="35"/>
      <c r="G35" s="50"/>
      <c r="H35" s="50"/>
      <c r="I35" s="50"/>
      <c r="J35" s="93" t="str">
        <f aca="true">IF(OR($B35="",$I35=""),"",$I35-TODAY())</f>
        <v/>
      </c>
      <c r="K35" s="94" t="str">
        <f aca="false">IF($B35="","",IF($I35="","∞ Vitalício",IF($J35&lt;0,"■ Vencido",IF($J35&lt;=Listas!$H$6,"▲ A vencer","● Ativo"))))</f>
        <v/>
      </c>
      <c r="L35" s="95"/>
      <c r="M35" s="95"/>
      <c r="N35" s="41" t="str">
        <f aca="false">IF($B35="","",IF(N($L35)=0,0,MIN(1,N($M35)/$L35)))</f>
        <v/>
      </c>
      <c r="O35" s="73"/>
      <c r="P35" s="73"/>
      <c r="Q35" s="73"/>
      <c r="R35" s="13"/>
      <c r="S35" s="13"/>
      <c r="T35" s="13"/>
      <c r="U35" s="11"/>
    </row>
    <row r="36" customFormat="false" ht="21.75" hidden="false" customHeight="true" outlineLevel="0" collapsed="false">
      <c r="A36" s="56" t="str">
        <f aca="false">IF($B36="","","PG-"&amp;TEXT(ROW()-9,"00"))</f>
        <v/>
      </c>
      <c r="B36" s="13"/>
      <c r="C36" s="13"/>
      <c r="D36" s="73"/>
      <c r="E36" s="50"/>
      <c r="F36" s="35"/>
      <c r="G36" s="50"/>
      <c r="H36" s="50"/>
      <c r="I36" s="50"/>
      <c r="J36" s="93" t="str">
        <f aca="true">IF(OR($B36="",$I36=""),"",$I36-TODAY())</f>
        <v/>
      </c>
      <c r="K36" s="94" t="str">
        <f aca="false">IF($B36="","",IF($I36="","∞ Vitalício",IF($J36&lt;0,"■ Vencido",IF($J36&lt;=Listas!$H$6,"▲ A vencer","● Ativo"))))</f>
        <v/>
      </c>
      <c r="L36" s="95"/>
      <c r="M36" s="95"/>
      <c r="N36" s="41" t="str">
        <f aca="false">IF($B36="","",IF(N($L36)=0,0,MIN(1,N($M36)/$L36)))</f>
        <v/>
      </c>
      <c r="O36" s="73"/>
      <c r="P36" s="73"/>
      <c r="Q36" s="73"/>
      <c r="R36" s="13"/>
      <c r="S36" s="13"/>
      <c r="T36" s="13"/>
      <c r="U36" s="11"/>
    </row>
    <row r="37" customFormat="false" ht="21.75" hidden="false" customHeight="true" outlineLevel="0" collapsed="false">
      <c r="A37" s="56" t="str">
        <f aca="false">IF($B37="","","PG-"&amp;TEXT(ROW()-9,"00"))</f>
        <v/>
      </c>
      <c r="B37" s="13"/>
      <c r="C37" s="13"/>
      <c r="D37" s="73"/>
      <c r="E37" s="50"/>
      <c r="F37" s="35"/>
      <c r="G37" s="50"/>
      <c r="H37" s="50"/>
      <c r="I37" s="50"/>
      <c r="J37" s="93" t="str">
        <f aca="true">IF(OR($B37="",$I37=""),"",$I37-TODAY())</f>
        <v/>
      </c>
      <c r="K37" s="94" t="str">
        <f aca="false">IF($B37="","",IF($I37="","∞ Vitalício",IF($J37&lt;0,"■ Vencido",IF($J37&lt;=Listas!$H$6,"▲ A vencer","● Ativo"))))</f>
        <v/>
      </c>
      <c r="L37" s="95"/>
      <c r="M37" s="95"/>
      <c r="N37" s="41" t="str">
        <f aca="false">IF($B37="","",IF(N($L37)=0,0,MIN(1,N($M37)/$L37)))</f>
        <v/>
      </c>
      <c r="O37" s="73"/>
      <c r="P37" s="73"/>
      <c r="Q37" s="73"/>
      <c r="R37" s="13"/>
      <c r="S37" s="13"/>
      <c r="T37" s="13"/>
      <c r="U37" s="11"/>
    </row>
    <row r="38" customFormat="false" ht="21.75" hidden="false" customHeight="true" outlineLevel="0" collapsed="false">
      <c r="A38" s="56" t="str">
        <f aca="false">IF($B38="","","PG-"&amp;TEXT(ROW()-9,"00"))</f>
        <v/>
      </c>
      <c r="B38" s="13"/>
      <c r="C38" s="13"/>
      <c r="D38" s="73"/>
      <c r="E38" s="50"/>
      <c r="F38" s="35"/>
      <c r="G38" s="50"/>
      <c r="H38" s="50"/>
      <c r="I38" s="50"/>
      <c r="J38" s="93" t="str">
        <f aca="true">IF(OR($B38="",$I38=""),"",$I38-TODAY())</f>
        <v/>
      </c>
      <c r="K38" s="94" t="str">
        <f aca="false">IF($B38="","",IF($I38="","∞ Vitalício",IF($J38&lt;0,"■ Vencido",IF($J38&lt;=Listas!$H$6,"▲ A vencer","● Ativo"))))</f>
        <v/>
      </c>
      <c r="L38" s="95"/>
      <c r="M38" s="95"/>
      <c r="N38" s="41" t="str">
        <f aca="false">IF($B38="","",IF(N($L38)=0,0,MIN(1,N($M38)/$L38)))</f>
        <v/>
      </c>
      <c r="O38" s="73"/>
      <c r="P38" s="73"/>
      <c r="Q38" s="73"/>
      <c r="R38" s="13"/>
      <c r="S38" s="13"/>
      <c r="T38" s="13"/>
      <c r="U38" s="11"/>
    </row>
    <row r="39" customFormat="false" ht="21.75" hidden="false" customHeight="true" outlineLevel="0" collapsed="false">
      <c r="A39" s="56" t="str">
        <f aca="false">IF($B39="","","PG-"&amp;TEXT(ROW()-9,"00"))</f>
        <v/>
      </c>
      <c r="B39" s="13"/>
      <c r="C39" s="13"/>
      <c r="D39" s="73"/>
      <c r="E39" s="50"/>
      <c r="F39" s="35"/>
      <c r="G39" s="50"/>
      <c r="H39" s="50"/>
      <c r="I39" s="50"/>
      <c r="J39" s="93" t="str">
        <f aca="true">IF(OR($B39="",$I39=""),"",$I39-TODAY())</f>
        <v/>
      </c>
      <c r="K39" s="94" t="str">
        <f aca="false">IF($B39="","",IF($I39="","∞ Vitalício",IF($J39&lt;0,"■ Vencido",IF($J39&lt;=Listas!$H$6,"▲ A vencer","● Ativo"))))</f>
        <v/>
      </c>
      <c r="L39" s="95"/>
      <c r="M39" s="95"/>
      <c r="N39" s="41" t="str">
        <f aca="false">IF($B39="","",IF(N($L39)=0,0,MIN(1,N($M39)/$L39)))</f>
        <v/>
      </c>
      <c r="O39" s="73"/>
      <c r="P39" s="73"/>
      <c r="Q39" s="73"/>
      <c r="R39" s="13"/>
      <c r="S39" s="13"/>
      <c r="T39" s="13"/>
      <c r="U39" s="11"/>
    </row>
    <row r="40" customFormat="false" ht="21.75" hidden="false" customHeight="true" outlineLevel="0" collapsed="false">
      <c r="A40" s="56" t="str">
        <f aca="false">IF($B40="","","PG-"&amp;TEXT(ROW()-9,"00"))</f>
        <v/>
      </c>
      <c r="B40" s="13"/>
      <c r="C40" s="13"/>
      <c r="D40" s="73"/>
      <c r="E40" s="50"/>
      <c r="F40" s="35"/>
      <c r="G40" s="50"/>
      <c r="H40" s="50"/>
      <c r="I40" s="50"/>
      <c r="J40" s="93" t="str">
        <f aca="true">IF(OR($B40="",$I40=""),"",$I40-TODAY())</f>
        <v/>
      </c>
      <c r="K40" s="94" t="str">
        <f aca="false">IF($B40="","",IF($I40="","∞ Vitalício",IF($J40&lt;0,"■ Vencido",IF($J40&lt;=Listas!$H$6,"▲ A vencer","● Ativo"))))</f>
        <v/>
      </c>
      <c r="L40" s="95"/>
      <c r="M40" s="95"/>
      <c r="N40" s="41" t="str">
        <f aca="false">IF($B40="","",IF(N($L40)=0,0,MIN(1,N($M40)/$L40)))</f>
        <v/>
      </c>
      <c r="O40" s="73"/>
      <c r="P40" s="73"/>
      <c r="Q40" s="73"/>
      <c r="R40" s="13"/>
      <c r="S40" s="13"/>
      <c r="T40" s="13"/>
      <c r="U40" s="11"/>
    </row>
    <row r="41" customFormat="false" ht="21.75" hidden="false" customHeight="true" outlineLevel="0" collapsed="false">
      <c r="A41" s="56" t="str">
        <f aca="false">IF($B41="","","PG-"&amp;TEXT(ROW()-9,"00"))</f>
        <v/>
      </c>
      <c r="B41" s="13"/>
      <c r="C41" s="13"/>
      <c r="D41" s="73"/>
      <c r="E41" s="50"/>
      <c r="F41" s="35"/>
      <c r="G41" s="50"/>
      <c r="H41" s="50"/>
      <c r="I41" s="50"/>
      <c r="J41" s="93" t="str">
        <f aca="true">IF(OR($B41="",$I41=""),"",$I41-TODAY())</f>
        <v/>
      </c>
      <c r="K41" s="94" t="str">
        <f aca="false">IF($B41="","",IF($I41="","∞ Vitalício",IF($J41&lt;0,"■ Vencido",IF($J41&lt;=Listas!$H$6,"▲ A vencer","● Ativo"))))</f>
        <v/>
      </c>
      <c r="L41" s="95"/>
      <c r="M41" s="95"/>
      <c r="N41" s="41" t="str">
        <f aca="false">IF($B41="","",IF(N($L41)=0,0,MIN(1,N($M41)/$L41)))</f>
        <v/>
      </c>
      <c r="O41" s="73"/>
      <c r="P41" s="73"/>
      <c r="Q41" s="73"/>
      <c r="R41" s="13"/>
      <c r="S41" s="13"/>
      <c r="T41" s="13"/>
      <c r="U41" s="11"/>
    </row>
    <row r="42" customFormat="false" ht="21.75" hidden="false" customHeight="true" outlineLevel="0" collapsed="false">
      <c r="A42" s="56" t="str">
        <f aca="false">IF($B42="","","PG-"&amp;TEXT(ROW()-9,"00"))</f>
        <v/>
      </c>
      <c r="B42" s="13"/>
      <c r="C42" s="13"/>
      <c r="D42" s="73"/>
      <c r="E42" s="50"/>
      <c r="F42" s="35"/>
      <c r="G42" s="50"/>
      <c r="H42" s="50"/>
      <c r="I42" s="50"/>
      <c r="J42" s="93" t="str">
        <f aca="true">IF(OR($B42="",$I42=""),"",$I42-TODAY())</f>
        <v/>
      </c>
      <c r="K42" s="94" t="str">
        <f aca="false">IF($B42="","",IF($I42="","∞ Vitalício",IF($J42&lt;0,"■ Vencido",IF($J42&lt;=Listas!$H$6,"▲ A vencer","● Ativo"))))</f>
        <v/>
      </c>
      <c r="L42" s="95"/>
      <c r="M42" s="95"/>
      <c r="N42" s="41" t="str">
        <f aca="false">IF($B42="","",IF(N($L42)=0,0,MIN(1,N($M42)/$L42)))</f>
        <v/>
      </c>
      <c r="O42" s="73"/>
      <c r="P42" s="73"/>
      <c r="Q42" s="73"/>
      <c r="R42" s="13"/>
      <c r="S42" s="13"/>
      <c r="T42" s="13"/>
      <c r="U42" s="11"/>
    </row>
    <row r="43" customFormat="false" ht="21.75" hidden="false" customHeight="true" outlineLevel="0" collapsed="false">
      <c r="A43" s="56" t="str">
        <f aca="false">IF($B43="","","PG-"&amp;TEXT(ROW()-9,"00"))</f>
        <v/>
      </c>
      <c r="B43" s="13"/>
      <c r="C43" s="13"/>
      <c r="D43" s="73"/>
      <c r="E43" s="50"/>
      <c r="F43" s="35"/>
      <c r="G43" s="50"/>
      <c r="H43" s="50"/>
      <c r="I43" s="50"/>
      <c r="J43" s="93" t="str">
        <f aca="true">IF(OR($B43="",$I43=""),"",$I43-TODAY())</f>
        <v/>
      </c>
      <c r="K43" s="94" t="str">
        <f aca="false">IF($B43="","",IF($I43="","∞ Vitalício",IF($J43&lt;0,"■ Vencido",IF($J43&lt;=Listas!$H$6,"▲ A vencer","● Ativo"))))</f>
        <v/>
      </c>
      <c r="L43" s="95"/>
      <c r="M43" s="95"/>
      <c r="N43" s="41" t="str">
        <f aca="false">IF($B43="","",IF(N($L43)=0,0,MIN(1,N($M43)/$L43)))</f>
        <v/>
      </c>
      <c r="O43" s="73"/>
      <c r="P43" s="73"/>
      <c r="Q43" s="73"/>
      <c r="R43" s="13"/>
      <c r="S43" s="13"/>
      <c r="T43" s="13"/>
      <c r="U43" s="11"/>
    </row>
    <row r="44" customFormat="false" ht="21.75" hidden="false" customHeight="true" outlineLevel="0" collapsed="false">
      <c r="A44" s="56" t="str">
        <f aca="false">IF($B44="","","PG-"&amp;TEXT(ROW()-9,"00"))</f>
        <v/>
      </c>
      <c r="B44" s="13"/>
      <c r="C44" s="13"/>
      <c r="D44" s="73"/>
      <c r="E44" s="50"/>
      <c r="F44" s="35"/>
      <c r="G44" s="50"/>
      <c r="H44" s="50"/>
      <c r="I44" s="50"/>
      <c r="J44" s="93" t="str">
        <f aca="true">IF(OR($B44="",$I44=""),"",$I44-TODAY())</f>
        <v/>
      </c>
      <c r="K44" s="94" t="str">
        <f aca="false">IF($B44="","",IF($I44="","∞ Vitalício",IF($J44&lt;0,"■ Vencido",IF($J44&lt;=Listas!$H$6,"▲ A vencer","● Ativo"))))</f>
        <v/>
      </c>
      <c r="L44" s="95"/>
      <c r="M44" s="95"/>
      <c r="N44" s="41" t="str">
        <f aca="false">IF($B44="","",IF(N($L44)=0,0,MIN(1,N($M44)/$L44)))</f>
        <v/>
      </c>
      <c r="O44" s="73"/>
      <c r="P44" s="73"/>
      <c r="Q44" s="73"/>
      <c r="R44" s="13"/>
      <c r="S44" s="13"/>
      <c r="T44" s="13"/>
      <c r="U44" s="11"/>
    </row>
    <row r="45" customFormat="false" ht="21.75" hidden="false" customHeight="true" outlineLevel="0" collapsed="false">
      <c r="A45" s="56" t="str">
        <f aca="false">IF($B45="","","PG-"&amp;TEXT(ROW()-9,"00"))</f>
        <v/>
      </c>
      <c r="B45" s="13"/>
      <c r="C45" s="13"/>
      <c r="D45" s="73"/>
      <c r="E45" s="50"/>
      <c r="F45" s="35"/>
      <c r="G45" s="50"/>
      <c r="H45" s="50"/>
      <c r="I45" s="50"/>
      <c r="J45" s="93" t="str">
        <f aca="true">IF(OR($B45="",$I45=""),"",$I45-TODAY())</f>
        <v/>
      </c>
      <c r="K45" s="94" t="str">
        <f aca="false">IF($B45="","",IF($I45="","∞ Vitalício",IF($J45&lt;0,"■ Vencido",IF($J45&lt;=Listas!$H$6,"▲ A vencer","● Ativo"))))</f>
        <v/>
      </c>
      <c r="L45" s="95"/>
      <c r="M45" s="95"/>
      <c r="N45" s="41" t="str">
        <f aca="false">IF($B45="","",IF(N($L45)=0,0,MIN(1,N($M45)/$L45)))</f>
        <v/>
      </c>
      <c r="O45" s="73"/>
      <c r="P45" s="73"/>
      <c r="Q45" s="73"/>
      <c r="R45" s="13"/>
      <c r="S45" s="13"/>
      <c r="T45" s="13"/>
      <c r="U45" s="11"/>
    </row>
    <row r="46" customFormat="false" ht="21.75" hidden="false" customHeight="true" outlineLevel="0" collapsed="false">
      <c r="A46" s="56" t="str">
        <f aca="false">IF($B46="","","PG-"&amp;TEXT(ROW()-9,"00"))</f>
        <v/>
      </c>
      <c r="B46" s="13"/>
      <c r="C46" s="13"/>
      <c r="D46" s="73"/>
      <c r="E46" s="50"/>
      <c r="F46" s="35"/>
      <c r="G46" s="50"/>
      <c r="H46" s="50"/>
      <c r="I46" s="50"/>
      <c r="J46" s="93" t="str">
        <f aca="true">IF(OR($B46="",$I46=""),"",$I46-TODAY())</f>
        <v/>
      </c>
      <c r="K46" s="94" t="str">
        <f aca="false">IF($B46="","",IF($I46="","∞ Vitalício",IF($J46&lt;0,"■ Vencido",IF($J46&lt;=Listas!$H$6,"▲ A vencer","● Ativo"))))</f>
        <v/>
      </c>
      <c r="L46" s="95"/>
      <c r="M46" s="95"/>
      <c r="N46" s="41" t="str">
        <f aca="false">IF($B46="","",IF(N($L46)=0,0,MIN(1,N($M46)/$L46)))</f>
        <v/>
      </c>
      <c r="O46" s="73"/>
      <c r="P46" s="73"/>
      <c r="Q46" s="73"/>
      <c r="R46" s="13"/>
      <c r="S46" s="13"/>
      <c r="T46" s="13"/>
      <c r="U46" s="11"/>
    </row>
    <row r="47" customFormat="false" ht="21.75" hidden="false" customHeight="true" outlineLevel="0" collapsed="false">
      <c r="A47" s="56" t="str">
        <f aca="false">IF($B47="","","PG-"&amp;TEXT(ROW()-9,"00"))</f>
        <v/>
      </c>
      <c r="B47" s="13"/>
      <c r="C47" s="13"/>
      <c r="D47" s="73"/>
      <c r="E47" s="50"/>
      <c r="F47" s="35"/>
      <c r="G47" s="50"/>
      <c r="H47" s="50"/>
      <c r="I47" s="50"/>
      <c r="J47" s="93" t="str">
        <f aca="true">IF(OR($B47="",$I47=""),"",$I47-TODAY())</f>
        <v/>
      </c>
      <c r="K47" s="94" t="str">
        <f aca="false">IF($B47="","",IF($I47="","∞ Vitalício",IF($J47&lt;0,"■ Vencido",IF($J47&lt;=Listas!$H$6,"▲ A vencer","● Ativo"))))</f>
        <v/>
      </c>
      <c r="L47" s="95"/>
      <c r="M47" s="95"/>
      <c r="N47" s="41" t="str">
        <f aca="false">IF($B47="","",IF(N($L47)=0,0,MIN(1,N($M47)/$L47)))</f>
        <v/>
      </c>
      <c r="O47" s="73"/>
      <c r="P47" s="73"/>
      <c r="Q47" s="73"/>
      <c r="R47" s="13"/>
      <c r="S47" s="13"/>
      <c r="T47" s="13"/>
      <c r="U47" s="11"/>
    </row>
    <row r="48" customFormat="false" ht="21.75" hidden="false" customHeight="true" outlineLevel="0" collapsed="false">
      <c r="A48" s="56" t="str">
        <f aca="false">IF($B48="","","PG-"&amp;TEXT(ROW()-9,"00"))</f>
        <v/>
      </c>
      <c r="B48" s="13"/>
      <c r="C48" s="13"/>
      <c r="D48" s="73"/>
      <c r="E48" s="50"/>
      <c r="F48" s="35"/>
      <c r="G48" s="50"/>
      <c r="H48" s="50"/>
      <c r="I48" s="50"/>
      <c r="J48" s="93" t="str">
        <f aca="true">IF(OR($B48="",$I48=""),"",$I48-TODAY())</f>
        <v/>
      </c>
      <c r="K48" s="94" t="str">
        <f aca="false">IF($B48="","",IF($I48="","∞ Vitalício",IF($J48&lt;0,"■ Vencido",IF($J48&lt;=Listas!$H$6,"▲ A vencer","● Ativo"))))</f>
        <v/>
      </c>
      <c r="L48" s="95"/>
      <c r="M48" s="95"/>
      <c r="N48" s="41" t="str">
        <f aca="false">IF($B48="","",IF(N($L48)=0,0,MIN(1,N($M48)/$L48)))</f>
        <v/>
      </c>
      <c r="O48" s="73"/>
      <c r="P48" s="73"/>
      <c r="Q48" s="73"/>
      <c r="R48" s="13"/>
      <c r="S48" s="13"/>
      <c r="T48" s="13"/>
      <c r="U48" s="11"/>
    </row>
    <row r="49" customFormat="false" ht="21.75" hidden="false" customHeight="true" outlineLevel="0" collapsed="false">
      <c r="A49" s="56" t="str">
        <f aca="false">IF($B49="","","PG-"&amp;TEXT(ROW()-9,"00"))</f>
        <v/>
      </c>
      <c r="B49" s="13"/>
      <c r="C49" s="13"/>
      <c r="D49" s="73"/>
      <c r="E49" s="50"/>
      <c r="F49" s="35"/>
      <c r="G49" s="50"/>
      <c r="H49" s="50"/>
      <c r="I49" s="50"/>
      <c r="J49" s="93" t="str">
        <f aca="true">IF(OR($B49="",$I49=""),"",$I49-TODAY())</f>
        <v/>
      </c>
      <c r="K49" s="94" t="str">
        <f aca="false">IF($B49="","",IF($I49="","∞ Vitalício",IF($J49&lt;0,"■ Vencido",IF($J49&lt;=Listas!$H$6,"▲ A vencer","● Ativo"))))</f>
        <v/>
      </c>
      <c r="L49" s="95"/>
      <c r="M49" s="95"/>
      <c r="N49" s="41" t="str">
        <f aca="false">IF($B49="","",IF(N($L49)=0,0,MIN(1,N($M49)/$L49)))</f>
        <v/>
      </c>
      <c r="O49" s="73"/>
      <c r="P49" s="73"/>
      <c r="Q49" s="73"/>
      <c r="R49" s="13"/>
      <c r="S49" s="13"/>
      <c r="T49" s="13"/>
      <c r="U49" s="11"/>
    </row>
  </sheetData>
  <autoFilter ref="A9:U49"/>
  <mergeCells count="22">
    <mergeCell ref="A1:U1"/>
    <mergeCell ref="A2:R2"/>
    <mergeCell ref="S2:U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O10:O49">
    <cfRule type="cellIs" priority="2" operator="equal" aboveAverage="0" equalAverage="0" bottom="0" percent="0" rank="0" text="" dxfId="6">
      <formula>"Concluído"</formula>
    </cfRule>
    <cfRule type="cellIs" priority="3" operator="equal" aboveAverage="0" equalAverage="0" bottom="0" percent="0" rank="0" text="" dxfId="7">
      <formula>"Em andamento"</formula>
    </cfRule>
    <cfRule type="cellIs" priority="4" operator="equal" aboveAverage="0" equalAverage="0" bottom="0" percent="0" rank="0" text="" dxfId="17">
      <formula>"Pausado"</formula>
    </cfRule>
  </conditionalFormatting>
  <conditionalFormatting sqref="P10:P49">
    <cfRule type="cellIs" priority="5" operator="equal" aboveAverage="0" equalAverage="0" bottom="0" percent="0" rank="0" text="" dxfId="18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{40166E7B-55F5-48EF-B590-DDE990E5BD8F}</x14:id>
        </ext>
      </extLst>
    </cfRule>
  </conditionalFormatting>
  <conditionalFormatting sqref="Q10:Q49">
    <cfRule type="cellIs" priority="7" operator="equal" aboveAverage="0" equalAverage="0" bottom="0" percent="0" rank="0" text="" dxfId="6">
      <formula>"Emitido"</formula>
    </cfRule>
    <cfRule type="cellIs" priority="8" operator="equal" aboveAverage="0" equalAverage="0" bottom="0" percent="0" rank="0" text="" dxfId="19">
      <formula>"Em emissão"</formula>
    </cfRule>
  </conditionalFormatting>
  <conditionalFormatting sqref="J10:K49">
    <cfRule type="expression" priority="9" aboveAverage="0" equalAverage="0" bottom="0" percent="0" rank="0" text="" dxfId="0">
      <formula>ISNUMBER(SEARCH("Vencido",$K10))</formula>
    </cfRule>
    <cfRule type="expression" priority="10" aboveAverage="0" equalAverage="0" bottom="0" percent="0" rank="0" text="" dxfId="1">
      <formula>ISNUMBER(SEARCH("A vencer",$K10))</formula>
    </cfRule>
    <cfRule type="expression" priority="11" aboveAverage="0" equalAverage="0" bottom="0" percent="0" rank="0" text="" dxfId="20">
      <formula>ISNUMBER(SEARCH("Ativo",$K10))</formula>
    </cfRule>
  </conditionalFormatting>
  <dataValidations count="6">
    <dataValidation allowBlank="true" error="Valor inválido para esta coluna." errorStyle="stop" errorTitle="Atenção" operator="between" showDropDown="false" showErrorMessage="true" showInputMessage="false" sqref="D10:D49" type="list">
      <formula1>Listas!$C$6:$C$8</formula1>
      <formula2>0</formula2>
    </dataValidation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10:O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10:P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Q10:Q49" type="list">
      <formula1>Listas!$F$6:$F$9</formula1>
      <formula2>0</formula2>
    </dataValidation>
  </dataValidations>
  <hyperlinks>
    <hyperlink ref="S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166E7B-55F5-48EF-B590-DDE990E5BD8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W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9"/>
    <col collapsed="false" customWidth="true" hidden="false" outlineLevel="0" max="15" min="14" style="0" width="14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26"/>
    <col collapsed="false" customWidth="true" hidden="false" outlineLevel="0" max="21" min="21" style="0" width="22"/>
    <col collapsed="false" customWidth="true" hidden="false" outlineLevel="0" max="22" min="22" style="0" width="30"/>
    <col collapsed="false" customWidth="true" hidden="false" outlineLevel="0" max="23" min="23" style="0" width="36"/>
  </cols>
  <sheetData>
    <row r="1" customFormat="false" ht="37.5" hidden="false" customHeight="true" outlineLevel="0" collapsed="false">
      <c r="A1" s="20" t="s">
        <v>175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9.5" hidden="false" customHeight="true" outlineLevel="0" collapsed="false">
      <c r="A2" s="21" t="s">
        <v>176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 t="s">
        <v>56</v>
      </c>
      <c r="V2" s="22"/>
      <c r="W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143</v>
      </c>
      <c r="C5" s="23"/>
      <c r="D5" s="23" t="s">
        <v>58</v>
      </c>
      <c r="E5" s="23"/>
      <c r="F5" s="23" t="s">
        <v>59</v>
      </c>
      <c r="G5" s="23"/>
      <c r="H5" s="23" t="s">
        <v>144</v>
      </c>
      <c r="I5" s="23"/>
      <c r="J5" s="23" t="s">
        <v>61</v>
      </c>
      <c r="K5" s="23"/>
      <c r="L5" s="23" t="s">
        <v>145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COUNTIF(Q10:Q49,"Em andamento")</f>
        <v>1</v>
      </c>
      <c r="E6" s="24"/>
      <c r="F6" s="24" t="n">
        <f aca="false">COUNTIF(Q10:Q49,"Concluído")</f>
        <v>0</v>
      </c>
      <c r="G6" s="24"/>
      <c r="H6" s="25" t="n">
        <f aca="false">SUM(H10:H49)</f>
        <v>1490</v>
      </c>
      <c r="I6" s="25"/>
      <c r="J6" s="26" t="n">
        <f aca="false">IFERROR(AVERAGE(P10:P49),0)</f>
        <v>0.25</v>
      </c>
      <c r="K6" s="26"/>
      <c r="L6" s="24" t="n">
        <f aca="false">COUNTIF(M10:M49,"*A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0" t="s">
        <v>146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customFormat="false" ht="36" hidden="false" customHeight="true" outlineLevel="0" collapsed="false">
      <c r="A9" s="92" t="s">
        <v>147</v>
      </c>
      <c r="B9" s="32" t="s">
        <v>177</v>
      </c>
      <c r="C9" s="32" t="s">
        <v>178</v>
      </c>
      <c r="D9" s="32" t="s">
        <v>179</v>
      </c>
      <c r="E9" s="32" t="s">
        <v>180</v>
      </c>
      <c r="F9" s="32" t="s">
        <v>181</v>
      </c>
      <c r="G9" s="32" t="s">
        <v>151</v>
      </c>
      <c r="H9" s="32" t="s">
        <v>152</v>
      </c>
      <c r="I9" s="32" t="s">
        <v>153</v>
      </c>
      <c r="J9" s="32" t="s">
        <v>154</v>
      </c>
      <c r="K9" s="32" t="s">
        <v>155</v>
      </c>
      <c r="L9" s="92" t="s">
        <v>156</v>
      </c>
      <c r="M9" s="92" t="s">
        <v>157</v>
      </c>
      <c r="N9" s="32" t="s">
        <v>182</v>
      </c>
      <c r="O9" s="32" t="s">
        <v>183</v>
      </c>
      <c r="P9" s="92" t="s">
        <v>160</v>
      </c>
      <c r="Q9" s="32" t="s">
        <v>93</v>
      </c>
      <c r="R9" s="32" t="s">
        <v>161</v>
      </c>
      <c r="S9" s="32" t="s">
        <v>162</v>
      </c>
      <c r="T9" s="32" t="s">
        <v>163</v>
      </c>
      <c r="U9" s="32" t="s">
        <v>164</v>
      </c>
      <c r="V9" s="32" t="s">
        <v>165</v>
      </c>
      <c r="W9" s="32" t="s">
        <v>166</v>
      </c>
    </row>
    <row r="10" customFormat="false" ht="21.75" hidden="false" customHeight="true" outlineLevel="0" collapsed="false">
      <c r="A10" s="56" t="str">
        <f aca="false">IF($B10="","","CO-"&amp;TEXT(ROW()-9,"00"))</f>
        <v>CO-01</v>
      </c>
      <c r="B10" s="13" t="s">
        <v>184</v>
      </c>
      <c r="C10" s="13" t="s">
        <v>185</v>
      </c>
      <c r="D10" s="13" t="s">
        <v>186</v>
      </c>
      <c r="E10" s="13" t="s">
        <v>187</v>
      </c>
      <c r="F10" s="50" t="n">
        <v>46460</v>
      </c>
      <c r="G10" s="50" t="n">
        <v>46270</v>
      </c>
      <c r="H10" s="35" t="n">
        <v>1490</v>
      </c>
      <c r="I10" s="50" t="n">
        <v>46280</v>
      </c>
      <c r="J10" s="50" t="n">
        <v>46446</v>
      </c>
      <c r="K10" s="50" t="n">
        <v>46568</v>
      </c>
      <c r="L10" s="93" t="n">
        <f aca="true">IF(OR($B10="",$K10=""),"",$K10-TODAY())</f>
        <v>270</v>
      </c>
      <c r="M10" s="94" t="str">
        <f aca="false">IF($B10="","",IF($K10="","∞ Vitalício",IF($L10&lt;0,"■ Vencido",IF($L10&lt;=Listas!$H$6,"▲ A vencer","● Ativo"))))</f>
        <v>● Ativo</v>
      </c>
      <c r="N10" s="95" t="n">
        <v>180</v>
      </c>
      <c r="O10" s="95" t="n">
        <v>45</v>
      </c>
      <c r="P10" s="41" t="n">
        <f aca="false">IF($B10="","",IF(N($N10)=0,0,MIN(1,N($O10)/$N10)))</f>
        <v>0.25</v>
      </c>
      <c r="Q10" s="73" t="s">
        <v>41</v>
      </c>
      <c r="R10" s="73" t="s">
        <v>169</v>
      </c>
      <c r="S10" s="73" t="s">
        <v>188</v>
      </c>
      <c r="T10" s="13" t="s">
        <v>171</v>
      </c>
      <c r="U10" s="13" t="s">
        <v>172</v>
      </c>
      <c r="V10" s="13" t="s">
        <v>189</v>
      </c>
      <c r="W10" s="11" t="s">
        <v>174</v>
      </c>
    </row>
    <row r="11" customFormat="false" ht="21.75" hidden="false" customHeight="true" outlineLevel="0" collapsed="false">
      <c r="A11" s="56" t="str">
        <f aca="false">IF($B11="","","CO-"&amp;TEXT(ROW()-9,"00"))</f>
        <v/>
      </c>
      <c r="B11" s="13"/>
      <c r="C11" s="13"/>
      <c r="D11" s="13"/>
      <c r="E11" s="13"/>
      <c r="F11" s="50"/>
      <c r="G11" s="50"/>
      <c r="H11" s="35"/>
      <c r="I11" s="50"/>
      <c r="J11" s="50"/>
      <c r="K11" s="50"/>
      <c r="L11" s="93" t="str">
        <f aca="true">IF(OR($B11="",$K11=""),"",$K11-TODAY())</f>
        <v/>
      </c>
      <c r="M11" s="94" t="str">
        <f aca="false">IF($B11="","",IF($K11="","∞ Vitalício",IF($L11&lt;0,"■ Vencido",IF($L11&lt;=Listas!$H$6,"▲ A vencer","● Ativo"))))</f>
        <v/>
      </c>
      <c r="N11" s="95"/>
      <c r="O11" s="95"/>
      <c r="P11" s="41" t="str">
        <f aca="false">IF($B11="","",IF(N($N11)=0,0,MIN(1,N($O11)/$N11)))</f>
        <v/>
      </c>
      <c r="Q11" s="73"/>
      <c r="R11" s="73"/>
      <c r="S11" s="73"/>
      <c r="T11" s="13"/>
      <c r="U11" s="13"/>
      <c r="V11" s="13"/>
      <c r="W11" s="11"/>
    </row>
    <row r="12" customFormat="false" ht="21.75" hidden="false" customHeight="true" outlineLevel="0" collapsed="false">
      <c r="A12" s="56" t="str">
        <f aca="false">IF($B12="","","CO-"&amp;TEXT(ROW()-9,"00"))</f>
        <v/>
      </c>
      <c r="B12" s="13"/>
      <c r="C12" s="13"/>
      <c r="D12" s="13"/>
      <c r="E12" s="13"/>
      <c r="F12" s="50"/>
      <c r="G12" s="50"/>
      <c r="H12" s="35"/>
      <c r="I12" s="50"/>
      <c r="J12" s="50"/>
      <c r="K12" s="50"/>
      <c r="L12" s="93" t="str">
        <f aca="true">IF(OR($B12="",$K12=""),"",$K12-TODAY())</f>
        <v/>
      </c>
      <c r="M12" s="94" t="str">
        <f aca="false">IF($B12="","",IF($K12="","∞ Vitalício",IF($L12&lt;0,"■ Vencido",IF($L12&lt;=Listas!$H$6,"▲ A vencer","● Ativo"))))</f>
        <v/>
      </c>
      <c r="N12" s="95"/>
      <c r="O12" s="95"/>
      <c r="P12" s="41" t="str">
        <f aca="false">IF($B12="","",IF(N($N12)=0,0,MIN(1,N($O12)/$N12)))</f>
        <v/>
      </c>
      <c r="Q12" s="73"/>
      <c r="R12" s="73"/>
      <c r="S12" s="73"/>
      <c r="T12" s="13"/>
      <c r="U12" s="13"/>
      <c r="V12" s="13"/>
      <c r="W12" s="11"/>
    </row>
    <row r="13" customFormat="false" ht="21.75" hidden="false" customHeight="true" outlineLevel="0" collapsed="false">
      <c r="A13" s="56" t="str">
        <f aca="false">IF($B13="","","CO-"&amp;TEXT(ROW()-9,"00"))</f>
        <v/>
      </c>
      <c r="B13" s="13"/>
      <c r="C13" s="13"/>
      <c r="D13" s="13"/>
      <c r="E13" s="13"/>
      <c r="F13" s="50"/>
      <c r="G13" s="50"/>
      <c r="H13" s="35"/>
      <c r="I13" s="50"/>
      <c r="J13" s="50"/>
      <c r="K13" s="50"/>
      <c r="L13" s="93" t="str">
        <f aca="true">IF(OR($B13="",$K13=""),"",$K13-TODAY())</f>
        <v/>
      </c>
      <c r="M13" s="94" t="str">
        <f aca="false">IF($B13="","",IF($K13="","∞ Vitalício",IF($L13&lt;0,"■ Vencido",IF($L13&lt;=Listas!$H$6,"▲ A vencer","● Ativo"))))</f>
        <v/>
      </c>
      <c r="N13" s="95"/>
      <c r="O13" s="95"/>
      <c r="P13" s="41" t="str">
        <f aca="false">IF($B13="","",IF(N($N13)=0,0,MIN(1,N($O13)/$N13)))</f>
        <v/>
      </c>
      <c r="Q13" s="73"/>
      <c r="R13" s="73"/>
      <c r="S13" s="73"/>
      <c r="T13" s="13"/>
      <c r="U13" s="13"/>
      <c r="V13" s="13"/>
      <c r="W13" s="11"/>
    </row>
    <row r="14" customFormat="false" ht="21.75" hidden="false" customHeight="true" outlineLevel="0" collapsed="false">
      <c r="A14" s="56" t="str">
        <f aca="false">IF($B14="","","CO-"&amp;TEXT(ROW()-9,"00"))</f>
        <v/>
      </c>
      <c r="B14" s="13"/>
      <c r="C14" s="13"/>
      <c r="D14" s="13"/>
      <c r="E14" s="13"/>
      <c r="F14" s="50"/>
      <c r="G14" s="50"/>
      <c r="H14" s="35"/>
      <c r="I14" s="50"/>
      <c r="J14" s="50"/>
      <c r="K14" s="50"/>
      <c r="L14" s="93" t="str">
        <f aca="true">IF(OR($B14="",$K14=""),"",$K14-TODAY())</f>
        <v/>
      </c>
      <c r="M14" s="94" t="str">
        <f aca="false">IF($B14="","",IF($K14="","∞ Vitalício",IF($L14&lt;0,"■ Vencido",IF($L14&lt;=Listas!$H$6,"▲ A vencer","● Ativo"))))</f>
        <v/>
      </c>
      <c r="N14" s="95"/>
      <c r="O14" s="95"/>
      <c r="P14" s="41" t="str">
        <f aca="false">IF($B14="","",IF(N($N14)=0,0,MIN(1,N($O14)/$N14)))</f>
        <v/>
      </c>
      <c r="Q14" s="73"/>
      <c r="R14" s="73"/>
      <c r="S14" s="73"/>
      <c r="T14" s="13"/>
      <c r="U14" s="13"/>
      <c r="V14" s="13"/>
      <c r="W14" s="11"/>
    </row>
    <row r="15" customFormat="false" ht="21.75" hidden="false" customHeight="true" outlineLevel="0" collapsed="false">
      <c r="A15" s="56" t="str">
        <f aca="false">IF($B15="","","CO-"&amp;TEXT(ROW()-9,"00"))</f>
        <v/>
      </c>
      <c r="B15" s="13"/>
      <c r="C15" s="13"/>
      <c r="D15" s="13"/>
      <c r="E15" s="13"/>
      <c r="F15" s="50"/>
      <c r="G15" s="50"/>
      <c r="H15" s="35"/>
      <c r="I15" s="50"/>
      <c r="J15" s="50"/>
      <c r="K15" s="50"/>
      <c r="L15" s="93" t="str">
        <f aca="true">IF(OR($B15="",$K15=""),"",$K15-TODAY())</f>
        <v/>
      </c>
      <c r="M15" s="94" t="str">
        <f aca="false">IF($B15="","",IF($K15="","∞ Vitalício",IF($L15&lt;0,"■ Vencido",IF($L15&lt;=Listas!$H$6,"▲ A vencer","● Ativo"))))</f>
        <v/>
      </c>
      <c r="N15" s="95"/>
      <c r="O15" s="95"/>
      <c r="P15" s="41" t="str">
        <f aca="false">IF($B15="","",IF(N($N15)=0,0,MIN(1,N($O15)/$N15)))</f>
        <v/>
      </c>
      <c r="Q15" s="73"/>
      <c r="R15" s="73"/>
      <c r="S15" s="73"/>
      <c r="T15" s="13"/>
      <c r="U15" s="13"/>
      <c r="V15" s="13"/>
      <c r="W15" s="11"/>
    </row>
    <row r="16" customFormat="false" ht="21.75" hidden="false" customHeight="true" outlineLevel="0" collapsed="false">
      <c r="A16" s="56" t="str">
        <f aca="false">IF($B16="","","CO-"&amp;TEXT(ROW()-9,"00"))</f>
        <v/>
      </c>
      <c r="B16" s="13"/>
      <c r="C16" s="13"/>
      <c r="D16" s="13"/>
      <c r="E16" s="13"/>
      <c r="F16" s="50"/>
      <c r="G16" s="50"/>
      <c r="H16" s="35"/>
      <c r="I16" s="50"/>
      <c r="J16" s="50"/>
      <c r="K16" s="50"/>
      <c r="L16" s="93" t="str">
        <f aca="true">IF(OR($B16="",$K16=""),"",$K16-TODAY())</f>
        <v/>
      </c>
      <c r="M16" s="94" t="str">
        <f aca="false">IF($B16="","",IF($K16="","∞ Vitalício",IF($L16&lt;0,"■ Vencido",IF($L16&lt;=Listas!$H$6,"▲ A vencer","● Ativo"))))</f>
        <v/>
      </c>
      <c r="N16" s="95"/>
      <c r="O16" s="95"/>
      <c r="P16" s="41" t="str">
        <f aca="false">IF($B16="","",IF(N($N16)=0,0,MIN(1,N($O16)/$N16)))</f>
        <v/>
      </c>
      <c r="Q16" s="73"/>
      <c r="R16" s="73"/>
      <c r="S16" s="73"/>
      <c r="T16" s="13"/>
      <c r="U16" s="13"/>
      <c r="V16" s="13"/>
      <c r="W16" s="11"/>
    </row>
    <row r="17" customFormat="false" ht="21.75" hidden="false" customHeight="true" outlineLevel="0" collapsed="false">
      <c r="A17" s="56" t="str">
        <f aca="false">IF($B17="","","CO-"&amp;TEXT(ROW()-9,"00"))</f>
        <v/>
      </c>
      <c r="B17" s="13"/>
      <c r="C17" s="13"/>
      <c r="D17" s="13"/>
      <c r="E17" s="13"/>
      <c r="F17" s="50"/>
      <c r="G17" s="50"/>
      <c r="H17" s="35"/>
      <c r="I17" s="50"/>
      <c r="J17" s="50"/>
      <c r="K17" s="50"/>
      <c r="L17" s="93" t="str">
        <f aca="true">IF(OR($B17="",$K17=""),"",$K17-TODAY())</f>
        <v/>
      </c>
      <c r="M17" s="94" t="str">
        <f aca="false">IF($B17="","",IF($K17="","∞ Vitalício",IF($L17&lt;0,"■ Vencido",IF($L17&lt;=Listas!$H$6,"▲ A vencer","● Ativo"))))</f>
        <v/>
      </c>
      <c r="N17" s="95"/>
      <c r="O17" s="95"/>
      <c r="P17" s="41" t="str">
        <f aca="false">IF($B17="","",IF(N($N17)=0,0,MIN(1,N($O17)/$N17)))</f>
        <v/>
      </c>
      <c r="Q17" s="73"/>
      <c r="R17" s="73"/>
      <c r="S17" s="73"/>
      <c r="T17" s="13"/>
      <c r="U17" s="13"/>
      <c r="V17" s="13"/>
      <c r="W17" s="11"/>
    </row>
    <row r="18" customFormat="false" ht="21.75" hidden="false" customHeight="true" outlineLevel="0" collapsed="false">
      <c r="A18" s="56" t="str">
        <f aca="false">IF($B18="","","CO-"&amp;TEXT(ROW()-9,"00"))</f>
        <v/>
      </c>
      <c r="B18" s="13"/>
      <c r="C18" s="13"/>
      <c r="D18" s="13"/>
      <c r="E18" s="13"/>
      <c r="F18" s="50"/>
      <c r="G18" s="50"/>
      <c r="H18" s="35"/>
      <c r="I18" s="50"/>
      <c r="J18" s="50"/>
      <c r="K18" s="50"/>
      <c r="L18" s="93" t="str">
        <f aca="true">IF(OR($B18="",$K18=""),"",$K18-TODAY())</f>
        <v/>
      </c>
      <c r="M18" s="94" t="str">
        <f aca="false">IF($B18="","",IF($K18="","∞ Vitalício",IF($L18&lt;0,"■ Vencido",IF($L18&lt;=Listas!$H$6,"▲ A vencer","● Ativo"))))</f>
        <v/>
      </c>
      <c r="N18" s="95"/>
      <c r="O18" s="95"/>
      <c r="P18" s="41" t="str">
        <f aca="false">IF($B18="","",IF(N($N18)=0,0,MIN(1,N($O18)/$N18)))</f>
        <v/>
      </c>
      <c r="Q18" s="73"/>
      <c r="R18" s="73"/>
      <c r="S18" s="73"/>
      <c r="T18" s="13"/>
      <c r="U18" s="13"/>
      <c r="V18" s="13"/>
      <c r="W18" s="11"/>
    </row>
    <row r="19" customFormat="false" ht="21.75" hidden="false" customHeight="true" outlineLevel="0" collapsed="false">
      <c r="A19" s="56" t="str">
        <f aca="false">IF($B19="","","CO-"&amp;TEXT(ROW()-9,"00"))</f>
        <v/>
      </c>
      <c r="B19" s="13"/>
      <c r="C19" s="13"/>
      <c r="D19" s="13"/>
      <c r="E19" s="13"/>
      <c r="F19" s="50"/>
      <c r="G19" s="50"/>
      <c r="H19" s="35"/>
      <c r="I19" s="50"/>
      <c r="J19" s="50"/>
      <c r="K19" s="50"/>
      <c r="L19" s="93" t="str">
        <f aca="true">IF(OR($B19="",$K19=""),"",$K19-TODAY())</f>
        <v/>
      </c>
      <c r="M19" s="94" t="str">
        <f aca="false">IF($B19="","",IF($K19="","∞ Vitalício",IF($L19&lt;0,"■ Vencido",IF($L19&lt;=Listas!$H$6,"▲ A vencer","● Ativo"))))</f>
        <v/>
      </c>
      <c r="N19" s="95"/>
      <c r="O19" s="95"/>
      <c r="P19" s="41" t="str">
        <f aca="false">IF($B19="","",IF(N($N19)=0,0,MIN(1,N($O19)/$N19)))</f>
        <v/>
      </c>
      <c r="Q19" s="73"/>
      <c r="R19" s="73"/>
      <c r="S19" s="73"/>
      <c r="T19" s="13"/>
      <c r="U19" s="13"/>
      <c r="V19" s="13"/>
      <c r="W19" s="11"/>
    </row>
    <row r="20" customFormat="false" ht="21.75" hidden="false" customHeight="true" outlineLevel="0" collapsed="false">
      <c r="A20" s="56" t="str">
        <f aca="false">IF($B20="","","CO-"&amp;TEXT(ROW()-9,"00"))</f>
        <v/>
      </c>
      <c r="B20" s="13"/>
      <c r="C20" s="13"/>
      <c r="D20" s="13"/>
      <c r="E20" s="13"/>
      <c r="F20" s="50"/>
      <c r="G20" s="50"/>
      <c r="H20" s="35"/>
      <c r="I20" s="50"/>
      <c r="J20" s="50"/>
      <c r="K20" s="50"/>
      <c r="L20" s="93" t="str">
        <f aca="true">IF(OR($B20="",$K20=""),"",$K20-TODAY())</f>
        <v/>
      </c>
      <c r="M20" s="94" t="str">
        <f aca="false">IF($B20="","",IF($K20="","∞ Vitalício",IF($L20&lt;0,"■ Vencido",IF($L20&lt;=Listas!$H$6,"▲ A vencer","● Ativo"))))</f>
        <v/>
      </c>
      <c r="N20" s="95"/>
      <c r="O20" s="95"/>
      <c r="P20" s="41" t="str">
        <f aca="false">IF($B20="","",IF(N($N20)=0,0,MIN(1,N($O20)/$N20)))</f>
        <v/>
      </c>
      <c r="Q20" s="73"/>
      <c r="R20" s="73"/>
      <c r="S20" s="73"/>
      <c r="T20" s="13"/>
      <c r="U20" s="13"/>
      <c r="V20" s="13"/>
      <c r="W20" s="11"/>
    </row>
    <row r="21" customFormat="false" ht="21.75" hidden="false" customHeight="true" outlineLevel="0" collapsed="false">
      <c r="A21" s="56" t="str">
        <f aca="false">IF($B21="","","CO-"&amp;TEXT(ROW()-9,"00"))</f>
        <v/>
      </c>
      <c r="B21" s="13"/>
      <c r="C21" s="13"/>
      <c r="D21" s="13"/>
      <c r="E21" s="13"/>
      <c r="F21" s="50"/>
      <c r="G21" s="50"/>
      <c r="H21" s="35"/>
      <c r="I21" s="50"/>
      <c r="J21" s="50"/>
      <c r="K21" s="50"/>
      <c r="L21" s="93" t="str">
        <f aca="true">IF(OR($B21="",$K21=""),"",$K21-TODAY())</f>
        <v/>
      </c>
      <c r="M21" s="94" t="str">
        <f aca="false">IF($B21="","",IF($K21="","∞ Vitalício",IF($L21&lt;0,"■ Vencido",IF($L21&lt;=Listas!$H$6,"▲ A vencer","● Ativo"))))</f>
        <v/>
      </c>
      <c r="N21" s="95"/>
      <c r="O21" s="95"/>
      <c r="P21" s="41" t="str">
        <f aca="false">IF($B21="","",IF(N($N21)=0,0,MIN(1,N($O21)/$N21)))</f>
        <v/>
      </c>
      <c r="Q21" s="73"/>
      <c r="R21" s="73"/>
      <c r="S21" s="73"/>
      <c r="T21" s="13"/>
      <c r="U21" s="13"/>
      <c r="V21" s="13"/>
      <c r="W21" s="11"/>
    </row>
    <row r="22" customFormat="false" ht="21.75" hidden="false" customHeight="true" outlineLevel="0" collapsed="false">
      <c r="A22" s="56" t="str">
        <f aca="false">IF($B22="","","CO-"&amp;TEXT(ROW()-9,"00"))</f>
        <v/>
      </c>
      <c r="B22" s="13"/>
      <c r="C22" s="13"/>
      <c r="D22" s="13"/>
      <c r="E22" s="13"/>
      <c r="F22" s="50"/>
      <c r="G22" s="50"/>
      <c r="H22" s="35"/>
      <c r="I22" s="50"/>
      <c r="J22" s="50"/>
      <c r="K22" s="50"/>
      <c r="L22" s="93" t="str">
        <f aca="true">IF(OR($B22="",$K22=""),"",$K22-TODAY())</f>
        <v/>
      </c>
      <c r="M22" s="94" t="str">
        <f aca="false">IF($B22="","",IF($K22="","∞ Vitalício",IF($L22&lt;0,"■ Vencido",IF($L22&lt;=Listas!$H$6,"▲ A vencer","● Ativo"))))</f>
        <v/>
      </c>
      <c r="N22" s="95"/>
      <c r="O22" s="95"/>
      <c r="P22" s="41" t="str">
        <f aca="false">IF($B22="","",IF(N($N22)=0,0,MIN(1,N($O22)/$N22)))</f>
        <v/>
      </c>
      <c r="Q22" s="73"/>
      <c r="R22" s="73"/>
      <c r="S22" s="73"/>
      <c r="T22" s="13"/>
      <c r="U22" s="13"/>
      <c r="V22" s="13"/>
      <c r="W22" s="11"/>
    </row>
    <row r="23" customFormat="false" ht="21.75" hidden="false" customHeight="true" outlineLevel="0" collapsed="false">
      <c r="A23" s="56" t="str">
        <f aca="false">IF($B23="","","CO-"&amp;TEXT(ROW()-9,"00"))</f>
        <v/>
      </c>
      <c r="B23" s="13"/>
      <c r="C23" s="13"/>
      <c r="D23" s="13"/>
      <c r="E23" s="13"/>
      <c r="F23" s="50"/>
      <c r="G23" s="50"/>
      <c r="H23" s="35"/>
      <c r="I23" s="50"/>
      <c r="J23" s="50"/>
      <c r="K23" s="50"/>
      <c r="L23" s="93" t="str">
        <f aca="true">IF(OR($B23="",$K23=""),"",$K23-TODAY())</f>
        <v/>
      </c>
      <c r="M23" s="94" t="str">
        <f aca="false">IF($B23="","",IF($K23="","∞ Vitalício",IF($L23&lt;0,"■ Vencido",IF($L23&lt;=Listas!$H$6,"▲ A vencer","● Ativo"))))</f>
        <v/>
      </c>
      <c r="N23" s="95"/>
      <c r="O23" s="95"/>
      <c r="P23" s="41" t="str">
        <f aca="false">IF($B23="","",IF(N($N23)=0,0,MIN(1,N($O23)/$N23)))</f>
        <v/>
      </c>
      <c r="Q23" s="73"/>
      <c r="R23" s="73"/>
      <c r="S23" s="73"/>
      <c r="T23" s="13"/>
      <c r="U23" s="13"/>
      <c r="V23" s="13"/>
      <c r="W23" s="11"/>
    </row>
    <row r="24" customFormat="false" ht="21.75" hidden="false" customHeight="true" outlineLevel="0" collapsed="false">
      <c r="A24" s="56" t="str">
        <f aca="false">IF($B24="","","CO-"&amp;TEXT(ROW()-9,"00"))</f>
        <v/>
      </c>
      <c r="B24" s="13"/>
      <c r="C24" s="13"/>
      <c r="D24" s="13"/>
      <c r="E24" s="13"/>
      <c r="F24" s="50"/>
      <c r="G24" s="50"/>
      <c r="H24" s="35"/>
      <c r="I24" s="50"/>
      <c r="J24" s="50"/>
      <c r="K24" s="50"/>
      <c r="L24" s="93" t="str">
        <f aca="true">IF(OR($B24="",$K24=""),"",$K24-TODAY())</f>
        <v/>
      </c>
      <c r="M24" s="94" t="str">
        <f aca="false">IF($B24="","",IF($K24="","∞ Vitalício",IF($L24&lt;0,"■ Vencido",IF($L24&lt;=Listas!$H$6,"▲ A vencer","● Ativo"))))</f>
        <v/>
      </c>
      <c r="N24" s="95"/>
      <c r="O24" s="95"/>
      <c r="P24" s="41" t="str">
        <f aca="false">IF($B24="","",IF(N($N24)=0,0,MIN(1,N($O24)/$N24)))</f>
        <v/>
      </c>
      <c r="Q24" s="73"/>
      <c r="R24" s="73"/>
      <c r="S24" s="73"/>
      <c r="T24" s="13"/>
      <c r="U24" s="13"/>
      <c r="V24" s="13"/>
      <c r="W24" s="11"/>
    </row>
    <row r="25" customFormat="false" ht="21.75" hidden="false" customHeight="true" outlineLevel="0" collapsed="false">
      <c r="A25" s="56" t="str">
        <f aca="false">IF($B25="","","CO-"&amp;TEXT(ROW()-9,"00"))</f>
        <v/>
      </c>
      <c r="B25" s="13"/>
      <c r="C25" s="13"/>
      <c r="D25" s="13"/>
      <c r="E25" s="13"/>
      <c r="F25" s="50"/>
      <c r="G25" s="50"/>
      <c r="H25" s="35"/>
      <c r="I25" s="50"/>
      <c r="J25" s="50"/>
      <c r="K25" s="50"/>
      <c r="L25" s="93" t="str">
        <f aca="true">IF(OR($B25="",$K25=""),"",$K25-TODAY())</f>
        <v/>
      </c>
      <c r="M25" s="94" t="str">
        <f aca="false">IF($B25="","",IF($K25="","∞ Vitalício",IF($L25&lt;0,"■ Vencido",IF($L25&lt;=Listas!$H$6,"▲ A vencer","● Ativo"))))</f>
        <v/>
      </c>
      <c r="N25" s="95"/>
      <c r="O25" s="95"/>
      <c r="P25" s="41" t="str">
        <f aca="false">IF($B25="","",IF(N($N25)=0,0,MIN(1,N($O25)/$N25)))</f>
        <v/>
      </c>
      <c r="Q25" s="73"/>
      <c r="R25" s="73"/>
      <c r="S25" s="73"/>
      <c r="T25" s="13"/>
      <c r="U25" s="13"/>
      <c r="V25" s="13"/>
      <c r="W25" s="11"/>
    </row>
    <row r="26" customFormat="false" ht="21.75" hidden="false" customHeight="true" outlineLevel="0" collapsed="false">
      <c r="A26" s="56" t="str">
        <f aca="false">IF($B26="","","CO-"&amp;TEXT(ROW()-9,"00"))</f>
        <v/>
      </c>
      <c r="B26" s="13"/>
      <c r="C26" s="13"/>
      <c r="D26" s="13"/>
      <c r="E26" s="13"/>
      <c r="F26" s="50"/>
      <c r="G26" s="50"/>
      <c r="H26" s="35"/>
      <c r="I26" s="50"/>
      <c r="J26" s="50"/>
      <c r="K26" s="50"/>
      <c r="L26" s="93" t="str">
        <f aca="true">IF(OR($B26="",$K26=""),"",$K26-TODAY())</f>
        <v/>
      </c>
      <c r="M26" s="94" t="str">
        <f aca="false">IF($B26="","",IF($K26="","∞ Vitalício",IF($L26&lt;0,"■ Vencido",IF($L26&lt;=Listas!$H$6,"▲ A vencer","● Ativo"))))</f>
        <v/>
      </c>
      <c r="N26" s="95"/>
      <c r="O26" s="95"/>
      <c r="P26" s="41" t="str">
        <f aca="false">IF($B26="","",IF(N($N26)=0,0,MIN(1,N($O26)/$N26)))</f>
        <v/>
      </c>
      <c r="Q26" s="73"/>
      <c r="R26" s="73"/>
      <c r="S26" s="73"/>
      <c r="T26" s="13"/>
      <c r="U26" s="13"/>
      <c r="V26" s="13"/>
      <c r="W26" s="11"/>
    </row>
    <row r="27" customFormat="false" ht="21.75" hidden="false" customHeight="true" outlineLevel="0" collapsed="false">
      <c r="A27" s="56" t="str">
        <f aca="false">IF($B27="","","CO-"&amp;TEXT(ROW()-9,"00"))</f>
        <v/>
      </c>
      <c r="B27" s="13"/>
      <c r="C27" s="13"/>
      <c r="D27" s="13"/>
      <c r="E27" s="13"/>
      <c r="F27" s="50"/>
      <c r="G27" s="50"/>
      <c r="H27" s="35"/>
      <c r="I27" s="50"/>
      <c r="J27" s="50"/>
      <c r="K27" s="50"/>
      <c r="L27" s="93" t="str">
        <f aca="true">IF(OR($B27="",$K27=""),"",$K27-TODAY())</f>
        <v/>
      </c>
      <c r="M27" s="94" t="str">
        <f aca="false">IF($B27="","",IF($K27="","∞ Vitalício",IF($L27&lt;0,"■ Vencido",IF($L27&lt;=Listas!$H$6,"▲ A vencer","● Ativo"))))</f>
        <v/>
      </c>
      <c r="N27" s="95"/>
      <c r="O27" s="95"/>
      <c r="P27" s="41" t="str">
        <f aca="false">IF($B27="","",IF(N($N27)=0,0,MIN(1,N($O27)/$N27)))</f>
        <v/>
      </c>
      <c r="Q27" s="73"/>
      <c r="R27" s="73"/>
      <c r="S27" s="73"/>
      <c r="T27" s="13"/>
      <c r="U27" s="13"/>
      <c r="V27" s="13"/>
      <c r="W27" s="11"/>
    </row>
    <row r="28" customFormat="false" ht="21.75" hidden="false" customHeight="true" outlineLevel="0" collapsed="false">
      <c r="A28" s="56" t="str">
        <f aca="false">IF($B28="","","CO-"&amp;TEXT(ROW()-9,"00"))</f>
        <v/>
      </c>
      <c r="B28" s="13"/>
      <c r="C28" s="13"/>
      <c r="D28" s="13"/>
      <c r="E28" s="13"/>
      <c r="F28" s="50"/>
      <c r="G28" s="50"/>
      <c r="H28" s="35"/>
      <c r="I28" s="50"/>
      <c r="J28" s="50"/>
      <c r="K28" s="50"/>
      <c r="L28" s="93" t="str">
        <f aca="true">IF(OR($B28="",$K28=""),"",$K28-TODAY())</f>
        <v/>
      </c>
      <c r="M28" s="94" t="str">
        <f aca="false">IF($B28="","",IF($K28="","∞ Vitalício",IF($L28&lt;0,"■ Vencido",IF($L28&lt;=Listas!$H$6,"▲ A vencer","● Ativo"))))</f>
        <v/>
      </c>
      <c r="N28" s="95"/>
      <c r="O28" s="95"/>
      <c r="P28" s="41" t="str">
        <f aca="false">IF($B28="","",IF(N($N28)=0,0,MIN(1,N($O28)/$N28)))</f>
        <v/>
      </c>
      <c r="Q28" s="73"/>
      <c r="R28" s="73"/>
      <c r="S28" s="73"/>
      <c r="T28" s="13"/>
      <c r="U28" s="13"/>
      <c r="V28" s="13"/>
      <c r="W28" s="11"/>
    </row>
    <row r="29" customFormat="false" ht="21.75" hidden="false" customHeight="true" outlineLevel="0" collapsed="false">
      <c r="A29" s="56" t="str">
        <f aca="false">IF($B29="","","CO-"&amp;TEXT(ROW()-9,"00"))</f>
        <v/>
      </c>
      <c r="B29" s="13"/>
      <c r="C29" s="13"/>
      <c r="D29" s="13"/>
      <c r="E29" s="13"/>
      <c r="F29" s="50"/>
      <c r="G29" s="50"/>
      <c r="H29" s="35"/>
      <c r="I29" s="50"/>
      <c r="J29" s="50"/>
      <c r="K29" s="50"/>
      <c r="L29" s="93" t="str">
        <f aca="true">IF(OR($B29="",$K29=""),"",$K29-TODAY())</f>
        <v/>
      </c>
      <c r="M29" s="94" t="str">
        <f aca="false">IF($B29="","",IF($K29="","∞ Vitalício",IF($L29&lt;0,"■ Vencido",IF($L29&lt;=Listas!$H$6,"▲ A vencer","● Ativo"))))</f>
        <v/>
      </c>
      <c r="N29" s="95"/>
      <c r="O29" s="95"/>
      <c r="P29" s="41" t="str">
        <f aca="false">IF($B29="","",IF(N($N29)=0,0,MIN(1,N($O29)/$N29)))</f>
        <v/>
      </c>
      <c r="Q29" s="73"/>
      <c r="R29" s="73"/>
      <c r="S29" s="73"/>
      <c r="T29" s="13"/>
      <c r="U29" s="13"/>
      <c r="V29" s="13"/>
      <c r="W29" s="11"/>
    </row>
    <row r="30" customFormat="false" ht="21.75" hidden="false" customHeight="true" outlineLevel="0" collapsed="false">
      <c r="A30" s="56" t="str">
        <f aca="false">IF($B30="","","CO-"&amp;TEXT(ROW()-9,"00"))</f>
        <v/>
      </c>
      <c r="B30" s="13"/>
      <c r="C30" s="13"/>
      <c r="D30" s="13"/>
      <c r="E30" s="13"/>
      <c r="F30" s="50"/>
      <c r="G30" s="50"/>
      <c r="H30" s="35"/>
      <c r="I30" s="50"/>
      <c r="J30" s="50"/>
      <c r="K30" s="50"/>
      <c r="L30" s="93" t="str">
        <f aca="true">IF(OR($B30="",$K30=""),"",$K30-TODAY())</f>
        <v/>
      </c>
      <c r="M30" s="94" t="str">
        <f aca="false">IF($B30="","",IF($K30="","∞ Vitalício",IF($L30&lt;0,"■ Vencido",IF($L30&lt;=Listas!$H$6,"▲ A vencer","● Ativo"))))</f>
        <v/>
      </c>
      <c r="N30" s="95"/>
      <c r="O30" s="95"/>
      <c r="P30" s="41" t="str">
        <f aca="false">IF($B30="","",IF(N($N30)=0,0,MIN(1,N($O30)/$N30)))</f>
        <v/>
      </c>
      <c r="Q30" s="73"/>
      <c r="R30" s="73"/>
      <c r="S30" s="73"/>
      <c r="T30" s="13"/>
      <c r="U30" s="13"/>
      <c r="V30" s="13"/>
      <c r="W30" s="11"/>
    </row>
    <row r="31" customFormat="false" ht="21.75" hidden="false" customHeight="true" outlineLevel="0" collapsed="false">
      <c r="A31" s="56" t="str">
        <f aca="false">IF($B31="","","CO-"&amp;TEXT(ROW()-9,"00"))</f>
        <v/>
      </c>
      <c r="B31" s="13"/>
      <c r="C31" s="13"/>
      <c r="D31" s="13"/>
      <c r="E31" s="13"/>
      <c r="F31" s="50"/>
      <c r="G31" s="50"/>
      <c r="H31" s="35"/>
      <c r="I31" s="50"/>
      <c r="J31" s="50"/>
      <c r="K31" s="50"/>
      <c r="L31" s="93" t="str">
        <f aca="true">IF(OR($B31="",$K31=""),"",$K31-TODAY())</f>
        <v/>
      </c>
      <c r="M31" s="94" t="str">
        <f aca="false">IF($B31="","",IF($K31="","∞ Vitalício",IF($L31&lt;0,"■ Vencido",IF($L31&lt;=Listas!$H$6,"▲ A vencer","● Ativo"))))</f>
        <v/>
      </c>
      <c r="N31" s="95"/>
      <c r="O31" s="95"/>
      <c r="P31" s="41" t="str">
        <f aca="false">IF($B31="","",IF(N($N31)=0,0,MIN(1,N($O31)/$N31)))</f>
        <v/>
      </c>
      <c r="Q31" s="73"/>
      <c r="R31" s="73"/>
      <c r="S31" s="73"/>
      <c r="T31" s="13"/>
      <c r="U31" s="13"/>
      <c r="V31" s="13"/>
      <c r="W31" s="11"/>
    </row>
    <row r="32" customFormat="false" ht="21.75" hidden="false" customHeight="true" outlineLevel="0" collapsed="false">
      <c r="A32" s="56" t="str">
        <f aca="false">IF($B32="","","CO-"&amp;TEXT(ROW()-9,"00"))</f>
        <v/>
      </c>
      <c r="B32" s="13"/>
      <c r="C32" s="13"/>
      <c r="D32" s="13"/>
      <c r="E32" s="13"/>
      <c r="F32" s="50"/>
      <c r="G32" s="50"/>
      <c r="H32" s="35"/>
      <c r="I32" s="50"/>
      <c r="J32" s="50"/>
      <c r="K32" s="50"/>
      <c r="L32" s="93" t="str">
        <f aca="true">IF(OR($B32="",$K32=""),"",$K32-TODAY())</f>
        <v/>
      </c>
      <c r="M32" s="94" t="str">
        <f aca="false">IF($B32="","",IF($K32="","∞ Vitalício",IF($L32&lt;0,"■ Vencido",IF($L32&lt;=Listas!$H$6,"▲ A vencer","● Ativo"))))</f>
        <v/>
      </c>
      <c r="N32" s="95"/>
      <c r="O32" s="95"/>
      <c r="P32" s="41" t="str">
        <f aca="false">IF($B32="","",IF(N($N32)=0,0,MIN(1,N($O32)/$N32)))</f>
        <v/>
      </c>
      <c r="Q32" s="73"/>
      <c r="R32" s="73"/>
      <c r="S32" s="73"/>
      <c r="T32" s="13"/>
      <c r="U32" s="13"/>
      <c r="V32" s="13"/>
      <c r="W32" s="11"/>
    </row>
    <row r="33" customFormat="false" ht="21.75" hidden="false" customHeight="true" outlineLevel="0" collapsed="false">
      <c r="A33" s="56" t="str">
        <f aca="false">IF($B33="","","CO-"&amp;TEXT(ROW()-9,"00"))</f>
        <v/>
      </c>
      <c r="B33" s="13"/>
      <c r="C33" s="13"/>
      <c r="D33" s="13"/>
      <c r="E33" s="13"/>
      <c r="F33" s="50"/>
      <c r="G33" s="50"/>
      <c r="H33" s="35"/>
      <c r="I33" s="50"/>
      <c r="J33" s="50"/>
      <c r="K33" s="50"/>
      <c r="L33" s="93" t="str">
        <f aca="true">IF(OR($B33="",$K33=""),"",$K33-TODAY())</f>
        <v/>
      </c>
      <c r="M33" s="94" t="str">
        <f aca="false">IF($B33="","",IF($K33="","∞ Vitalício",IF($L33&lt;0,"■ Vencido",IF($L33&lt;=Listas!$H$6,"▲ A vencer","● Ativo"))))</f>
        <v/>
      </c>
      <c r="N33" s="95"/>
      <c r="O33" s="95"/>
      <c r="P33" s="41" t="str">
        <f aca="false">IF($B33="","",IF(N($N33)=0,0,MIN(1,N($O33)/$N33)))</f>
        <v/>
      </c>
      <c r="Q33" s="73"/>
      <c r="R33" s="73"/>
      <c r="S33" s="73"/>
      <c r="T33" s="13"/>
      <c r="U33" s="13"/>
      <c r="V33" s="13"/>
      <c r="W33" s="11"/>
    </row>
    <row r="34" customFormat="false" ht="21.75" hidden="false" customHeight="true" outlineLevel="0" collapsed="false">
      <c r="A34" s="56" t="str">
        <f aca="false">IF($B34="","","CO-"&amp;TEXT(ROW()-9,"00"))</f>
        <v/>
      </c>
      <c r="B34" s="13"/>
      <c r="C34" s="13"/>
      <c r="D34" s="13"/>
      <c r="E34" s="13"/>
      <c r="F34" s="50"/>
      <c r="G34" s="50"/>
      <c r="H34" s="35"/>
      <c r="I34" s="50"/>
      <c r="J34" s="50"/>
      <c r="K34" s="50"/>
      <c r="L34" s="93" t="str">
        <f aca="true">IF(OR($B34="",$K34=""),"",$K34-TODAY())</f>
        <v/>
      </c>
      <c r="M34" s="94" t="str">
        <f aca="false">IF($B34="","",IF($K34="","∞ Vitalício",IF($L34&lt;0,"■ Vencido",IF($L34&lt;=Listas!$H$6,"▲ A vencer","● Ativo"))))</f>
        <v/>
      </c>
      <c r="N34" s="95"/>
      <c r="O34" s="95"/>
      <c r="P34" s="41" t="str">
        <f aca="false">IF($B34="","",IF(N($N34)=0,0,MIN(1,N($O34)/$N34)))</f>
        <v/>
      </c>
      <c r="Q34" s="73"/>
      <c r="R34" s="73"/>
      <c r="S34" s="73"/>
      <c r="T34" s="13"/>
      <c r="U34" s="13"/>
      <c r="V34" s="13"/>
      <c r="W34" s="11"/>
    </row>
    <row r="35" customFormat="false" ht="21.75" hidden="false" customHeight="true" outlineLevel="0" collapsed="false">
      <c r="A35" s="56" t="str">
        <f aca="false">IF($B35="","","CO-"&amp;TEXT(ROW()-9,"00"))</f>
        <v/>
      </c>
      <c r="B35" s="13"/>
      <c r="C35" s="13"/>
      <c r="D35" s="13"/>
      <c r="E35" s="13"/>
      <c r="F35" s="50"/>
      <c r="G35" s="50"/>
      <c r="H35" s="35"/>
      <c r="I35" s="50"/>
      <c r="J35" s="50"/>
      <c r="K35" s="50"/>
      <c r="L35" s="93" t="str">
        <f aca="true">IF(OR($B35="",$K35=""),"",$K35-TODAY())</f>
        <v/>
      </c>
      <c r="M35" s="94" t="str">
        <f aca="false">IF($B35="","",IF($K35="","∞ Vitalício",IF($L35&lt;0,"■ Vencido",IF($L35&lt;=Listas!$H$6,"▲ A vencer","● Ativo"))))</f>
        <v/>
      </c>
      <c r="N35" s="95"/>
      <c r="O35" s="95"/>
      <c r="P35" s="41" t="str">
        <f aca="false">IF($B35="","",IF(N($N35)=0,0,MIN(1,N($O35)/$N35)))</f>
        <v/>
      </c>
      <c r="Q35" s="73"/>
      <c r="R35" s="73"/>
      <c r="S35" s="73"/>
      <c r="T35" s="13"/>
      <c r="U35" s="13"/>
      <c r="V35" s="13"/>
      <c r="W35" s="11"/>
    </row>
    <row r="36" customFormat="false" ht="21.75" hidden="false" customHeight="true" outlineLevel="0" collapsed="false">
      <c r="A36" s="56" t="str">
        <f aca="false">IF($B36="","","CO-"&amp;TEXT(ROW()-9,"00"))</f>
        <v/>
      </c>
      <c r="B36" s="13"/>
      <c r="C36" s="13"/>
      <c r="D36" s="13"/>
      <c r="E36" s="13"/>
      <c r="F36" s="50"/>
      <c r="G36" s="50"/>
      <c r="H36" s="35"/>
      <c r="I36" s="50"/>
      <c r="J36" s="50"/>
      <c r="K36" s="50"/>
      <c r="L36" s="93" t="str">
        <f aca="true">IF(OR($B36="",$K36=""),"",$K36-TODAY())</f>
        <v/>
      </c>
      <c r="M36" s="94" t="str">
        <f aca="false">IF($B36="","",IF($K36="","∞ Vitalício",IF($L36&lt;0,"■ Vencido",IF($L36&lt;=Listas!$H$6,"▲ A vencer","● Ativo"))))</f>
        <v/>
      </c>
      <c r="N36" s="95"/>
      <c r="O36" s="95"/>
      <c r="P36" s="41" t="str">
        <f aca="false">IF($B36="","",IF(N($N36)=0,0,MIN(1,N($O36)/$N36)))</f>
        <v/>
      </c>
      <c r="Q36" s="73"/>
      <c r="R36" s="73"/>
      <c r="S36" s="73"/>
      <c r="T36" s="13"/>
      <c r="U36" s="13"/>
      <c r="V36" s="13"/>
      <c r="W36" s="11"/>
    </row>
    <row r="37" customFormat="false" ht="21.75" hidden="false" customHeight="true" outlineLevel="0" collapsed="false">
      <c r="A37" s="56" t="str">
        <f aca="false">IF($B37="","","CO-"&amp;TEXT(ROW()-9,"00"))</f>
        <v/>
      </c>
      <c r="B37" s="13"/>
      <c r="C37" s="13"/>
      <c r="D37" s="13"/>
      <c r="E37" s="13"/>
      <c r="F37" s="50"/>
      <c r="G37" s="50"/>
      <c r="H37" s="35"/>
      <c r="I37" s="50"/>
      <c r="J37" s="50"/>
      <c r="K37" s="50"/>
      <c r="L37" s="93" t="str">
        <f aca="true">IF(OR($B37="",$K37=""),"",$K37-TODAY())</f>
        <v/>
      </c>
      <c r="M37" s="94" t="str">
        <f aca="false">IF($B37="","",IF($K37="","∞ Vitalício",IF($L37&lt;0,"■ Vencido",IF($L37&lt;=Listas!$H$6,"▲ A vencer","● Ativo"))))</f>
        <v/>
      </c>
      <c r="N37" s="95"/>
      <c r="O37" s="95"/>
      <c r="P37" s="41" t="str">
        <f aca="false">IF($B37="","",IF(N($N37)=0,0,MIN(1,N($O37)/$N37)))</f>
        <v/>
      </c>
      <c r="Q37" s="73"/>
      <c r="R37" s="73"/>
      <c r="S37" s="73"/>
      <c r="T37" s="13"/>
      <c r="U37" s="13"/>
      <c r="V37" s="13"/>
      <c r="W37" s="11"/>
    </row>
    <row r="38" customFormat="false" ht="21.75" hidden="false" customHeight="true" outlineLevel="0" collapsed="false">
      <c r="A38" s="56" t="str">
        <f aca="false">IF($B38="","","CO-"&amp;TEXT(ROW()-9,"00"))</f>
        <v/>
      </c>
      <c r="B38" s="13"/>
      <c r="C38" s="13"/>
      <c r="D38" s="13"/>
      <c r="E38" s="13"/>
      <c r="F38" s="50"/>
      <c r="G38" s="50"/>
      <c r="H38" s="35"/>
      <c r="I38" s="50"/>
      <c r="J38" s="50"/>
      <c r="K38" s="50"/>
      <c r="L38" s="93" t="str">
        <f aca="true">IF(OR($B38="",$K38=""),"",$K38-TODAY())</f>
        <v/>
      </c>
      <c r="M38" s="94" t="str">
        <f aca="false">IF($B38="","",IF($K38="","∞ Vitalício",IF($L38&lt;0,"■ Vencido",IF($L38&lt;=Listas!$H$6,"▲ A vencer","● Ativo"))))</f>
        <v/>
      </c>
      <c r="N38" s="95"/>
      <c r="O38" s="95"/>
      <c r="P38" s="41" t="str">
        <f aca="false">IF($B38="","",IF(N($N38)=0,0,MIN(1,N($O38)/$N38)))</f>
        <v/>
      </c>
      <c r="Q38" s="73"/>
      <c r="R38" s="73"/>
      <c r="S38" s="73"/>
      <c r="T38" s="13"/>
      <c r="U38" s="13"/>
      <c r="V38" s="13"/>
      <c r="W38" s="11"/>
    </row>
    <row r="39" customFormat="false" ht="21.75" hidden="false" customHeight="true" outlineLevel="0" collapsed="false">
      <c r="A39" s="56" t="str">
        <f aca="false">IF($B39="","","CO-"&amp;TEXT(ROW()-9,"00"))</f>
        <v/>
      </c>
      <c r="B39" s="13"/>
      <c r="C39" s="13"/>
      <c r="D39" s="13"/>
      <c r="E39" s="13"/>
      <c r="F39" s="50"/>
      <c r="G39" s="50"/>
      <c r="H39" s="35"/>
      <c r="I39" s="50"/>
      <c r="J39" s="50"/>
      <c r="K39" s="50"/>
      <c r="L39" s="93" t="str">
        <f aca="true">IF(OR($B39="",$K39=""),"",$K39-TODAY())</f>
        <v/>
      </c>
      <c r="M39" s="94" t="str">
        <f aca="false">IF($B39="","",IF($K39="","∞ Vitalício",IF($L39&lt;0,"■ Vencido",IF($L39&lt;=Listas!$H$6,"▲ A vencer","● Ativo"))))</f>
        <v/>
      </c>
      <c r="N39" s="95"/>
      <c r="O39" s="95"/>
      <c r="P39" s="41" t="str">
        <f aca="false">IF($B39="","",IF(N($N39)=0,0,MIN(1,N($O39)/$N39)))</f>
        <v/>
      </c>
      <c r="Q39" s="73"/>
      <c r="R39" s="73"/>
      <c r="S39" s="73"/>
      <c r="T39" s="13"/>
      <c r="U39" s="13"/>
      <c r="V39" s="13"/>
      <c r="W39" s="11"/>
    </row>
    <row r="40" customFormat="false" ht="21.75" hidden="false" customHeight="true" outlineLevel="0" collapsed="false">
      <c r="A40" s="56" t="str">
        <f aca="false">IF($B40="","","CO-"&amp;TEXT(ROW()-9,"00"))</f>
        <v/>
      </c>
      <c r="B40" s="13"/>
      <c r="C40" s="13"/>
      <c r="D40" s="13"/>
      <c r="E40" s="13"/>
      <c r="F40" s="50"/>
      <c r="G40" s="50"/>
      <c r="H40" s="35"/>
      <c r="I40" s="50"/>
      <c r="J40" s="50"/>
      <c r="K40" s="50"/>
      <c r="L40" s="93" t="str">
        <f aca="true">IF(OR($B40="",$K40=""),"",$K40-TODAY())</f>
        <v/>
      </c>
      <c r="M40" s="94" t="str">
        <f aca="false">IF($B40="","",IF($K40="","∞ Vitalício",IF($L40&lt;0,"■ Vencido",IF($L40&lt;=Listas!$H$6,"▲ A vencer","● Ativo"))))</f>
        <v/>
      </c>
      <c r="N40" s="95"/>
      <c r="O40" s="95"/>
      <c r="P40" s="41" t="str">
        <f aca="false">IF($B40="","",IF(N($N40)=0,0,MIN(1,N($O40)/$N40)))</f>
        <v/>
      </c>
      <c r="Q40" s="73"/>
      <c r="R40" s="73"/>
      <c r="S40" s="73"/>
      <c r="T40" s="13"/>
      <c r="U40" s="13"/>
      <c r="V40" s="13"/>
      <c r="W40" s="11"/>
    </row>
    <row r="41" customFormat="false" ht="21.75" hidden="false" customHeight="true" outlineLevel="0" collapsed="false">
      <c r="A41" s="56" t="str">
        <f aca="false">IF($B41="","","CO-"&amp;TEXT(ROW()-9,"00"))</f>
        <v/>
      </c>
      <c r="B41" s="13"/>
      <c r="C41" s="13"/>
      <c r="D41" s="13"/>
      <c r="E41" s="13"/>
      <c r="F41" s="50"/>
      <c r="G41" s="50"/>
      <c r="H41" s="35"/>
      <c r="I41" s="50"/>
      <c r="J41" s="50"/>
      <c r="K41" s="50"/>
      <c r="L41" s="93" t="str">
        <f aca="true">IF(OR($B41="",$K41=""),"",$K41-TODAY())</f>
        <v/>
      </c>
      <c r="M41" s="94" t="str">
        <f aca="false">IF($B41="","",IF($K41="","∞ Vitalício",IF($L41&lt;0,"■ Vencido",IF($L41&lt;=Listas!$H$6,"▲ A vencer","● Ativo"))))</f>
        <v/>
      </c>
      <c r="N41" s="95"/>
      <c r="O41" s="95"/>
      <c r="P41" s="41" t="str">
        <f aca="false">IF($B41="","",IF(N($N41)=0,0,MIN(1,N($O41)/$N41)))</f>
        <v/>
      </c>
      <c r="Q41" s="73"/>
      <c r="R41" s="73"/>
      <c r="S41" s="73"/>
      <c r="T41" s="13"/>
      <c r="U41" s="13"/>
      <c r="V41" s="13"/>
      <c r="W41" s="11"/>
    </row>
    <row r="42" customFormat="false" ht="21.75" hidden="false" customHeight="true" outlineLevel="0" collapsed="false">
      <c r="A42" s="56" t="str">
        <f aca="false">IF($B42="","","CO-"&amp;TEXT(ROW()-9,"00"))</f>
        <v/>
      </c>
      <c r="B42" s="13"/>
      <c r="C42" s="13"/>
      <c r="D42" s="13"/>
      <c r="E42" s="13"/>
      <c r="F42" s="50"/>
      <c r="G42" s="50"/>
      <c r="H42" s="35"/>
      <c r="I42" s="50"/>
      <c r="J42" s="50"/>
      <c r="K42" s="50"/>
      <c r="L42" s="93" t="str">
        <f aca="true">IF(OR($B42="",$K42=""),"",$K42-TODAY())</f>
        <v/>
      </c>
      <c r="M42" s="94" t="str">
        <f aca="false">IF($B42="","",IF($K42="","∞ Vitalício",IF($L42&lt;0,"■ Vencido",IF($L42&lt;=Listas!$H$6,"▲ A vencer","● Ativo"))))</f>
        <v/>
      </c>
      <c r="N42" s="95"/>
      <c r="O42" s="95"/>
      <c r="P42" s="41" t="str">
        <f aca="false">IF($B42="","",IF(N($N42)=0,0,MIN(1,N($O42)/$N42)))</f>
        <v/>
      </c>
      <c r="Q42" s="73"/>
      <c r="R42" s="73"/>
      <c r="S42" s="73"/>
      <c r="T42" s="13"/>
      <c r="U42" s="13"/>
      <c r="V42" s="13"/>
      <c r="W42" s="11"/>
    </row>
    <row r="43" customFormat="false" ht="21.75" hidden="false" customHeight="true" outlineLevel="0" collapsed="false">
      <c r="A43" s="56" t="str">
        <f aca="false">IF($B43="","","CO-"&amp;TEXT(ROW()-9,"00"))</f>
        <v/>
      </c>
      <c r="B43" s="13"/>
      <c r="C43" s="13"/>
      <c r="D43" s="13"/>
      <c r="E43" s="13"/>
      <c r="F43" s="50"/>
      <c r="G43" s="50"/>
      <c r="H43" s="35"/>
      <c r="I43" s="50"/>
      <c r="J43" s="50"/>
      <c r="K43" s="50"/>
      <c r="L43" s="93" t="str">
        <f aca="true">IF(OR($B43="",$K43=""),"",$K43-TODAY())</f>
        <v/>
      </c>
      <c r="M43" s="94" t="str">
        <f aca="false">IF($B43="","",IF($K43="","∞ Vitalício",IF($L43&lt;0,"■ Vencido",IF($L43&lt;=Listas!$H$6,"▲ A vencer","● Ativo"))))</f>
        <v/>
      </c>
      <c r="N43" s="95"/>
      <c r="O43" s="95"/>
      <c r="P43" s="41" t="str">
        <f aca="false">IF($B43="","",IF(N($N43)=0,0,MIN(1,N($O43)/$N43)))</f>
        <v/>
      </c>
      <c r="Q43" s="73"/>
      <c r="R43" s="73"/>
      <c r="S43" s="73"/>
      <c r="T43" s="13"/>
      <c r="U43" s="13"/>
      <c r="V43" s="13"/>
      <c r="W43" s="11"/>
    </row>
    <row r="44" customFormat="false" ht="21.75" hidden="false" customHeight="true" outlineLevel="0" collapsed="false">
      <c r="A44" s="56" t="str">
        <f aca="false">IF($B44="","","CO-"&amp;TEXT(ROW()-9,"00"))</f>
        <v/>
      </c>
      <c r="B44" s="13"/>
      <c r="C44" s="13"/>
      <c r="D44" s="13"/>
      <c r="E44" s="13"/>
      <c r="F44" s="50"/>
      <c r="G44" s="50"/>
      <c r="H44" s="35"/>
      <c r="I44" s="50"/>
      <c r="J44" s="50"/>
      <c r="K44" s="50"/>
      <c r="L44" s="93" t="str">
        <f aca="true">IF(OR($B44="",$K44=""),"",$K44-TODAY())</f>
        <v/>
      </c>
      <c r="M44" s="94" t="str">
        <f aca="false">IF($B44="","",IF($K44="","∞ Vitalício",IF($L44&lt;0,"■ Vencido",IF($L44&lt;=Listas!$H$6,"▲ A vencer","● Ativo"))))</f>
        <v/>
      </c>
      <c r="N44" s="95"/>
      <c r="O44" s="95"/>
      <c r="P44" s="41" t="str">
        <f aca="false">IF($B44="","",IF(N($N44)=0,0,MIN(1,N($O44)/$N44)))</f>
        <v/>
      </c>
      <c r="Q44" s="73"/>
      <c r="R44" s="73"/>
      <c r="S44" s="73"/>
      <c r="T44" s="13"/>
      <c r="U44" s="13"/>
      <c r="V44" s="13"/>
      <c r="W44" s="11"/>
    </row>
    <row r="45" customFormat="false" ht="21.75" hidden="false" customHeight="true" outlineLevel="0" collapsed="false">
      <c r="A45" s="56" t="str">
        <f aca="false">IF($B45="","","CO-"&amp;TEXT(ROW()-9,"00"))</f>
        <v/>
      </c>
      <c r="B45" s="13"/>
      <c r="C45" s="13"/>
      <c r="D45" s="13"/>
      <c r="E45" s="13"/>
      <c r="F45" s="50"/>
      <c r="G45" s="50"/>
      <c r="H45" s="35"/>
      <c r="I45" s="50"/>
      <c r="J45" s="50"/>
      <c r="K45" s="50"/>
      <c r="L45" s="93" t="str">
        <f aca="true">IF(OR($B45="",$K45=""),"",$K45-TODAY())</f>
        <v/>
      </c>
      <c r="M45" s="94" t="str">
        <f aca="false">IF($B45="","",IF($K45="","∞ Vitalício",IF($L45&lt;0,"■ Vencido",IF($L45&lt;=Listas!$H$6,"▲ A vencer","● Ativo"))))</f>
        <v/>
      </c>
      <c r="N45" s="95"/>
      <c r="O45" s="95"/>
      <c r="P45" s="41" t="str">
        <f aca="false">IF($B45="","",IF(N($N45)=0,0,MIN(1,N($O45)/$N45)))</f>
        <v/>
      </c>
      <c r="Q45" s="73"/>
      <c r="R45" s="73"/>
      <c r="S45" s="73"/>
      <c r="T45" s="13"/>
      <c r="U45" s="13"/>
      <c r="V45" s="13"/>
      <c r="W45" s="11"/>
    </row>
    <row r="46" customFormat="false" ht="21.75" hidden="false" customHeight="true" outlineLevel="0" collapsed="false">
      <c r="A46" s="56" t="str">
        <f aca="false">IF($B46="","","CO-"&amp;TEXT(ROW()-9,"00"))</f>
        <v/>
      </c>
      <c r="B46" s="13"/>
      <c r="C46" s="13"/>
      <c r="D46" s="13"/>
      <c r="E46" s="13"/>
      <c r="F46" s="50"/>
      <c r="G46" s="50"/>
      <c r="H46" s="35"/>
      <c r="I46" s="50"/>
      <c r="J46" s="50"/>
      <c r="K46" s="50"/>
      <c r="L46" s="93" t="str">
        <f aca="true">IF(OR($B46="",$K46=""),"",$K46-TODAY())</f>
        <v/>
      </c>
      <c r="M46" s="94" t="str">
        <f aca="false">IF($B46="","",IF($K46="","∞ Vitalício",IF($L46&lt;0,"■ Vencido",IF($L46&lt;=Listas!$H$6,"▲ A vencer","● Ativo"))))</f>
        <v/>
      </c>
      <c r="N46" s="95"/>
      <c r="O46" s="95"/>
      <c r="P46" s="41" t="str">
        <f aca="false">IF($B46="","",IF(N($N46)=0,0,MIN(1,N($O46)/$N46)))</f>
        <v/>
      </c>
      <c r="Q46" s="73"/>
      <c r="R46" s="73"/>
      <c r="S46" s="73"/>
      <c r="T46" s="13"/>
      <c r="U46" s="13"/>
      <c r="V46" s="13"/>
      <c r="W46" s="11"/>
    </row>
    <row r="47" customFormat="false" ht="21.75" hidden="false" customHeight="true" outlineLevel="0" collapsed="false">
      <c r="A47" s="56" t="str">
        <f aca="false">IF($B47="","","CO-"&amp;TEXT(ROW()-9,"00"))</f>
        <v/>
      </c>
      <c r="B47" s="13"/>
      <c r="C47" s="13"/>
      <c r="D47" s="13"/>
      <c r="E47" s="13"/>
      <c r="F47" s="50"/>
      <c r="G47" s="50"/>
      <c r="H47" s="35"/>
      <c r="I47" s="50"/>
      <c r="J47" s="50"/>
      <c r="K47" s="50"/>
      <c r="L47" s="93" t="str">
        <f aca="true">IF(OR($B47="",$K47=""),"",$K47-TODAY())</f>
        <v/>
      </c>
      <c r="M47" s="94" t="str">
        <f aca="false">IF($B47="","",IF($K47="","∞ Vitalício",IF($L47&lt;0,"■ Vencido",IF($L47&lt;=Listas!$H$6,"▲ A vencer","● Ativo"))))</f>
        <v/>
      </c>
      <c r="N47" s="95"/>
      <c r="O47" s="95"/>
      <c r="P47" s="41" t="str">
        <f aca="false">IF($B47="","",IF(N($N47)=0,0,MIN(1,N($O47)/$N47)))</f>
        <v/>
      </c>
      <c r="Q47" s="73"/>
      <c r="R47" s="73"/>
      <c r="S47" s="73"/>
      <c r="T47" s="13"/>
      <c r="U47" s="13"/>
      <c r="V47" s="13"/>
      <c r="W47" s="11"/>
    </row>
    <row r="48" customFormat="false" ht="21.75" hidden="false" customHeight="true" outlineLevel="0" collapsed="false">
      <c r="A48" s="56" t="str">
        <f aca="false">IF($B48="","","CO-"&amp;TEXT(ROW()-9,"00"))</f>
        <v/>
      </c>
      <c r="B48" s="13"/>
      <c r="C48" s="13"/>
      <c r="D48" s="13"/>
      <c r="E48" s="13"/>
      <c r="F48" s="50"/>
      <c r="G48" s="50"/>
      <c r="H48" s="35"/>
      <c r="I48" s="50"/>
      <c r="J48" s="50"/>
      <c r="K48" s="50"/>
      <c r="L48" s="93" t="str">
        <f aca="true">IF(OR($B48="",$K48=""),"",$K48-TODAY())</f>
        <v/>
      </c>
      <c r="M48" s="94" t="str">
        <f aca="false">IF($B48="","",IF($K48="","∞ Vitalício",IF($L48&lt;0,"■ Vencido",IF($L48&lt;=Listas!$H$6,"▲ A vencer","● Ativo"))))</f>
        <v/>
      </c>
      <c r="N48" s="95"/>
      <c r="O48" s="95"/>
      <c r="P48" s="41" t="str">
        <f aca="false">IF($B48="","",IF(N($N48)=0,0,MIN(1,N($O48)/$N48)))</f>
        <v/>
      </c>
      <c r="Q48" s="73"/>
      <c r="R48" s="73"/>
      <c r="S48" s="73"/>
      <c r="T48" s="13"/>
      <c r="U48" s="13"/>
      <c r="V48" s="13"/>
      <c r="W48" s="11"/>
    </row>
    <row r="49" customFormat="false" ht="21.75" hidden="false" customHeight="true" outlineLevel="0" collapsed="false">
      <c r="A49" s="56" t="str">
        <f aca="false">IF($B49="","","CO-"&amp;TEXT(ROW()-9,"00"))</f>
        <v/>
      </c>
      <c r="B49" s="13"/>
      <c r="C49" s="13"/>
      <c r="D49" s="13"/>
      <c r="E49" s="13"/>
      <c r="F49" s="50"/>
      <c r="G49" s="50"/>
      <c r="H49" s="35"/>
      <c r="I49" s="50"/>
      <c r="J49" s="50"/>
      <c r="K49" s="50"/>
      <c r="L49" s="93" t="str">
        <f aca="true">IF(OR($B49="",$K49=""),"",$K49-TODAY())</f>
        <v/>
      </c>
      <c r="M49" s="94" t="str">
        <f aca="false">IF($B49="","",IF($K49="","∞ Vitalício",IF($L49&lt;0,"■ Vencido",IF($L49&lt;=Listas!$H$6,"▲ A vencer","● Ativo"))))</f>
        <v/>
      </c>
      <c r="N49" s="95"/>
      <c r="O49" s="95"/>
      <c r="P49" s="41" t="str">
        <f aca="false">IF($B49="","",IF(N($N49)=0,0,MIN(1,N($O49)/$N49)))</f>
        <v/>
      </c>
      <c r="Q49" s="73"/>
      <c r="R49" s="73"/>
      <c r="S49" s="73"/>
      <c r="T49" s="13"/>
      <c r="U49" s="13"/>
      <c r="V49" s="13"/>
      <c r="W49" s="11"/>
    </row>
  </sheetData>
  <autoFilter ref="A9:W49"/>
  <mergeCells count="22">
    <mergeCell ref="A1:W1"/>
    <mergeCell ref="A2:T2"/>
    <mergeCell ref="U2:W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Q10:Q49">
    <cfRule type="cellIs" priority="2" operator="equal" aboveAverage="0" equalAverage="0" bottom="0" percent="0" rank="0" text="" dxfId="6">
      <formula>"Concluído"</formula>
    </cfRule>
    <cfRule type="cellIs" priority="3" operator="equal" aboveAverage="0" equalAverage="0" bottom="0" percent="0" rank="0" text="" dxfId="7">
      <formula>"Em andamento"</formula>
    </cfRule>
    <cfRule type="cellIs" priority="4" operator="equal" aboveAverage="0" equalAverage="0" bottom="0" percent="0" rank="0" text="" dxfId="17">
      <formula>"Pausado"</formula>
    </cfRule>
  </conditionalFormatting>
  <conditionalFormatting sqref="R10:R49">
    <cfRule type="cellIs" priority="5" operator="equal" aboveAverage="0" equalAverage="0" bottom="0" percent="0" rank="0" text="" dxfId="18">
      <formula>"Alta"</formula>
    </cfRule>
  </conditionalFormatting>
  <conditionalFormatting sqref="P10:P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{B852EF4F-C9B6-4CEA-A811-B3D1F0DF2045}</x14:id>
        </ext>
      </extLst>
    </cfRule>
  </conditionalFormatting>
  <conditionalFormatting sqref="S10:S49">
    <cfRule type="cellIs" priority="7" operator="equal" aboveAverage="0" equalAverage="0" bottom="0" percent="0" rank="0" text="" dxfId="6">
      <formula>"Emitido"</formula>
    </cfRule>
    <cfRule type="cellIs" priority="8" operator="equal" aboveAverage="0" equalAverage="0" bottom="0" percent="0" rank="0" text="" dxfId="19">
      <formula>"Em emissão"</formula>
    </cfRule>
  </conditionalFormatting>
  <conditionalFormatting sqref="L10:M49">
    <cfRule type="expression" priority="9" aboveAverage="0" equalAverage="0" bottom="0" percent="0" rank="0" text="" dxfId="0">
      <formula>ISNUMBER(SEARCH("Vencido",$M10))</formula>
    </cfRule>
    <cfRule type="expression" priority="10" aboveAverage="0" equalAverage="0" bottom="0" percent="0" rank="0" text="" dxfId="1">
      <formula>ISNUMBER(SEARCH("A vencer",$M10))</formula>
    </cfRule>
    <cfRule type="expression" priority="11" aboveAverage="0" equalAverage="0" bottom="0" percent="0" rank="0" text="" dxfId="20">
      <formula>ISNUMBER(SEARCH("Ativo",$M10))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F10:G49 I10:K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10:H49 N10:O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Q10:Q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R10:R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S10:S49" type="list">
      <formula1>Listas!$F$6:$F$9</formula1>
      <formula2>0</formula2>
    </dataValidation>
  </dataValidations>
  <hyperlinks>
    <hyperlink ref="U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52EF4F-C9B6-4CEA-A811-B3D1F0DF204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P10:P49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9A0"/>
    <pageSetUpPr fitToPage="true"/>
  </sheetPr>
  <dimension ref="A1:R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28"/>
    <col collapsed="false" customWidth="true" hidden="false" outlineLevel="0" max="18" min="18" style="0" width="36"/>
  </cols>
  <sheetData>
    <row r="1" customFormat="false" ht="37.5" hidden="false" customHeight="true" outlineLevel="0" collapsed="false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19.5" hidden="false" customHeight="true" outlineLevel="0" collapsed="false">
      <c r="A2" s="21" t="s">
        <v>190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 t="s">
        <v>56</v>
      </c>
      <c r="Q2" s="22"/>
      <c r="R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143</v>
      </c>
      <c r="C5" s="23"/>
      <c r="D5" s="23" t="s">
        <v>58</v>
      </c>
      <c r="E5" s="23"/>
      <c r="F5" s="23" t="s">
        <v>59</v>
      </c>
      <c r="G5" s="23"/>
      <c r="H5" s="23" t="s">
        <v>144</v>
      </c>
      <c r="I5" s="23"/>
      <c r="J5" s="23" t="s">
        <v>61</v>
      </c>
      <c r="K5" s="23"/>
      <c r="L5" s="23" t="s">
        <v>191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COUNTIF(N10:N49,"Em andamento")</f>
        <v>1</v>
      </c>
      <c r="E6" s="24"/>
      <c r="F6" s="24" t="n">
        <f aca="false">COUNTIF(N10:N49,"Concluído")</f>
        <v>0</v>
      </c>
      <c r="G6" s="24"/>
      <c r="H6" s="25" t="n">
        <f aca="false">SUM(H10:H49)</f>
        <v>49.9</v>
      </c>
      <c r="I6" s="25"/>
      <c r="J6" s="26" t="n">
        <f aca="false">IFERROR(AVERAGE(M10:M49),0)</f>
        <v>0.375</v>
      </c>
      <c r="K6" s="26"/>
      <c r="L6" s="96" t="n">
        <f aca="false">SUM(L10:L49)</f>
        <v>120</v>
      </c>
      <c r="M6" s="96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0" t="s">
        <v>146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customFormat="false" ht="36" hidden="false" customHeight="true" outlineLevel="0" collapsed="false">
      <c r="A9" s="92" t="s">
        <v>147</v>
      </c>
      <c r="B9" s="32" t="s">
        <v>192</v>
      </c>
      <c r="C9" s="32" t="s">
        <v>193</v>
      </c>
      <c r="D9" s="32" t="s">
        <v>194</v>
      </c>
      <c r="E9" s="32" t="s">
        <v>195</v>
      </c>
      <c r="F9" s="32" t="s">
        <v>196</v>
      </c>
      <c r="G9" s="32" t="s">
        <v>151</v>
      </c>
      <c r="H9" s="32" t="s">
        <v>152</v>
      </c>
      <c r="I9" s="32" t="s">
        <v>153</v>
      </c>
      <c r="J9" s="32" t="s">
        <v>154</v>
      </c>
      <c r="K9" s="32" t="s">
        <v>197</v>
      </c>
      <c r="L9" s="32" t="s">
        <v>198</v>
      </c>
      <c r="M9" s="92" t="s">
        <v>160</v>
      </c>
      <c r="N9" s="32" t="s">
        <v>93</v>
      </c>
      <c r="O9" s="32" t="s">
        <v>161</v>
      </c>
      <c r="P9" s="32" t="s">
        <v>199</v>
      </c>
      <c r="Q9" s="32" t="s">
        <v>200</v>
      </c>
      <c r="R9" s="32" t="s">
        <v>166</v>
      </c>
    </row>
    <row r="10" customFormat="false" ht="21.75" hidden="false" customHeight="true" outlineLevel="0" collapsed="false">
      <c r="A10" s="56" t="str">
        <f aca="false">IF($B10="","","LV-"&amp;TEXT(ROW()-9,"00"))</f>
        <v>LV-01</v>
      </c>
      <c r="B10" s="13" t="s">
        <v>140</v>
      </c>
      <c r="C10" s="13" t="s">
        <v>201</v>
      </c>
      <c r="D10" s="13" t="s">
        <v>202</v>
      </c>
      <c r="E10" s="13" t="s">
        <v>203</v>
      </c>
      <c r="F10" s="73" t="s">
        <v>204</v>
      </c>
      <c r="G10" s="50" t="n">
        <v>46285</v>
      </c>
      <c r="H10" s="35" t="n">
        <v>49.9</v>
      </c>
      <c r="I10" s="50" t="n">
        <v>46290</v>
      </c>
      <c r="J10" s="50" t="n">
        <v>46341</v>
      </c>
      <c r="K10" s="95" t="n">
        <v>320</v>
      </c>
      <c r="L10" s="95" t="n">
        <v>120</v>
      </c>
      <c r="M10" s="41" t="n">
        <f aca="false">IF($B10="","",IF(N($K10)=0,0,MIN(1,N($L10)/$K10)))</f>
        <v>0.375</v>
      </c>
      <c r="N10" s="73" t="s">
        <v>41</v>
      </c>
      <c r="O10" s="73" t="s">
        <v>205</v>
      </c>
      <c r="P10" s="95"/>
      <c r="Q10" s="13" t="s">
        <v>206</v>
      </c>
      <c r="R10" s="11" t="s">
        <v>174</v>
      </c>
    </row>
    <row r="11" customFormat="false" ht="21.75" hidden="false" customHeight="true" outlineLevel="0" collapsed="false">
      <c r="A11" s="56" t="str">
        <f aca="false">IF($B11="","","LV-"&amp;TEXT(ROW()-9,"00"))</f>
        <v/>
      </c>
      <c r="B11" s="13"/>
      <c r="C11" s="13"/>
      <c r="D11" s="13"/>
      <c r="E11" s="13"/>
      <c r="F11" s="73"/>
      <c r="G11" s="50"/>
      <c r="H11" s="35"/>
      <c r="I11" s="50"/>
      <c r="J11" s="50"/>
      <c r="K11" s="95"/>
      <c r="L11" s="95"/>
      <c r="M11" s="41" t="str">
        <f aca="false">IF($B11="","",IF(N($K11)=0,0,MIN(1,N($L11)/$K11)))</f>
        <v/>
      </c>
      <c r="N11" s="73"/>
      <c r="O11" s="73"/>
      <c r="P11" s="95"/>
      <c r="Q11" s="13"/>
      <c r="R11" s="11"/>
    </row>
    <row r="12" customFormat="false" ht="21.75" hidden="false" customHeight="true" outlineLevel="0" collapsed="false">
      <c r="A12" s="56" t="str">
        <f aca="false">IF($B12="","","LV-"&amp;TEXT(ROW()-9,"00"))</f>
        <v/>
      </c>
      <c r="B12" s="13"/>
      <c r="C12" s="13"/>
      <c r="D12" s="13"/>
      <c r="E12" s="13"/>
      <c r="F12" s="73"/>
      <c r="G12" s="50"/>
      <c r="H12" s="35"/>
      <c r="I12" s="50"/>
      <c r="J12" s="50"/>
      <c r="K12" s="95"/>
      <c r="L12" s="95"/>
      <c r="M12" s="41" t="str">
        <f aca="false">IF($B12="","",IF(N($K12)=0,0,MIN(1,N($L12)/$K12)))</f>
        <v/>
      </c>
      <c r="N12" s="73"/>
      <c r="O12" s="73"/>
      <c r="P12" s="95"/>
      <c r="Q12" s="13"/>
      <c r="R12" s="11"/>
    </row>
    <row r="13" customFormat="false" ht="21.75" hidden="false" customHeight="true" outlineLevel="0" collapsed="false">
      <c r="A13" s="56" t="str">
        <f aca="false">IF($B13="","","LV-"&amp;TEXT(ROW()-9,"00"))</f>
        <v/>
      </c>
      <c r="B13" s="13"/>
      <c r="C13" s="13"/>
      <c r="D13" s="13"/>
      <c r="E13" s="13"/>
      <c r="F13" s="73"/>
      <c r="G13" s="50"/>
      <c r="H13" s="35"/>
      <c r="I13" s="50"/>
      <c r="J13" s="50"/>
      <c r="K13" s="95"/>
      <c r="L13" s="95"/>
      <c r="M13" s="41" t="str">
        <f aca="false">IF($B13="","",IF(N($K13)=0,0,MIN(1,N($L13)/$K13)))</f>
        <v/>
      </c>
      <c r="N13" s="73"/>
      <c r="O13" s="73"/>
      <c r="P13" s="95"/>
      <c r="Q13" s="13"/>
      <c r="R13" s="11"/>
    </row>
    <row r="14" customFormat="false" ht="21.75" hidden="false" customHeight="true" outlineLevel="0" collapsed="false">
      <c r="A14" s="56" t="str">
        <f aca="false">IF($B14="","","LV-"&amp;TEXT(ROW()-9,"00"))</f>
        <v/>
      </c>
      <c r="B14" s="13"/>
      <c r="C14" s="13"/>
      <c r="D14" s="13"/>
      <c r="E14" s="13"/>
      <c r="F14" s="73"/>
      <c r="G14" s="50"/>
      <c r="H14" s="35"/>
      <c r="I14" s="50"/>
      <c r="J14" s="50"/>
      <c r="K14" s="95"/>
      <c r="L14" s="95"/>
      <c r="M14" s="41" t="str">
        <f aca="false">IF($B14="","",IF(N($K14)=0,0,MIN(1,N($L14)/$K14)))</f>
        <v/>
      </c>
      <c r="N14" s="73"/>
      <c r="O14" s="73"/>
      <c r="P14" s="95"/>
      <c r="Q14" s="13"/>
      <c r="R14" s="11"/>
    </row>
    <row r="15" customFormat="false" ht="21.75" hidden="false" customHeight="true" outlineLevel="0" collapsed="false">
      <c r="A15" s="56" t="str">
        <f aca="false">IF($B15="","","LV-"&amp;TEXT(ROW()-9,"00"))</f>
        <v/>
      </c>
      <c r="B15" s="13"/>
      <c r="C15" s="13"/>
      <c r="D15" s="13"/>
      <c r="E15" s="13"/>
      <c r="F15" s="73"/>
      <c r="G15" s="50"/>
      <c r="H15" s="35"/>
      <c r="I15" s="50"/>
      <c r="J15" s="50"/>
      <c r="K15" s="95"/>
      <c r="L15" s="95"/>
      <c r="M15" s="41" t="str">
        <f aca="false">IF($B15="","",IF(N($K15)=0,0,MIN(1,N($L15)/$K15)))</f>
        <v/>
      </c>
      <c r="N15" s="73"/>
      <c r="O15" s="73"/>
      <c r="P15" s="95"/>
      <c r="Q15" s="13"/>
      <c r="R15" s="11"/>
    </row>
    <row r="16" customFormat="false" ht="21.75" hidden="false" customHeight="true" outlineLevel="0" collapsed="false">
      <c r="A16" s="56" t="str">
        <f aca="false">IF($B16="","","LV-"&amp;TEXT(ROW()-9,"00"))</f>
        <v/>
      </c>
      <c r="B16" s="13"/>
      <c r="C16" s="13"/>
      <c r="D16" s="13"/>
      <c r="E16" s="13"/>
      <c r="F16" s="73"/>
      <c r="G16" s="50"/>
      <c r="H16" s="35"/>
      <c r="I16" s="50"/>
      <c r="J16" s="50"/>
      <c r="K16" s="95"/>
      <c r="L16" s="95"/>
      <c r="M16" s="41" t="str">
        <f aca="false">IF($B16="","",IF(N($K16)=0,0,MIN(1,N($L16)/$K16)))</f>
        <v/>
      </c>
      <c r="N16" s="73"/>
      <c r="O16" s="73"/>
      <c r="P16" s="95"/>
      <c r="Q16" s="13"/>
      <c r="R16" s="11"/>
    </row>
    <row r="17" customFormat="false" ht="21.75" hidden="false" customHeight="true" outlineLevel="0" collapsed="false">
      <c r="A17" s="56" t="str">
        <f aca="false">IF($B17="","","LV-"&amp;TEXT(ROW()-9,"00"))</f>
        <v/>
      </c>
      <c r="B17" s="13"/>
      <c r="C17" s="13"/>
      <c r="D17" s="13"/>
      <c r="E17" s="13"/>
      <c r="F17" s="73"/>
      <c r="G17" s="50"/>
      <c r="H17" s="35"/>
      <c r="I17" s="50"/>
      <c r="J17" s="50"/>
      <c r="K17" s="95"/>
      <c r="L17" s="95"/>
      <c r="M17" s="41" t="str">
        <f aca="false">IF($B17="","",IF(N($K17)=0,0,MIN(1,N($L17)/$K17)))</f>
        <v/>
      </c>
      <c r="N17" s="73"/>
      <c r="O17" s="73"/>
      <c r="P17" s="95"/>
      <c r="Q17" s="13"/>
      <c r="R17" s="11"/>
    </row>
    <row r="18" customFormat="false" ht="21.75" hidden="false" customHeight="true" outlineLevel="0" collapsed="false">
      <c r="A18" s="56" t="str">
        <f aca="false">IF($B18="","","LV-"&amp;TEXT(ROW()-9,"00"))</f>
        <v/>
      </c>
      <c r="B18" s="13"/>
      <c r="C18" s="13"/>
      <c r="D18" s="13"/>
      <c r="E18" s="13"/>
      <c r="F18" s="73"/>
      <c r="G18" s="50"/>
      <c r="H18" s="35"/>
      <c r="I18" s="50"/>
      <c r="J18" s="50"/>
      <c r="K18" s="95"/>
      <c r="L18" s="95"/>
      <c r="M18" s="41" t="str">
        <f aca="false">IF($B18="","",IF(N($K18)=0,0,MIN(1,N($L18)/$K18)))</f>
        <v/>
      </c>
      <c r="N18" s="73"/>
      <c r="O18" s="73"/>
      <c r="P18" s="95"/>
      <c r="Q18" s="13"/>
      <c r="R18" s="11"/>
    </row>
    <row r="19" customFormat="false" ht="21.75" hidden="false" customHeight="true" outlineLevel="0" collapsed="false">
      <c r="A19" s="56" t="str">
        <f aca="false">IF($B19="","","LV-"&amp;TEXT(ROW()-9,"00"))</f>
        <v/>
      </c>
      <c r="B19" s="13"/>
      <c r="C19" s="13"/>
      <c r="D19" s="13"/>
      <c r="E19" s="13"/>
      <c r="F19" s="73"/>
      <c r="G19" s="50"/>
      <c r="H19" s="35"/>
      <c r="I19" s="50"/>
      <c r="J19" s="50"/>
      <c r="K19" s="95"/>
      <c r="L19" s="95"/>
      <c r="M19" s="41" t="str">
        <f aca="false">IF($B19="","",IF(N($K19)=0,0,MIN(1,N($L19)/$K19)))</f>
        <v/>
      </c>
      <c r="N19" s="73"/>
      <c r="O19" s="73"/>
      <c r="P19" s="95"/>
      <c r="Q19" s="13"/>
      <c r="R19" s="11"/>
    </row>
    <row r="20" customFormat="false" ht="21.75" hidden="false" customHeight="true" outlineLevel="0" collapsed="false">
      <c r="A20" s="56" t="str">
        <f aca="false">IF($B20="","","LV-"&amp;TEXT(ROW()-9,"00"))</f>
        <v/>
      </c>
      <c r="B20" s="13"/>
      <c r="C20" s="13"/>
      <c r="D20" s="13"/>
      <c r="E20" s="13"/>
      <c r="F20" s="73"/>
      <c r="G20" s="50"/>
      <c r="H20" s="35"/>
      <c r="I20" s="50"/>
      <c r="J20" s="50"/>
      <c r="K20" s="95"/>
      <c r="L20" s="95"/>
      <c r="M20" s="41" t="str">
        <f aca="false">IF($B20="","",IF(N($K20)=0,0,MIN(1,N($L20)/$K20)))</f>
        <v/>
      </c>
      <c r="N20" s="73"/>
      <c r="O20" s="73"/>
      <c r="P20" s="95"/>
      <c r="Q20" s="13"/>
      <c r="R20" s="11"/>
    </row>
    <row r="21" customFormat="false" ht="21.75" hidden="false" customHeight="true" outlineLevel="0" collapsed="false">
      <c r="A21" s="56" t="str">
        <f aca="false">IF($B21="","","LV-"&amp;TEXT(ROW()-9,"00"))</f>
        <v/>
      </c>
      <c r="B21" s="13"/>
      <c r="C21" s="13"/>
      <c r="D21" s="13"/>
      <c r="E21" s="13"/>
      <c r="F21" s="73"/>
      <c r="G21" s="50"/>
      <c r="H21" s="35"/>
      <c r="I21" s="50"/>
      <c r="J21" s="50"/>
      <c r="K21" s="95"/>
      <c r="L21" s="95"/>
      <c r="M21" s="41" t="str">
        <f aca="false">IF($B21="","",IF(N($K21)=0,0,MIN(1,N($L21)/$K21)))</f>
        <v/>
      </c>
      <c r="N21" s="73"/>
      <c r="O21" s="73"/>
      <c r="P21" s="95"/>
      <c r="Q21" s="13"/>
      <c r="R21" s="11"/>
    </row>
    <row r="22" customFormat="false" ht="21.75" hidden="false" customHeight="true" outlineLevel="0" collapsed="false">
      <c r="A22" s="56" t="str">
        <f aca="false">IF($B22="","","LV-"&amp;TEXT(ROW()-9,"00"))</f>
        <v/>
      </c>
      <c r="B22" s="13"/>
      <c r="C22" s="13"/>
      <c r="D22" s="13"/>
      <c r="E22" s="13"/>
      <c r="F22" s="73"/>
      <c r="G22" s="50"/>
      <c r="H22" s="35"/>
      <c r="I22" s="50"/>
      <c r="J22" s="50"/>
      <c r="K22" s="95"/>
      <c r="L22" s="95"/>
      <c r="M22" s="41" t="str">
        <f aca="false">IF($B22="","",IF(N($K22)=0,0,MIN(1,N($L22)/$K22)))</f>
        <v/>
      </c>
      <c r="N22" s="73"/>
      <c r="O22" s="73"/>
      <c r="P22" s="95"/>
      <c r="Q22" s="13"/>
      <c r="R22" s="11"/>
    </row>
    <row r="23" customFormat="false" ht="21.75" hidden="false" customHeight="true" outlineLevel="0" collapsed="false">
      <c r="A23" s="56" t="str">
        <f aca="false">IF($B23="","","LV-"&amp;TEXT(ROW()-9,"00"))</f>
        <v/>
      </c>
      <c r="B23" s="13"/>
      <c r="C23" s="13"/>
      <c r="D23" s="13"/>
      <c r="E23" s="13"/>
      <c r="F23" s="73"/>
      <c r="G23" s="50"/>
      <c r="H23" s="35"/>
      <c r="I23" s="50"/>
      <c r="J23" s="50"/>
      <c r="K23" s="95"/>
      <c r="L23" s="95"/>
      <c r="M23" s="41" t="str">
        <f aca="false">IF($B23="","",IF(N($K23)=0,0,MIN(1,N($L23)/$K23)))</f>
        <v/>
      </c>
      <c r="N23" s="73"/>
      <c r="O23" s="73"/>
      <c r="P23" s="95"/>
      <c r="Q23" s="13"/>
      <c r="R23" s="11"/>
    </row>
    <row r="24" customFormat="false" ht="21.75" hidden="false" customHeight="true" outlineLevel="0" collapsed="false">
      <c r="A24" s="56" t="str">
        <f aca="false">IF($B24="","","LV-"&amp;TEXT(ROW()-9,"00"))</f>
        <v/>
      </c>
      <c r="B24" s="13"/>
      <c r="C24" s="13"/>
      <c r="D24" s="13"/>
      <c r="E24" s="13"/>
      <c r="F24" s="73"/>
      <c r="G24" s="50"/>
      <c r="H24" s="35"/>
      <c r="I24" s="50"/>
      <c r="J24" s="50"/>
      <c r="K24" s="95"/>
      <c r="L24" s="95"/>
      <c r="M24" s="41" t="str">
        <f aca="false">IF($B24="","",IF(N($K24)=0,0,MIN(1,N($L24)/$K24)))</f>
        <v/>
      </c>
      <c r="N24" s="73"/>
      <c r="O24" s="73"/>
      <c r="P24" s="95"/>
      <c r="Q24" s="13"/>
      <c r="R24" s="11"/>
    </row>
    <row r="25" customFormat="false" ht="21.75" hidden="false" customHeight="true" outlineLevel="0" collapsed="false">
      <c r="A25" s="56" t="str">
        <f aca="false">IF($B25="","","LV-"&amp;TEXT(ROW()-9,"00"))</f>
        <v/>
      </c>
      <c r="B25" s="13"/>
      <c r="C25" s="13"/>
      <c r="D25" s="13"/>
      <c r="E25" s="13"/>
      <c r="F25" s="73"/>
      <c r="G25" s="50"/>
      <c r="H25" s="35"/>
      <c r="I25" s="50"/>
      <c r="J25" s="50"/>
      <c r="K25" s="95"/>
      <c r="L25" s="95"/>
      <c r="M25" s="41" t="str">
        <f aca="false">IF($B25="","",IF(N($K25)=0,0,MIN(1,N($L25)/$K25)))</f>
        <v/>
      </c>
      <c r="N25" s="73"/>
      <c r="O25" s="73"/>
      <c r="P25" s="95"/>
      <c r="Q25" s="13"/>
      <c r="R25" s="11"/>
    </row>
    <row r="26" customFormat="false" ht="21.75" hidden="false" customHeight="true" outlineLevel="0" collapsed="false">
      <c r="A26" s="56" t="str">
        <f aca="false">IF($B26="","","LV-"&amp;TEXT(ROW()-9,"00"))</f>
        <v/>
      </c>
      <c r="B26" s="13"/>
      <c r="C26" s="13"/>
      <c r="D26" s="13"/>
      <c r="E26" s="13"/>
      <c r="F26" s="73"/>
      <c r="G26" s="50"/>
      <c r="H26" s="35"/>
      <c r="I26" s="50"/>
      <c r="J26" s="50"/>
      <c r="K26" s="95"/>
      <c r="L26" s="95"/>
      <c r="M26" s="41" t="str">
        <f aca="false">IF($B26="","",IF(N($K26)=0,0,MIN(1,N($L26)/$K26)))</f>
        <v/>
      </c>
      <c r="N26" s="73"/>
      <c r="O26" s="73"/>
      <c r="P26" s="95"/>
      <c r="Q26" s="13"/>
      <c r="R26" s="11"/>
    </row>
    <row r="27" customFormat="false" ht="21.75" hidden="false" customHeight="true" outlineLevel="0" collapsed="false">
      <c r="A27" s="56" t="str">
        <f aca="false">IF($B27="","","LV-"&amp;TEXT(ROW()-9,"00"))</f>
        <v/>
      </c>
      <c r="B27" s="13"/>
      <c r="C27" s="13"/>
      <c r="D27" s="13"/>
      <c r="E27" s="13"/>
      <c r="F27" s="73"/>
      <c r="G27" s="50"/>
      <c r="H27" s="35"/>
      <c r="I27" s="50"/>
      <c r="J27" s="50"/>
      <c r="K27" s="95"/>
      <c r="L27" s="95"/>
      <c r="M27" s="41" t="str">
        <f aca="false">IF($B27="","",IF(N($K27)=0,0,MIN(1,N($L27)/$K27)))</f>
        <v/>
      </c>
      <c r="N27" s="73"/>
      <c r="O27" s="73"/>
      <c r="P27" s="95"/>
      <c r="Q27" s="13"/>
      <c r="R27" s="11"/>
    </row>
    <row r="28" customFormat="false" ht="21.75" hidden="false" customHeight="true" outlineLevel="0" collapsed="false">
      <c r="A28" s="56" t="str">
        <f aca="false">IF($B28="","","LV-"&amp;TEXT(ROW()-9,"00"))</f>
        <v/>
      </c>
      <c r="B28" s="13"/>
      <c r="C28" s="13"/>
      <c r="D28" s="13"/>
      <c r="E28" s="13"/>
      <c r="F28" s="73"/>
      <c r="G28" s="50"/>
      <c r="H28" s="35"/>
      <c r="I28" s="50"/>
      <c r="J28" s="50"/>
      <c r="K28" s="95"/>
      <c r="L28" s="95"/>
      <c r="M28" s="41" t="str">
        <f aca="false">IF($B28="","",IF(N($K28)=0,0,MIN(1,N($L28)/$K28)))</f>
        <v/>
      </c>
      <c r="N28" s="73"/>
      <c r="O28" s="73"/>
      <c r="P28" s="95"/>
      <c r="Q28" s="13"/>
      <c r="R28" s="11"/>
    </row>
    <row r="29" customFormat="false" ht="21.75" hidden="false" customHeight="true" outlineLevel="0" collapsed="false">
      <c r="A29" s="56" t="str">
        <f aca="false">IF($B29="","","LV-"&amp;TEXT(ROW()-9,"00"))</f>
        <v/>
      </c>
      <c r="B29" s="13"/>
      <c r="C29" s="13"/>
      <c r="D29" s="13"/>
      <c r="E29" s="13"/>
      <c r="F29" s="73"/>
      <c r="G29" s="50"/>
      <c r="H29" s="35"/>
      <c r="I29" s="50"/>
      <c r="J29" s="50"/>
      <c r="K29" s="95"/>
      <c r="L29" s="95"/>
      <c r="M29" s="41" t="str">
        <f aca="false">IF($B29="","",IF(N($K29)=0,0,MIN(1,N($L29)/$K29)))</f>
        <v/>
      </c>
      <c r="N29" s="73"/>
      <c r="O29" s="73"/>
      <c r="P29" s="95"/>
      <c r="Q29" s="13"/>
      <c r="R29" s="11"/>
    </row>
    <row r="30" customFormat="false" ht="21.75" hidden="false" customHeight="true" outlineLevel="0" collapsed="false">
      <c r="A30" s="56" t="str">
        <f aca="false">IF($B30="","","LV-"&amp;TEXT(ROW()-9,"00"))</f>
        <v/>
      </c>
      <c r="B30" s="13"/>
      <c r="C30" s="13"/>
      <c r="D30" s="13"/>
      <c r="E30" s="13"/>
      <c r="F30" s="73"/>
      <c r="G30" s="50"/>
      <c r="H30" s="35"/>
      <c r="I30" s="50"/>
      <c r="J30" s="50"/>
      <c r="K30" s="95"/>
      <c r="L30" s="95"/>
      <c r="M30" s="41" t="str">
        <f aca="false">IF($B30="","",IF(N($K30)=0,0,MIN(1,N($L30)/$K30)))</f>
        <v/>
      </c>
      <c r="N30" s="73"/>
      <c r="O30" s="73"/>
      <c r="P30" s="95"/>
      <c r="Q30" s="13"/>
      <c r="R30" s="11"/>
    </row>
    <row r="31" customFormat="false" ht="21.75" hidden="false" customHeight="true" outlineLevel="0" collapsed="false">
      <c r="A31" s="56" t="str">
        <f aca="false">IF($B31="","","LV-"&amp;TEXT(ROW()-9,"00"))</f>
        <v/>
      </c>
      <c r="B31" s="13"/>
      <c r="C31" s="13"/>
      <c r="D31" s="13"/>
      <c r="E31" s="13"/>
      <c r="F31" s="73"/>
      <c r="G31" s="50"/>
      <c r="H31" s="35"/>
      <c r="I31" s="50"/>
      <c r="J31" s="50"/>
      <c r="K31" s="95"/>
      <c r="L31" s="95"/>
      <c r="M31" s="41" t="str">
        <f aca="false">IF($B31="","",IF(N($K31)=0,0,MIN(1,N($L31)/$K31)))</f>
        <v/>
      </c>
      <c r="N31" s="73"/>
      <c r="O31" s="73"/>
      <c r="P31" s="95"/>
      <c r="Q31" s="13"/>
      <c r="R31" s="11"/>
    </row>
    <row r="32" customFormat="false" ht="21.75" hidden="false" customHeight="true" outlineLevel="0" collapsed="false">
      <c r="A32" s="56" t="str">
        <f aca="false">IF($B32="","","LV-"&amp;TEXT(ROW()-9,"00"))</f>
        <v/>
      </c>
      <c r="B32" s="13"/>
      <c r="C32" s="13"/>
      <c r="D32" s="13"/>
      <c r="E32" s="13"/>
      <c r="F32" s="73"/>
      <c r="G32" s="50"/>
      <c r="H32" s="35"/>
      <c r="I32" s="50"/>
      <c r="J32" s="50"/>
      <c r="K32" s="95"/>
      <c r="L32" s="95"/>
      <c r="M32" s="41" t="str">
        <f aca="false">IF($B32="","",IF(N($K32)=0,0,MIN(1,N($L32)/$K32)))</f>
        <v/>
      </c>
      <c r="N32" s="73"/>
      <c r="O32" s="73"/>
      <c r="P32" s="95"/>
      <c r="Q32" s="13"/>
      <c r="R32" s="11"/>
    </row>
    <row r="33" customFormat="false" ht="21.75" hidden="false" customHeight="true" outlineLevel="0" collapsed="false">
      <c r="A33" s="56" t="str">
        <f aca="false">IF($B33="","","LV-"&amp;TEXT(ROW()-9,"00"))</f>
        <v/>
      </c>
      <c r="B33" s="13"/>
      <c r="C33" s="13"/>
      <c r="D33" s="13"/>
      <c r="E33" s="13"/>
      <c r="F33" s="73"/>
      <c r="G33" s="50"/>
      <c r="H33" s="35"/>
      <c r="I33" s="50"/>
      <c r="J33" s="50"/>
      <c r="K33" s="95"/>
      <c r="L33" s="95"/>
      <c r="M33" s="41" t="str">
        <f aca="false">IF($B33="","",IF(N($K33)=0,0,MIN(1,N($L33)/$K33)))</f>
        <v/>
      </c>
      <c r="N33" s="73"/>
      <c r="O33" s="73"/>
      <c r="P33" s="95"/>
      <c r="Q33" s="13"/>
      <c r="R33" s="11"/>
    </row>
    <row r="34" customFormat="false" ht="21.75" hidden="false" customHeight="true" outlineLevel="0" collapsed="false">
      <c r="A34" s="56" t="str">
        <f aca="false">IF($B34="","","LV-"&amp;TEXT(ROW()-9,"00"))</f>
        <v/>
      </c>
      <c r="B34" s="13"/>
      <c r="C34" s="13"/>
      <c r="D34" s="13"/>
      <c r="E34" s="13"/>
      <c r="F34" s="73"/>
      <c r="G34" s="50"/>
      <c r="H34" s="35"/>
      <c r="I34" s="50"/>
      <c r="J34" s="50"/>
      <c r="K34" s="95"/>
      <c r="L34" s="95"/>
      <c r="M34" s="41" t="str">
        <f aca="false">IF($B34="","",IF(N($K34)=0,0,MIN(1,N($L34)/$K34)))</f>
        <v/>
      </c>
      <c r="N34" s="73"/>
      <c r="O34" s="73"/>
      <c r="P34" s="95"/>
      <c r="Q34" s="13"/>
      <c r="R34" s="11"/>
    </row>
    <row r="35" customFormat="false" ht="21.75" hidden="false" customHeight="true" outlineLevel="0" collapsed="false">
      <c r="A35" s="56" t="str">
        <f aca="false">IF($B35="","","LV-"&amp;TEXT(ROW()-9,"00"))</f>
        <v/>
      </c>
      <c r="B35" s="13"/>
      <c r="C35" s="13"/>
      <c r="D35" s="13"/>
      <c r="E35" s="13"/>
      <c r="F35" s="73"/>
      <c r="G35" s="50"/>
      <c r="H35" s="35"/>
      <c r="I35" s="50"/>
      <c r="J35" s="50"/>
      <c r="K35" s="95"/>
      <c r="L35" s="95"/>
      <c r="M35" s="41" t="str">
        <f aca="false">IF($B35="","",IF(N($K35)=0,0,MIN(1,N($L35)/$K35)))</f>
        <v/>
      </c>
      <c r="N35" s="73"/>
      <c r="O35" s="73"/>
      <c r="P35" s="95"/>
      <c r="Q35" s="13"/>
      <c r="R35" s="11"/>
    </row>
    <row r="36" customFormat="false" ht="21.75" hidden="false" customHeight="true" outlineLevel="0" collapsed="false">
      <c r="A36" s="56" t="str">
        <f aca="false">IF($B36="","","LV-"&amp;TEXT(ROW()-9,"00"))</f>
        <v/>
      </c>
      <c r="B36" s="13"/>
      <c r="C36" s="13"/>
      <c r="D36" s="13"/>
      <c r="E36" s="13"/>
      <c r="F36" s="73"/>
      <c r="G36" s="50"/>
      <c r="H36" s="35"/>
      <c r="I36" s="50"/>
      <c r="J36" s="50"/>
      <c r="K36" s="95"/>
      <c r="L36" s="95"/>
      <c r="M36" s="41" t="str">
        <f aca="false">IF($B36="","",IF(N($K36)=0,0,MIN(1,N($L36)/$K36)))</f>
        <v/>
      </c>
      <c r="N36" s="73"/>
      <c r="O36" s="73"/>
      <c r="P36" s="95"/>
      <c r="Q36" s="13"/>
      <c r="R36" s="11"/>
    </row>
    <row r="37" customFormat="false" ht="21.75" hidden="false" customHeight="true" outlineLevel="0" collapsed="false">
      <c r="A37" s="56" t="str">
        <f aca="false">IF($B37="","","LV-"&amp;TEXT(ROW()-9,"00"))</f>
        <v/>
      </c>
      <c r="B37" s="13"/>
      <c r="C37" s="13"/>
      <c r="D37" s="13"/>
      <c r="E37" s="13"/>
      <c r="F37" s="73"/>
      <c r="G37" s="50"/>
      <c r="H37" s="35"/>
      <c r="I37" s="50"/>
      <c r="J37" s="50"/>
      <c r="K37" s="95"/>
      <c r="L37" s="95"/>
      <c r="M37" s="41" t="str">
        <f aca="false">IF($B37="","",IF(N($K37)=0,0,MIN(1,N($L37)/$K37)))</f>
        <v/>
      </c>
      <c r="N37" s="73"/>
      <c r="O37" s="73"/>
      <c r="P37" s="95"/>
      <c r="Q37" s="13"/>
      <c r="R37" s="11"/>
    </row>
    <row r="38" customFormat="false" ht="21.75" hidden="false" customHeight="true" outlineLevel="0" collapsed="false">
      <c r="A38" s="56" t="str">
        <f aca="false">IF($B38="","","LV-"&amp;TEXT(ROW()-9,"00"))</f>
        <v/>
      </c>
      <c r="B38" s="13"/>
      <c r="C38" s="13"/>
      <c r="D38" s="13"/>
      <c r="E38" s="13"/>
      <c r="F38" s="73"/>
      <c r="G38" s="50"/>
      <c r="H38" s="35"/>
      <c r="I38" s="50"/>
      <c r="J38" s="50"/>
      <c r="K38" s="95"/>
      <c r="L38" s="95"/>
      <c r="M38" s="41" t="str">
        <f aca="false">IF($B38="","",IF(N($K38)=0,0,MIN(1,N($L38)/$K38)))</f>
        <v/>
      </c>
      <c r="N38" s="73"/>
      <c r="O38" s="73"/>
      <c r="P38" s="95"/>
      <c r="Q38" s="13"/>
      <c r="R38" s="11"/>
    </row>
    <row r="39" customFormat="false" ht="21.75" hidden="false" customHeight="true" outlineLevel="0" collapsed="false">
      <c r="A39" s="56" t="str">
        <f aca="false">IF($B39="","","LV-"&amp;TEXT(ROW()-9,"00"))</f>
        <v/>
      </c>
      <c r="B39" s="13"/>
      <c r="C39" s="13"/>
      <c r="D39" s="13"/>
      <c r="E39" s="13"/>
      <c r="F39" s="73"/>
      <c r="G39" s="50"/>
      <c r="H39" s="35"/>
      <c r="I39" s="50"/>
      <c r="J39" s="50"/>
      <c r="K39" s="95"/>
      <c r="L39" s="95"/>
      <c r="M39" s="41" t="str">
        <f aca="false">IF($B39="","",IF(N($K39)=0,0,MIN(1,N($L39)/$K39)))</f>
        <v/>
      </c>
      <c r="N39" s="73"/>
      <c r="O39" s="73"/>
      <c r="P39" s="95"/>
      <c r="Q39" s="13"/>
      <c r="R39" s="11"/>
    </row>
    <row r="40" customFormat="false" ht="21.75" hidden="false" customHeight="true" outlineLevel="0" collapsed="false">
      <c r="A40" s="56" t="str">
        <f aca="false">IF($B40="","","LV-"&amp;TEXT(ROW()-9,"00"))</f>
        <v/>
      </c>
      <c r="B40" s="13"/>
      <c r="C40" s="13"/>
      <c r="D40" s="13"/>
      <c r="E40" s="13"/>
      <c r="F40" s="73"/>
      <c r="G40" s="50"/>
      <c r="H40" s="35"/>
      <c r="I40" s="50"/>
      <c r="J40" s="50"/>
      <c r="K40" s="95"/>
      <c r="L40" s="95"/>
      <c r="M40" s="41" t="str">
        <f aca="false">IF($B40="","",IF(N($K40)=0,0,MIN(1,N($L40)/$K40)))</f>
        <v/>
      </c>
      <c r="N40" s="73"/>
      <c r="O40" s="73"/>
      <c r="P40" s="95"/>
      <c r="Q40" s="13"/>
      <c r="R40" s="11"/>
    </row>
    <row r="41" customFormat="false" ht="21.75" hidden="false" customHeight="true" outlineLevel="0" collapsed="false">
      <c r="A41" s="56" t="str">
        <f aca="false">IF($B41="","","LV-"&amp;TEXT(ROW()-9,"00"))</f>
        <v/>
      </c>
      <c r="B41" s="13"/>
      <c r="C41" s="13"/>
      <c r="D41" s="13"/>
      <c r="E41" s="13"/>
      <c r="F41" s="73"/>
      <c r="G41" s="50"/>
      <c r="H41" s="35"/>
      <c r="I41" s="50"/>
      <c r="J41" s="50"/>
      <c r="K41" s="95"/>
      <c r="L41" s="95"/>
      <c r="M41" s="41" t="str">
        <f aca="false">IF($B41="","",IF(N($K41)=0,0,MIN(1,N($L41)/$K41)))</f>
        <v/>
      </c>
      <c r="N41" s="73"/>
      <c r="O41" s="73"/>
      <c r="P41" s="95"/>
      <c r="Q41" s="13"/>
      <c r="R41" s="11"/>
    </row>
    <row r="42" customFormat="false" ht="21.75" hidden="false" customHeight="true" outlineLevel="0" collapsed="false">
      <c r="A42" s="56" t="str">
        <f aca="false">IF($B42="","","LV-"&amp;TEXT(ROW()-9,"00"))</f>
        <v/>
      </c>
      <c r="B42" s="13"/>
      <c r="C42" s="13"/>
      <c r="D42" s="13"/>
      <c r="E42" s="13"/>
      <c r="F42" s="73"/>
      <c r="G42" s="50"/>
      <c r="H42" s="35"/>
      <c r="I42" s="50"/>
      <c r="J42" s="50"/>
      <c r="K42" s="95"/>
      <c r="L42" s="95"/>
      <c r="M42" s="41" t="str">
        <f aca="false">IF($B42="","",IF(N($K42)=0,0,MIN(1,N($L42)/$K42)))</f>
        <v/>
      </c>
      <c r="N42" s="73"/>
      <c r="O42" s="73"/>
      <c r="P42" s="95"/>
      <c r="Q42" s="13"/>
      <c r="R42" s="11"/>
    </row>
    <row r="43" customFormat="false" ht="21.75" hidden="false" customHeight="true" outlineLevel="0" collapsed="false">
      <c r="A43" s="56" t="str">
        <f aca="false">IF($B43="","","LV-"&amp;TEXT(ROW()-9,"00"))</f>
        <v/>
      </c>
      <c r="B43" s="13"/>
      <c r="C43" s="13"/>
      <c r="D43" s="13"/>
      <c r="E43" s="13"/>
      <c r="F43" s="73"/>
      <c r="G43" s="50"/>
      <c r="H43" s="35"/>
      <c r="I43" s="50"/>
      <c r="J43" s="50"/>
      <c r="K43" s="95"/>
      <c r="L43" s="95"/>
      <c r="M43" s="41" t="str">
        <f aca="false">IF($B43="","",IF(N($K43)=0,0,MIN(1,N($L43)/$K43)))</f>
        <v/>
      </c>
      <c r="N43" s="73"/>
      <c r="O43" s="73"/>
      <c r="P43" s="95"/>
      <c r="Q43" s="13"/>
      <c r="R43" s="11"/>
    </row>
    <row r="44" customFormat="false" ht="21.75" hidden="false" customHeight="true" outlineLevel="0" collapsed="false">
      <c r="A44" s="56" t="str">
        <f aca="false">IF($B44="","","LV-"&amp;TEXT(ROW()-9,"00"))</f>
        <v/>
      </c>
      <c r="B44" s="13"/>
      <c r="C44" s="13"/>
      <c r="D44" s="13"/>
      <c r="E44" s="13"/>
      <c r="F44" s="73"/>
      <c r="G44" s="50"/>
      <c r="H44" s="35"/>
      <c r="I44" s="50"/>
      <c r="J44" s="50"/>
      <c r="K44" s="95"/>
      <c r="L44" s="95"/>
      <c r="M44" s="41" t="str">
        <f aca="false">IF($B44="","",IF(N($K44)=0,0,MIN(1,N($L44)/$K44)))</f>
        <v/>
      </c>
      <c r="N44" s="73"/>
      <c r="O44" s="73"/>
      <c r="P44" s="95"/>
      <c r="Q44" s="13"/>
      <c r="R44" s="11"/>
    </row>
    <row r="45" customFormat="false" ht="21.75" hidden="false" customHeight="true" outlineLevel="0" collapsed="false">
      <c r="A45" s="56" t="str">
        <f aca="false">IF($B45="","","LV-"&amp;TEXT(ROW()-9,"00"))</f>
        <v/>
      </c>
      <c r="B45" s="13"/>
      <c r="C45" s="13"/>
      <c r="D45" s="13"/>
      <c r="E45" s="13"/>
      <c r="F45" s="73"/>
      <c r="G45" s="50"/>
      <c r="H45" s="35"/>
      <c r="I45" s="50"/>
      <c r="J45" s="50"/>
      <c r="K45" s="95"/>
      <c r="L45" s="95"/>
      <c r="M45" s="41" t="str">
        <f aca="false">IF($B45="","",IF(N($K45)=0,0,MIN(1,N($L45)/$K45)))</f>
        <v/>
      </c>
      <c r="N45" s="73"/>
      <c r="O45" s="73"/>
      <c r="P45" s="95"/>
      <c r="Q45" s="13"/>
      <c r="R45" s="11"/>
    </row>
    <row r="46" customFormat="false" ht="21.75" hidden="false" customHeight="true" outlineLevel="0" collapsed="false">
      <c r="A46" s="56" t="str">
        <f aca="false">IF($B46="","","LV-"&amp;TEXT(ROW()-9,"00"))</f>
        <v/>
      </c>
      <c r="B46" s="13"/>
      <c r="C46" s="13"/>
      <c r="D46" s="13"/>
      <c r="E46" s="13"/>
      <c r="F46" s="73"/>
      <c r="G46" s="50"/>
      <c r="H46" s="35"/>
      <c r="I46" s="50"/>
      <c r="J46" s="50"/>
      <c r="K46" s="95"/>
      <c r="L46" s="95"/>
      <c r="M46" s="41" t="str">
        <f aca="false">IF($B46="","",IF(N($K46)=0,0,MIN(1,N($L46)/$K46)))</f>
        <v/>
      </c>
      <c r="N46" s="73"/>
      <c r="O46" s="73"/>
      <c r="P46" s="95"/>
      <c r="Q46" s="13"/>
      <c r="R46" s="11"/>
    </row>
    <row r="47" customFormat="false" ht="21.75" hidden="false" customHeight="true" outlineLevel="0" collapsed="false">
      <c r="A47" s="56" t="str">
        <f aca="false">IF($B47="","","LV-"&amp;TEXT(ROW()-9,"00"))</f>
        <v/>
      </c>
      <c r="B47" s="13"/>
      <c r="C47" s="13"/>
      <c r="D47" s="13"/>
      <c r="E47" s="13"/>
      <c r="F47" s="73"/>
      <c r="G47" s="50"/>
      <c r="H47" s="35"/>
      <c r="I47" s="50"/>
      <c r="J47" s="50"/>
      <c r="K47" s="95"/>
      <c r="L47" s="95"/>
      <c r="M47" s="41" t="str">
        <f aca="false">IF($B47="","",IF(N($K47)=0,0,MIN(1,N($L47)/$K47)))</f>
        <v/>
      </c>
      <c r="N47" s="73"/>
      <c r="O47" s="73"/>
      <c r="P47" s="95"/>
      <c r="Q47" s="13"/>
      <c r="R47" s="11"/>
    </row>
    <row r="48" customFormat="false" ht="21.75" hidden="false" customHeight="true" outlineLevel="0" collapsed="false">
      <c r="A48" s="56" t="str">
        <f aca="false">IF($B48="","","LV-"&amp;TEXT(ROW()-9,"00"))</f>
        <v/>
      </c>
      <c r="B48" s="13"/>
      <c r="C48" s="13"/>
      <c r="D48" s="13"/>
      <c r="E48" s="13"/>
      <c r="F48" s="73"/>
      <c r="G48" s="50"/>
      <c r="H48" s="35"/>
      <c r="I48" s="50"/>
      <c r="J48" s="50"/>
      <c r="K48" s="95"/>
      <c r="L48" s="95"/>
      <c r="M48" s="41" t="str">
        <f aca="false">IF($B48="","",IF(N($K48)=0,0,MIN(1,N($L48)/$K48)))</f>
        <v/>
      </c>
      <c r="N48" s="73"/>
      <c r="O48" s="73"/>
      <c r="P48" s="95"/>
      <c r="Q48" s="13"/>
      <c r="R48" s="11"/>
    </row>
    <row r="49" customFormat="false" ht="21.75" hidden="false" customHeight="true" outlineLevel="0" collapsed="false">
      <c r="A49" s="56" t="str">
        <f aca="false">IF($B49="","","LV-"&amp;TEXT(ROW()-9,"00"))</f>
        <v/>
      </c>
      <c r="B49" s="13"/>
      <c r="C49" s="13"/>
      <c r="D49" s="13"/>
      <c r="E49" s="13"/>
      <c r="F49" s="73"/>
      <c r="G49" s="50"/>
      <c r="H49" s="35"/>
      <c r="I49" s="50"/>
      <c r="J49" s="50"/>
      <c r="K49" s="95"/>
      <c r="L49" s="95"/>
      <c r="M49" s="41" t="str">
        <f aca="false">IF($B49="","",IF(N($K49)=0,0,MIN(1,N($L49)/$K49)))</f>
        <v/>
      </c>
      <c r="N49" s="73"/>
      <c r="O49" s="73"/>
      <c r="P49" s="95"/>
      <c r="Q49" s="13"/>
      <c r="R49" s="11"/>
    </row>
  </sheetData>
  <autoFilter ref="A9:R49"/>
  <mergeCells count="22">
    <mergeCell ref="A1:R1"/>
    <mergeCell ref="A2:O2"/>
    <mergeCell ref="P2:R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N10:N49">
    <cfRule type="cellIs" priority="2" operator="equal" aboveAverage="0" equalAverage="0" bottom="0" percent="0" rank="0" text="" dxfId="6">
      <formula>"Concluído"</formula>
    </cfRule>
    <cfRule type="cellIs" priority="3" operator="equal" aboveAverage="0" equalAverage="0" bottom="0" percent="0" rank="0" text="" dxfId="7">
      <formula>"Em andamento"</formula>
    </cfRule>
    <cfRule type="cellIs" priority="4" operator="equal" aboveAverage="0" equalAverage="0" bottom="0" percent="0" rank="0" text="" dxfId="17">
      <formula>"Pausado"</formula>
    </cfRule>
  </conditionalFormatting>
  <conditionalFormatting sqref="O10:O49">
    <cfRule type="cellIs" priority="5" operator="equal" aboveAverage="0" equalAverage="0" bottom="0" percent="0" rank="0" text="" dxfId="18">
      <formula>"Alta"</formula>
    </cfRule>
  </conditionalFormatting>
  <conditionalFormatting sqref="M10:M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{2A2CBCDE-24FB-40FE-8CB0-90C89E3950D0}</x14:id>
        </ext>
      </extLst>
    </cfRule>
  </conditionalFormatting>
  <dataValidations count="6">
    <dataValidation allowBlank="true" error="Valor inválido para esta coluna." errorStyle="stop" errorTitle="Atenção" operator="greaterThan" showDropDown="false" showErrorMessage="true" showInputMessage="false" sqref="G10:G49 I10:J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10:H49 K10:L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F10:F49" type="list">
      <formula1>Listas!$D$6:$D$9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N10:N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10:O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10:P49" type="whole">
      <formula1>1</formula1>
      <formula2>5</formula2>
    </dataValidation>
  </dataValidations>
  <hyperlinks>
    <hyperlink ref="P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CBCDE-24FB-40FE-8CB0-90C89E3950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M10:M49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U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26"/>
    <col collapsed="false" customWidth="true" hidden="false" outlineLevel="0" max="19" min="19" style="0" width="22"/>
    <col collapsed="false" customWidth="true" hidden="false" outlineLevel="0" max="20" min="20" style="0" width="30"/>
    <col collapsed="false" customWidth="true" hidden="false" outlineLevel="0" max="21" min="21" style="0" width="36"/>
  </cols>
  <sheetData>
    <row r="1" customFormat="false" ht="37.5" hidden="false" customHeight="true" outlineLevel="0" collapsed="false">
      <c r="A1" s="20" t="s">
        <v>207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19.5" hidden="false" customHeight="true" outlineLevel="0" collapsed="false">
      <c r="A2" s="21" t="s">
        <v>208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 t="s">
        <v>56</v>
      </c>
      <c r="T2" s="22"/>
      <c r="U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143</v>
      </c>
      <c r="C5" s="23"/>
      <c r="D5" s="23" t="s">
        <v>58</v>
      </c>
      <c r="E5" s="23"/>
      <c r="F5" s="23" t="s">
        <v>59</v>
      </c>
      <c r="G5" s="23"/>
      <c r="H5" s="23" t="s">
        <v>144</v>
      </c>
      <c r="I5" s="23"/>
      <c r="J5" s="23" t="s">
        <v>61</v>
      </c>
      <c r="K5" s="23"/>
      <c r="L5" s="23" t="s">
        <v>145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COUNTIF(O10:O49,"Em andamento")</f>
        <v>1</v>
      </c>
      <c r="E6" s="24"/>
      <c r="F6" s="24" t="n">
        <f aca="false">COUNTIF(O10:O49,"Concluído")</f>
        <v>0</v>
      </c>
      <c r="G6" s="24"/>
      <c r="H6" s="25" t="n">
        <f aca="false">SUM(F10:F49)</f>
        <v>497</v>
      </c>
      <c r="I6" s="25"/>
      <c r="J6" s="26" t="n">
        <f aca="false">IFERROR(AVERAGE(N10:N49),0)</f>
        <v>0.3</v>
      </c>
      <c r="K6" s="26"/>
      <c r="L6" s="24" t="n">
        <f aca="false">COUNTIF(K10:K49,"*A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0" t="s">
        <v>146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customFormat="false" ht="36" hidden="false" customHeight="true" outlineLevel="0" collapsed="false">
      <c r="A9" s="92" t="s">
        <v>147</v>
      </c>
      <c r="B9" s="32" t="s">
        <v>209</v>
      </c>
      <c r="C9" s="32" t="s">
        <v>210</v>
      </c>
      <c r="D9" s="32" t="s">
        <v>211</v>
      </c>
      <c r="E9" s="32" t="s">
        <v>151</v>
      </c>
      <c r="F9" s="32" t="s">
        <v>152</v>
      </c>
      <c r="G9" s="32" t="s">
        <v>153</v>
      </c>
      <c r="H9" s="32" t="s">
        <v>154</v>
      </c>
      <c r="I9" s="32" t="s">
        <v>155</v>
      </c>
      <c r="J9" s="92" t="s">
        <v>156</v>
      </c>
      <c r="K9" s="92" t="s">
        <v>157</v>
      </c>
      <c r="L9" s="32" t="s">
        <v>212</v>
      </c>
      <c r="M9" s="32" t="s">
        <v>213</v>
      </c>
      <c r="N9" s="92" t="s">
        <v>160</v>
      </c>
      <c r="O9" s="32" t="s">
        <v>93</v>
      </c>
      <c r="P9" s="32" t="s">
        <v>161</v>
      </c>
      <c r="Q9" s="32" t="s">
        <v>162</v>
      </c>
      <c r="R9" s="32" t="s">
        <v>163</v>
      </c>
      <c r="S9" s="32" t="s">
        <v>164</v>
      </c>
      <c r="T9" s="32" t="s">
        <v>165</v>
      </c>
      <c r="U9" s="32" t="s">
        <v>166</v>
      </c>
    </row>
    <row r="10" customFormat="false" ht="21.75" hidden="false" customHeight="true" outlineLevel="0" collapsed="false">
      <c r="A10" s="56" t="str">
        <f aca="false">IF($B10="","","IA-"&amp;TEXT(ROW()-9,"00"))</f>
        <v>IA-01</v>
      </c>
      <c r="B10" s="13" t="s">
        <v>138</v>
      </c>
      <c r="C10" s="13" t="s">
        <v>185</v>
      </c>
      <c r="D10" s="13" t="s">
        <v>214</v>
      </c>
      <c r="E10" s="50" t="n">
        <v>46277</v>
      </c>
      <c r="F10" s="35" t="n">
        <v>497</v>
      </c>
      <c r="G10" s="50" t="n">
        <v>46285</v>
      </c>
      <c r="H10" s="50" t="n">
        <v>46376</v>
      </c>
      <c r="I10" s="50" t="n">
        <v>46642</v>
      </c>
      <c r="J10" s="93" t="n">
        <f aca="true">IF(OR($B10="",$I10=""),"",$I10-TODAY())</f>
        <v>344</v>
      </c>
      <c r="K10" s="94" t="str">
        <f aca="false">IF($B10="","",IF($I10="","∞ Vitalício",IF($J10&lt;0,"■ Vencido",IF($J10&lt;=Listas!$H$6,"▲ A vencer","● Ativo"))))</f>
        <v>● Ativo</v>
      </c>
      <c r="L10" s="95" t="n">
        <v>60</v>
      </c>
      <c r="M10" s="95" t="n">
        <v>18</v>
      </c>
      <c r="N10" s="41" t="n">
        <f aca="false">IF($B10="","",IF(N($L10)=0,0,MIN(1,N($M10)/$L10)))</f>
        <v>0.3</v>
      </c>
      <c r="O10" s="73" t="s">
        <v>41</v>
      </c>
      <c r="P10" s="73" t="s">
        <v>169</v>
      </c>
      <c r="Q10" s="73" t="s">
        <v>170</v>
      </c>
      <c r="R10" s="13" t="s">
        <v>171</v>
      </c>
      <c r="S10" s="13" t="s">
        <v>172</v>
      </c>
      <c r="T10" s="13" t="s">
        <v>189</v>
      </c>
      <c r="U10" s="11" t="s">
        <v>174</v>
      </c>
    </row>
    <row r="11" customFormat="false" ht="21.75" hidden="false" customHeight="true" outlineLevel="0" collapsed="false">
      <c r="A11" s="56" t="str">
        <f aca="false">IF($B11="","","IA-"&amp;TEXT(ROW()-9,"00"))</f>
        <v/>
      </c>
      <c r="B11" s="13"/>
      <c r="C11" s="13"/>
      <c r="D11" s="13"/>
      <c r="E11" s="50"/>
      <c r="F11" s="35"/>
      <c r="G11" s="50"/>
      <c r="H11" s="50"/>
      <c r="I11" s="50"/>
      <c r="J11" s="93" t="str">
        <f aca="true">IF(OR($B11="",$I11=""),"",$I11-TODAY())</f>
        <v/>
      </c>
      <c r="K11" s="94" t="str">
        <f aca="false">IF($B11="","",IF($I11="","∞ Vitalício",IF($J11&lt;0,"■ Vencido",IF($J11&lt;=Listas!$H$6,"▲ A vencer","● Ativo"))))</f>
        <v/>
      </c>
      <c r="L11" s="95"/>
      <c r="M11" s="95"/>
      <c r="N11" s="41" t="str">
        <f aca="false">IF($B11="","",IF(N($L11)=0,0,MIN(1,N($M11)/$L11)))</f>
        <v/>
      </c>
      <c r="O11" s="73"/>
      <c r="P11" s="73"/>
      <c r="Q11" s="73"/>
      <c r="R11" s="13"/>
      <c r="S11" s="13"/>
      <c r="T11" s="13"/>
      <c r="U11" s="11"/>
    </row>
    <row r="12" customFormat="false" ht="21.75" hidden="false" customHeight="true" outlineLevel="0" collapsed="false">
      <c r="A12" s="56" t="str">
        <f aca="false">IF($B12="","","IA-"&amp;TEXT(ROW()-9,"00"))</f>
        <v/>
      </c>
      <c r="B12" s="13"/>
      <c r="C12" s="13"/>
      <c r="D12" s="13"/>
      <c r="E12" s="50"/>
      <c r="F12" s="35"/>
      <c r="G12" s="50"/>
      <c r="H12" s="50"/>
      <c r="I12" s="50"/>
      <c r="J12" s="93" t="str">
        <f aca="true">IF(OR($B12="",$I12=""),"",$I12-TODAY())</f>
        <v/>
      </c>
      <c r="K12" s="94" t="str">
        <f aca="false">IF($B12="","",IF($I12="","∞ Vitalício",IF($J12&lt;0,"■ Vencido",IF($J12&lt;=Listas!$H$6,"▲ A vencer","● Ativo"))))</f>
        <v/>
      </c>
      <c r="L12" s="95"/>
      <c r="M12" s="95"/>
      <c r="N12" s="41" t="str">
        <f aca="false">IF($B12="","",IF(N($L12)=0,0,MIN(1,N($M12)/$L12)))</f>
        <v/>
      </c>
      <c r="O12" s="73"/>
      <c r="P12" s="73"/>
      <c r="Q12" s="73"/>
      <c r="R12" s="13"/>
      <c r="S12" s="13"/>
      <c r="T12" s="13"/>
      <c r="U12" s="11"/>
    </row>
    <row r="13" customFormat="false" ht="21.75" hidden="false" customHeight="true" outlineLevel="0" collapsed="false">
      <c r="A13" s="56" t="str">
        <f aca="false">IF($B13="","","IA-"&amp;TEXT(ROW()-9,"00"))</f>
        <v/>
      </c>
      <c r="B13" s="13"/>
      <c r="C13" s="13"/>
      <c r="D13" s="13"/>
      <c r="E13" s="50"/>
      <c r="F13" s="35"/>
      <c r="G13" s="50"/>
      <c r="H13" s="50"/>
      <c r="I13" s="50"/>
      <c r="J13" s="93" t="str">
        <f aca="true">IF(OR($B13="",$I13=""),"",$I13-TODAY())</f>
        <v/>
      </c>
      <c r="K13" s="94" t="str">
        <f aca="false">IF($B13="","",IF($I13="","∞ Vitalício",IF($J13&lt;0,"■ Vencido",IF($J13&lt;=Listas!$H$6,"▲ A vencer","● Ativo"))))</f>
        <v/>
      </c>
      <c r="L13" s="95"/>
      <c r="M13" s="95"/>
      <c r="N13" s="41" t="str">
        <f aca="false">IF($B13="","",IF(N($L13)=0,0,MIN(1,N($M13)/$L13)))</f>
        <v/>
      </c>
      <c r="O13" s="73"/>
      <c r="P13" s="73"/>
      <c r="Q13" s="73"/>
      <c r="R13" s="13"/>
      <c r="S13" s="13"/>
      <c r="T13" s="13"/>
      <c r="U13" s="11"/>
    </row>
    <row r="14" customFormat="false" ht="21.75" hidden="false" customHeight="true" outlineLevel="0" collapsed="false">
      <c r="A14" s="56" t="str">
        <f aca="false">IF($B14="","","IA-"&amp;TEXT(ROW()-9,"00"))</f>
        <v/>
      </c>
      <c r="B14" s="13"/>
      <c r="C14" s="13"/>
      <c r="D14" s="13"/>
      <c r="E14" s="50"/>
      <c r="F14" s="35"/>
      <c r="G14" s="50"/>
      <c r="H14" s="50"/>
      <c r="I14" s="50"/>
      <c r="J14" s="93" t="str">
        <f aca="true">IF(OR($B14="",$I14=""),"",$I14-TODAY())</f>
        <v/>
      </c>
      <c r="K14" s="94" t="str">
        <f aca="false">IF($B14="","",IF($I14="","∞ Vitalício",IF($J14&lt;0,"■ Vencido",IF($J14&lt;=Listas!$H$6,"▲ A vencer","● Ativo"))))</f>
        <v/>
      </c>
      <c r="L14" s="95"/>
      <c r="M14" s="95"/>
      <c r="N14" s="41" t="str">
        <f aca="false">IF($B14="","",IF(N($L14)=0,0,MIN(1,N($M14)/$L14)))</f>
        <v/>
      </c>
      <c r="O14" s="73"/>
      <c r="P14" s="73"/>
      <c r="Q14" s="73"/>
      <c r="R14" s="13"/>
      <c r="S14" s="13"/>
      <c r="T14" s="13"/>
      <c r="U14" s="11"/>
    </row>
    <row r="15" customFormat="false" ht="21.75" hidden="false" customHeight="true" outlineLevel="0" collapsed="false">
      <c r="A15" s="56" t="str">
        <f aca="false">IF($B15="","","IA-"&amp;TEXT(ROW()-9,"00"))</f>
        <v/>
      </c>
      <c r="B15" s="13"/>
      <c r="C15" s="13"/>
      <c r="D15" s="13"/>
      <c r="E15" s="50"/>
      <c r="F15" s="35"/>
      <c r="G15" s="50"/>
      <c r="H15" s="50"/>
      <c r="I15" s="50"/>
      <c r="J15" s="93" t="str">
        <f aca="true">IF(OR($B15="",$I15=""),"",$I15-TODAY())</f>
        <v/>
      </c>
      <c r="K15" s="94" t="str">
        <f aca="false">IF($B15="","",IF($I15="","∞ Vitalício",IF($J15&lt;0,"■ Vencido",IF($J15&lt;=Listas!$H$6,"▲ A vencer","● Ativo"))))</f>
        <v/>
      </c>
      <c r="L15" s="95"/>
      <c r="M15" s="95"/>
      <c r="N15" s="41" t="str">
        <f aca="false">IF($B15="","",IF(N($L15)=0,0,MIN(1,N($M15)/$L15)))</f>
        <v/>
      </c>
      <c r="O15" s="73"/>
      <c r="P15" s="73"/>
      <c r="Q15" s="73"/>
      <c r="R15" s="13"/>
      <c r="S15" s="13"/>
      <c r="T15" s="13"/>
      <c r="U15" s="11"/>
    </row>
    <row r="16" customFormat="false" ht="21.75" hidden="false" customHeight="true" outlineLevel="0" collapsed="false">
      <c r="A16" s="56" t="str">
        <f aca="false">IF($B16="","","IA-"&amp;TEXT(ROW()-9,"00"))</f>
        <v/>
      </c>
      <c r="B16" s="13"/>
      <c r="C16" s="13"/>
      <c r="D16" s="13"/>
      <c r="E16" s="50"/>
      <c r="F16" s="35"/>
      <c r="G16" s="50"/>
      <c r="H16" s="50"/>
      <c r="I16" s="50"/>
      <c r="J16" s="93" t="str">
        <f aca="true">IF(OR($B16="",$I16=""),"",$I16-TODAY())</f>
        <v/>
      </c>
      <c r="K16" s="94" t="str">
        <f aca="false">IF($B16="","",IF($I16="","∞ Vitalício",IF($J16&lt;0,"■ Vencido",IF($J16&lt;=Listas!$H$6,"▲ A vencer","● Ativo"))))</f>
        <v/>
      </c>
      <c r="L16" s="95"/>
      <c r="M16" s="95"/>
      <c r="N16" s="41" t="str">
        <f aca="false">IF($B16="","",IF(N($L16)=0,0,MIN(1,N($M16)/$L16)))</f>
        <v/>
      </c>
      <c r="O16" s="73"/>
      <c r="P16" s="73"/>
      <c r="Q16" s="73"/>
      <c r="R16" s="13"/>
      <c r="S16" s="13"/>
      <c r="T16" s="13"/>
      <c r="U16" s="11"/>
    </row>
    <row r="17" customFormat="false" ht="21.75" hidden="false" customHeight="true" outlineLevel="0" collapsed="false">
      <c r="A17" s="56" t="str">
        <f aca="false">IF($B17="","","IA-"&amp;TEXT(ROW()-9,"00"))</f>
        <v/>
      </c>
      <c r="B17" s="13"/>
      <c r="C17" s="13"/>
      <c r="D17" s="13"/>
      <c r="E17" s="50"/>
      <c r="F17" s="35"/>
      <c r="G17" s="50"/>
      <c r="H17" s="50"/>
      <c r="I17" s="50"/>
      <c r="J17" s="93" t="str">
        <f aca="true">IF(OR($B17="",$I17=""),"",$I17-TODAY())</f>
        <v/>
      </c>
      <c r="K17" s="94" t="str">
        <f aca="false">IF($B17="","",IF($I17="","∞ Vitalício",IF($J17&lt;0,"■ Vencido",IF($J17&lt;=Listas!$H$6,"▲ A vencer","● Ativo"))))</f>
        <v/>
      </c>
      <c r="L17" s="95"/>
      <c r="M17" s="95"/>
      <c r="N17" s="41" t="str">
        <f aca="false">IF($B17="","",IF(N($L17)=0,0,MIN(1,N($M17)/$L17)))</f>
        <v/>
      </c>
      <c r="O17" s="73"/>
      <c r="P17" s="73"/>
      <c r="Q17" s="73"/>
      <c r="R17" s="13"/>
      <c r="S17" s="13"/>
      <c r="T17" s="13"/>
      <c r="U17" s="11"/>
    </row>
    <row r="18" customFormat="false" ht="21.75" hidden="false" customHeight="true" outlineLevel="0" collapsed="false">
      <c r="A18" s="56" t="str">
        <f aca="false">IF($B18="","","IA-"&amp;TEXT(ROW()-9,"00"))</f>
        <v/>
      </c>
      <c r="B18" s="13"/>
      <c r="C18" s="13"/>
      <c r="D18" s="13"/>
      <c r="E18" s="50"/>
      <c r="F18" s="35"/>
      <c r="G18" s="50"/>
      <c r="H18" s="50"/>
      <c r="I18" s="50"/>
      <c r="J18" s="93" t="str">
        <f aca="true">IF(OR($B18="",$I18=""),"",$I18-TODAY())</f>
        <v/>
      </c>
      <c r="K18" s="94" t="str">
        <f aca="false">IF($B18="","",IF($I18="","∞ Vitalício",IF($J18&lt;0,"■ Vencido",IF($J18&lt;=Listas!$H$6,"▲ A vencer","● Ativo"))))</f>
        <v/>
      </c>
      <c r="L18" s="95"/>
      <c r="M18" s="95"/>
      <c r="N18" s="41" t="str">
        <f aca="false">IF($B18="","",IF(N($L18)=0,0,MIN(1,N($M18)/$L18)))</f>
        <v/>
      </c>
      <c r="O18" s="73"/>
      <c r="P18" s="73"/>
      <c r="Q18" s="73"/>
      <c r="R18" s="13"/>
      <c r="S18" s="13"/>
      <c r="T18" s="13"/>
      <c r="U18" s="11"/>
    </row>
    <row r="19" customFormat="false" ht="21.75" hidden="false" customHeight="true" outlineLevel="0" collapsed="false">
      <c r="A19" s="56" t="str">
        <f aca="false">IF($B19="","","IA-"&amp;TEXT(ROW()-9,"00"))</f>
        <v/>
      </c>
      <c r="B19" s="13"/>
      <c r="C19" s="13"/>
      <c r="D19" s="13"/>
      <c r="E19" s="50"/>
      <c r="F19" s="35"/>
      <c r="G19" s="50"/>
      <c r="H19" s="50"/>
      <c r="I19" s="50"/>
      <c r="J19" s="93" t="str">
        <f aca="true">IF(OR($B19="",$I19=""),"",$I19-TODAY())</f>
        <v/>
      </c>
      <c r="K19" s="94" t="str">
        <f aca="false">IF($B19="","",IF($I19="","∞ Vitalício",IF($J19&lt;0,"■ Vencido",IF($J19&lt;=Listas!$H$6,"▲ A vencer","● Ativo"))))</f>
        <v/>
      </c>
      <c r="L19" s="95"/>
      <c r="M19" s="95"/>
      <c r="N19" s="41" t="str">
        <f aca="false">IF($B19="","",IF(N($L19)=0,0,MIN(1,N($M19)/$L19)))</f>
        <v/>
      </c>
      <c r="O19" s="73"/>
      <c r="P19" s="73"/>
      <c r="Q19" s="73"/>
      <c r="R19" s="13"/>
      <c r="S19" s="13"/>
      <c r="T19" s="13"/>
      <c r="U19" s="11"/>
    </row>
    <row r="20" customFormat="false" ht="21.75" hidden="false" customHeight="true" outlineLevel="0" collapsed="false">
      <c r="A20" s="56" t="str">
        <f aca="false">IF($B20="","","IA-"&amp;TEXT(ROW()-9,"00"))</f>
        <v/>
      </c>
      <c r="B20" s="13"/>
      <c r="C20" s="13"/>
      <c r="D20" s="13"/>
      <c r="E20" s="50"/>
      <c r="F20" s="35"/>
      <c r="G20" s="50"/>
      <c r="H20" s="50"/>
      <c r="I20" s="50"/>
      <c r="J20" s="93" t="str">
        <f aca="true">IF(OR($B20="",$I20=""),"",$I20-TODAY())</f>
        <v/>
      </c>
      <c r="K20" s="94" t="str">
        <f aca="false">IF($B20="","",IF($I20="","∞ Vitalício",IF($J20&lt;0,"■ Vencido",IF($J20&lt;=Listas!$H$6,"▲ A vencer","● Ativo"))))</f>
        <v/>
      </c>
      <c r="L20" s="95"/>
      <c r="M20" s="95"/>
      <c r="N20" s="41" t="str">
        <f aca="false">IF($B20="","",IF(N($L20)=0,0,MIN(1,N($M20)/$L20)))</f>
        <v/>
      </c>
      <c r="O20" s="73"/>
      <c r="P20" s="73"/>
      <c r="Q20" s="73"/>
      <c r="R20" s="13"/>
      <c r="S20" s="13"/>
      <c r="T20" s="13"/>
      <c r="U20" s="11"/>
    </row>
    <row r="21" customFormat="false" ht="21.75" hidden="false" customHeight="true" outlineLevel="0" collapsed="false">
      <c r="A21" s="56" t="str">
        <f aca="false">IF($B21="","","IA-"&amp;TEXT(ROW()-9,"00"))</f>
        <v/>
      </c>
      <c r="B21" s="13"/>
      <c r="C21" s="13"/>
      <c r="D21" s="13"/>
      <c r="E21" s="50"/>
      <c r="F21" s="35"/>
      <c r="G21" s="50"/>
      <c r="H21" s="50"/>
      <c r="I21" s="50"/>
      <c r="J21" s="93" t="str">
        <f aca="true">IF(OR($B21="",$I21=""),"",$I21-TODAY())</f>
        <v/>
      </c>
      <c r="K21" s="94" t="str">
        <f aca="false">IF($B21="","",IF($I21="","∞ Vitalício",IF($J21&lt;0,"■ Vencido",IF($J21&lt;=Listas!$H$6,"▲ A vencer","● Ativo"))))</f>
        <v/>
      </c>
      <c r="L21" s="95"/>
      <c r="M21" s="95"/>
      <c r="N21" s="41" t="str">
        <f aca="false">IF($B21="","",IF(N($L21)=0,0,MIN(1,N($M21)/$L21)))</f>
        <v/>
      </c>
      <c r="O21" s="73"/>
      <c r="P21" s="73"/>
      <c r="Q21" s="73"/>
      <c r="R21" s="13"/>
      <c r="S21" s="13"/>
      <c r="T21" s="13"/>
      <c r="U21" s="11"/>
    </row>
    <row r="22" customFormat="false" ht="21.75" hidden="false" customHeight="true" outlineLevel="0" collapsed="false">
      <c r="A22" s="56" t="str">
        <f aca="false">IF($B22="","","IA-"&amp;TEXT(ROW()-9,"00"))</f>
        <v/>
      </c>
      <c r="B22" s="13"/>
      <c r="C22" s="13"/>
      <c r="D22" s="13"/>
      <c r="E22" s="50"/>
      <c r="F22" s="35"/>
      <c r="G22" s="50"/>
      <c r="H22" s="50"/>
      <c r="I22" s="50"/>
      <c r="J22" s="93" t="str">
        <f aca="true">IF(OR($B22="",$I22=""),"",$I22-TODAY())</f>
        <v/>
      </c>
      <c r="K22" s="94" t="str">
        <f aca="false">IF($B22="","",IF($I22="","∞ Vitalício",IF($J22&lt;0,"■ Vencido",IF($J22&lt;=Listas!$H$6,"▲ A vencer","● Ativo"))))</f>
        <v/>
      </c>
      <c r="L22" s="95"/>
      <c r="M22" s="95"/>
      <c r="N22" s="41" t="str">
        <f aca="false">IF($B22="","",IF(N($L22)=0,0,MIN(1,N($M22)/$L22)))</f>
        <v/>
      </c>
      <c r="O22" s="73"/>
      <c r="P22" s="73"/>
      <c r="Q22" s="73"/>
      <c r="R22" s="13"/>
      <c r="S22" s="13"/>
      <c r="T22" s="13"/>
      <c r="U22" s="11"/>
    </row>
    <row r="23" customFormat="false" ht="21.75" hidden="false" customHeight="true" outlineLevel="0" collapsed="false">
      <c r="A23" s="56" t="str">
        <f aca="false">IF($B23="","","IA-"&amp;TEXT(ROW()-9,"00"))</f>
        <v/>
      </c>
      <c r="B23" s="13"/>
      <c r="C23" s="13"/>
      <c r="D23" s="13"/>
      <c r="E23" s="50"/>
      <c r="F23" s="35"/>
      <c r="G23" s="50"/>
      <c r="H23" s="50"/>
      <c r="I23" s="50"/>
      <c r="J23" s="93" t="str">
        <f aca="true">IF(OR($B23="",$I23=""),"",$I23-TODAY())</f>
        <v/>
      </c>
      <c r="K23" s="94" t="str">
        <f aca="false">IF($B23="","",IF($I23="","∞ Vitalício",IF($J23&lt;0,"■ Vencido",IF($J23&lt;=Listas!$H$6,"▲ A vencer","● Ativo"))))</f>
        <v/>
      </c>
      <c r="L23" s="95"/>
      <c r="M23" s="95"/>
      <c r="N23" s="41" t="str">
        <f aca="false">IF($B23="","",IF(N($L23)=0,0,MIN(1,N($M23)/$L23)))</f>
        <v/>
      </c>
      <c r="O23" s="73"/>
      <c r="P23" s="73"/>
      <c r="Q23" s="73"/>
      <c r="R23" s="13"/>
      <c r="S23" s="13"/>
      <c r="T23" s="13"/>
      <c r="U23" s="11"/>
    </row>
    <row r="24" customFormat="false" ht="21.75" hidden="false" customHeight="true" outlineLevel="0" collapsed="false">
      <c r="A24" s="56" t="str">
        <f aca="false">IF($B24="","","IA-"&amp;TEXT(ROW()-9,"00"))</f>
        <v/>
      </c>
      <c r="B24" s="13"/>
      <c r="C24" s="13"/>
      <c r="D24" s="13"/>
      <c r="E24" s="50"/>
      <c r="F24" s="35"/>
      <c r="G24" s="50"/>
      <c r="H24" s="50"/>
      <c r="I24" s="50"/>
      <c r="J24" s="93" t="str">
        <f aca="true">IF(OR($B24="",$I24=""),"",$I24-TODAY())</f>
        <v/>
      </c>
      <c r="K24" s="94" t="str">
        <f aca="false">IF($B24="","",IF($I24="","∞ Vitalício",IF($J24&lt;0,"■ Vencido",IF($J24&lt;=Listas!$H$6,"▲ A vencer","● Ativo"))))</f>
        <v/>
      </c>
      <c r="L24" s="95"/>
      <c r="M24" s="95"/>
      <c r="N24" s="41" t="str">
        <f aca="false">IF($B24="","",IF(N($L24)=0,0,MIN(1,N($M24)/$L24)))</f>
        <v/>
      </c>
      <c r="O24" s="73"/>
      <c r="P24" s="73"/>
      <c r="Q24" s="73"/>
      <c r="R24" s="13"/>
      <c r="S24" s="13"/>
      <c r="T24" s="13"/>
      <c r="U24" s="11"/>
    </row>
    <row r="25" customFormat="false" ht="21.75" hidden="false" customHeight="true" outlineLevel="0" collapsed="false">
      <c r="A25" s="56" t="str">
        <f aca="false">IF($B25="","","IA-"&amp;TEXT(ROW()-9,"00"))</f>
        <v/>
      </c>
      <c r="B25" s="13"/>
      <c r="C25" s="13"/>
      <c r="D25" s="13"/>
      <c r="E25" s="50"/>
      <c r="F25" s="35"/>
      <c r="G25" s="50"/>
      <c r="H25" s="50"/>
      <c r="I25" s="50"/>
      <c r="J25" s="93" t="str">
        <f aca="true">IF(OR($B25="",$I25=""),"",$I25-TODAY())</f>
        <v/>
      </c>
      <c r="K25" s="94" t="str">
        <f aca="false">IF($B25="","",IF($I25="","∞ Vitalício",IF($J25&lt;0,"■ Vencido",IF($J25&lt;=Listas!$H$6,"▲ A vencer","● Ativo"))))</f>
        <v/>
      </c>
      <c r="L25" s="95"/>
      <c r="M25" s="95"/>
      <c r="N25" s="41" t="str">
        <f aca="false">IF($B25="","",IF(N($L25)=0,0,MIN(1,N($M25)/$L25)))</f>
        <v/>
      </c>
      <c r="O25" s="73"/>
      <c r="P25" s="73"/>
      <c r="Q25" s="73"/>
      <c r="R25" s="13"/>
      <c r="S25" s="13"/>
      <c r="T25" s="13"/>
      <c r="U25" s="11"/>
    </row>
    <row r="26" customFormat="false" ht="21.75" hidden="false" customHeight="true" outlineLevel="0" collapsed="false">
      <c r="A26" s="56" t="str">
        <f aca="false">IF($B26="","","IA-"&amp;TEXT(ROW()-9,"00"))</f>
        <v/>
      </c>
      <c r="B26" s="13"/>
      <c r="C26" s="13"/>
      <c r="D26" s="13"/>
      <c r="E26" s="50"/>
      <c r="F26" s="35"/>
      <c r="G26" s="50"/>
      <c r="H26" s="50"/>
      <c r="I26" s="50"/>
      <c r="J26" s="93" t="str">
        <f aca="true">IF(OR($B26="",$I26=""),"",$I26-TODAY())</f>
        <v/>
      </c>
      <c r="K26" s="94" t="str">
        <f aca="false">IF($B26="","",IF($I26="","∞ Vitalício",IF($J26&lt;0,"■ Vencido",IF($J26&lt;=Listas!$H$6,"▲ A vencer","● Ativo"))))</f>
        <v/>
      </c>
      <c r="L26" s="95"/>
      <c r="M26" s="95"/>
      <c r="N26" s="41" t="str">
        <f aca="false">IF($B26="","",IF(N($L26)=0,0,MIN(1,N($M26)/$L26)))</f>
        <v/>
      </c>
      <c r="O26" s="73"/>
      <c r="P26" s="73"/>
      <c r="Q26" s="73"/>
      <c r="R26" s="13"/>
      <c r="S26" s="13"/>
      <c r="T26" s="13"/>
      <c r="U26" s="11"/>
    </row>
    <row r="27" customFormat="false" ht="21.75" hidden="false" customHeight="true" outlineLevel="0" collapsed="false">
      <c r="A27" s="56" t="str">
        <f aca="false">IF($B27="","","IA-"&amp;TEXT(ROW()-9,"00"))</f>
        <v/>
      </c>
      <c r="B27" s="13"/>
      <c r="C27" s="13"/>
      <c r="D27" s="13"/>
      <c r="E27" s="50"/>
      <c r="F27" s="35"/>
      <c r="G27" s="50"/>
      <c r="H27" s="50"/>
      <c r="I27" s="50"/>
      <c r="J27" s="93" t="str">
        <f aca="true">IF(OR($B27="",$I27=""),"",$I27-TODAY())</f>
        <v/>
      </c>
      <c r="K27" s="94" t="str">
        <f aca="false">IF($B27="","",IF($I27="","∞ Vitalício",IF($J27&lt;0,"■ Vencido",IF($J27&lt;=Listas!$H$6,"▲ A vencer","● Ativo"))))</f>
        <v/>
      </c>
      <c r="L27" s="95"/>
      <c r="M27" s="95"/>
      <c r="N27" s="41" t="str">
        <f aca="false">IF($B27="","",IF(N($L27)=0,0,MIN(1,N($M27)/$L27)))</f>
        <v/>
      </c>
      <c r="O27" s="73"/>
      <c r="P27" s="73"/>
      <c r="Q27" s="73"/>
      <c r="R27" s="13"/>
      <c r="S27" s="13"/>
      <c r="T27" s="13"/>
      <c r="U27" s="11"/>
    </row>
    <row r="28" customFormat="false" ht="21.75" hidden="false" customHeight="true" outlineLevel="0" collapsed="false">
      <c r="A28" s="56" t="str">
        <f aca="false">IF($B28="","","IA-"&amp;TEXT(ROW()-9,"00"))</f>
        <v/>
      </c>
      <c r="B28" s="13"/>
      <c r="C28" s="13"/>
      <c r="D28" s="13"/>
      <c r="E28" s="50"/>
      <c r="F28" s="35"/>
      <c r="G28" s="50"/>
      <c r="H28" s="50"/>
      <c r="I28" s="50"/>
      <c r="J28" s="93" t="str">
        <f aca="true">IF(OR($B28="",$I28=""),"",$I28-TODAY())</f>
        <v/>
      </c>
      <c r="K28" s="94" t="str">
        <f aca="false">IF($B28="","",IF($I28="","∞ Vitalício",IF($J28&lt;0,"■ Vencido",IF($J28&lt;=Listas!$H$6,"▲ A vencer","● Ativo"))))</f>
        <v/>
      </c>
      <c r="L28" s="95"/>
      <c r="M28" s="95"/>
      <c r="N28" s="41" t="str">
        <f aca="false">IF($B28="","",IF(N($L28)=0,0,MIN(1,N($M28)/$L28)))</f>
        <v/>
      </c>
      <c r="O28" s="73"/>
      <c r="P28" s="73"/>
      <c r="Q28" s="73"/>
      <c r="R28" s="13"/>
      <c r="S28" s="13"/>
      <c r="T28" s="13"/>
      <c r="U28" s="11"/>
    </row>
    <row r="29" customFormat="false" ht="21.75" hidden="false" customHeight="true" outlineLevel="0" collapsed="false">
      <c r="A29" s="56" t="str">
        <f aca="false">IF($B29="","","IA-"&amp;TEXT(ROW()-9,"00"))</f>
        <v/>
      </c>
      <c r="B29" s="13"/>
      <c r="C29" s="13"/>
      <c r="D29" s="13"/>
      <c r="E29" s="50"/>
      <c r="F29" s="35"/>
      <c r="G29" s="50"/>
      <c r="H29" s="50"/>
      <c r="I29" s="50"/>
      <c r="J29" s="93" t="str">
        <f aca="true">IF(OR($B29="",$I29=""),"",$I29-TODAY())</f>
        <v/>
      </c>
      <c r="K29" s="94" t="str">
        <f aca="false">IF($B29="","",IF($I29="","∞ Vitalício",IF($J29&lt;0,"■ Vencido",IF($J29&lt;=Listas!$H$6,"▲ A vencer","● Ativo"))))</f>
        <v/>
      </c>
      <c r="L29" s="95"/>
      <c r="M29" s="95"/>
      <c r="N29" s="41" t="str">
        <f aca="false">IF($B29="","",IF(N($L29)=0,0,MIN(1,N($M29)/$L29)))</f>
        <v/>
      </c>
      <c r="O29" s="73"/>
      <c r="P29" s="73"/>
      <c r="Q29" s="73"/>
      <c r="R29" s="13"/>
      <c r="S29" s="13"/>
      <c r="T29" s="13"/>
      <c r="U29" s="11"/>
    </row>
    <row r="30" customFormat="false" ht="21.75" hidden="false" customHeight="true" outlineLevel="0" collapsed="false">
      <c r="A30" s="56" t="str">
        <f aca="false">IF($B30="","","IA-"&amp;TEXT(ROW()-9,"00"))</f>
        <v/>
      </c>
      <c r="B30" s="13"/>
      <c r="C30" s="13"/>
      <c r="D30" s="13"/>
      <c r="E30" s="50"/>
      <c r="F30" s="35"/>
      <c r="G30" s="50"/>
      <c r="H30" s="50"/>
      <c r="I30" s="50"/>
      <c r="J30" s="93" t="str">
        <f aca="true">IF(OR($B30="",$I30=""),"",$I30-TODAY())</f>
        <v/>
      </c>
      <c r="K30" s="94" t="str">
        <f aca="false">IF($B30="","",IF($I30="","∞ Vitalício",IF($J30&lt;0,"■ Vencido",IF($J30&lt;=Listas!$H$6,"▲ A vencer","● Ativo"))))</f>
        <v/>
      </c>
      <c r="L30" s="95"/>
      <c r="M30" s="95"/>
      <c r="N30" s="41" t="str">
        <f aca="false">IF($B30="","",IF(N($L30)=0,0,MIN(1,N($M30)/$L30)))</f>
        <v/>
      </c>
      <c r="O30" s="73"/>
      <c r="P30" s="73"/>
      <c r="Q30" s="73"/>
      <c r="R30" s="13"/>
      <c r="S30" s="13"/>
      <c r="T30" s="13"/>
      <c r="U30" s="11"/>
    </row>
    <row r="31" customFormat="false" ht="21.75" hidden="false" customHeight="true" outlineLevel="0" collapsed="false">
      <c r="A31" s="56" t="str">
        <f aca="false">IF($B31="","","IA-"&amp;TEXT(ROW()-9,"00"))</f>
        <v/>
      </c>
      <c r="B31" s="13"/>
      <c r="C31" s="13"/>
      <c r="D31" s="13"/>
      <c r="E31" s="50"/>
      <c r="F31" s="35"/>
      <c r="G31" s="50"/>
      <c r="H31" s="50"/>
      <c r="I31" s="50"/>
      <c r="J31" s="93" t="str">
        <f aca="true">IF(OR($B31="",$I31=""),"",$I31-TODAY())</f>
        <v/>
      </c>
      <c r="K31" s="94" t="str">
        <f aca="false">IF($B31="","",IF($I31="","∞ Vitalício",IF($J31&lt;0,"■ Vencido",IF($J31&lt;=Listas!$H$6,"▲ A vencer","● Ativo"))))</f>
        <v/>
      </c>
      <c r="L31" s="95"/>
      <c r="M31" s="95"/>
      <c r="N31" s="41" t="str">
        <f aca="false">IF($B31="","",IF(N($L31)=0,0,MIN(1,N($M31)/$L31)))</f>
        <v/>
      </c>
      <c r="O31" s="73"/>
      <c r="P31" s="73"/>
      <c r="Q31" s="73"/>
      <c r="R31" s="13"/>
      <c r="S31" s="13"/>
      <c r="T31" s="13"/>
      <c r="U31" s="11"/>
    </row>
    <row r="32" customFormat="false" ht="21.75" hidden="false" customHeight="true" outlineLevel="0" collapsed="false">
      <c r="A32" s="56" t="str">
        <f aca="false">IF($B32="","","IA-"&amp;TEXT(ROW()-9,"00"))</f>
        <v/>
      </c>
      <c r="B32" s="13"/>
      <c r="C32" s="13"/>
      <c r="D32" s="13"/>
      <c r="E32" s="50"/>
      <c r="F32" s="35"/>
      <c r="G32" s="50"/>
      <c r="H32" s="50"/>
      <c r="I32" s="50"/>
      <c r="J32" s="93" t="str">
        <f aca="true">IF(OR($B32="",$I32=""),"",$I32-TODAY())</f>
        <v/>
      </c>
      <c r="K32" s="94" t="str">
        <f aca="false">IF($B32="","",IF($I32="","∞ Vitalício",IF($J32&lt;0,"■ Vencido",IF($J32&lt;=Listas!$H$6,"▲ A vencer","● Ativo"))))</f>
        <v/>
      </c>
      <c r="L32" s="95"/>
      <c r="M32" s="95"/>
      <c r="N32" s="41" t="str">
        <f aca="false">IF($B32="","",IF(N($L32)=0,0,MIN(1,N($M32)/$L32)))</f>
        <v/>
      </c>
      <c r="O32" s="73"/>
      <c r="P32" s="73"/>
      <c r="Q32" s="73"/>
      <c r="R32" s="13"/>
      <c r="S32" s="13"/>
      <c r="T32" s="13"/>
      <c r="U32" s="11"/>
    </row>
    <row r="33" customFormat="false" ht="21.75" hidden="false" customHeight="true" outlineLevel="0" collapsed="false">
      <c r="A33" s="56" t="str">
        <f aca="false">IF($B33="","","IA-"&amp;TEXT(ROW()-9,"00"))</f>
        <v/>
      </c>
      <c r="B33" s="13"/>
      <c r="C33" s="13"/>
      <c r="D33" s="13"/>
      <c r="E33" s="50"/>
      <c r="F33" s="35"/>
      <c r="G33" s="50"/>
      <c r="H33" s="50"/>
      <c r="I33" s="50"/>
      <c r="J33" s="93" t="str">
        <f aca="true">IF(OR($B33="",$I33=""),"",$I33-TODAY())</f>
        <v/>
      </c>
      <c r="K33" s="94" t="str">
        <f aca="false">IF($B33="","",IF($I33="","∞ Vitalício",IF($J33&lt;0,"■ Vencido",IF($J33&lt;=Listas!$H$6,"▲ A vencer","● Ativo"))))</f>
        <v/>
      </c>
      <c r="L33" s="95"/>
      <c r="M33" s="95"/>
      <c r="N33" s="41" t="str">
        <f aca="false">IF($B33="","",IF(N($L33)=0,0,MIN(1,N($M33)/$L33)))</f>
        <v/>
      </c>
      <c r="O33" s="73"/>
      <c r="P33" s="73"/>
      <c r="Q33" s="73"/>
      <c r="R33" s="13"/>
      <c r="S33" s="13"/>
      <c r="T33" s="13"/>
      <c r="U33" s="11"/>
    </row>
    <row r="34" customFormat="false" ht="21.75" hidden="false" customHeight="true" outlineLevel="0" collapsed="false">
      <c r="A34" s="56" t="str">
        <f aca="false">IF($B34="","","IA-"&amp;TEXT(ROW()-9,"00"))</f>
        <v/>
      </c>
      <c r="B34" s="13"/>
      <c r="C34" s="13"/>
      <c r="D34" s="13"/>
      <c r="E34" s="50"/>
      <c r="F34" s="35"/>
      <c r="G34" s="50"/>
      <c r="H34" s="50"/>
      <c r="I34" s="50"/>
      <c r="J34" s="93" t="str">
        <f aca="true">IF(OR($B34="",$I34=""),"",$I34-TODAY())</f>
        <v/>
      </c>
      <c r="K34" s="94" t="str">
        <f aca="false">IF($B34="","",IF($I34="","∞ Vitalício",IF($J34&lt;0,"■ Vencido",IF($J34&lt;=Listas!$H$6,"▲ A vencer","● Ativo"))))</f>
        <v/>
      </c>
      <c r="L34" s="95"/>
      <c r="M34" s="95"/>
      <c r="N34" s="41" t="str">
        <f aca="false">IF($B34="","",IF(N($L34)=0,0,MIN(1,N($M34)/$L34)))</f>
        <v/>
      </c>
      <c r="O34" s="73"/>
      <c r="P34" s="73"/>
      <c r="Q34" s="73"/>
      <c r="R34" s="13"/>
      <c r="S34" s="13"/>
      <c r="T34" s="13"/>
      <c r="U34" s="11"/>
    </row>
    <row r="35" customFormat="false" ht="21.75" hidden="false" customHeight="true" outlineLevel="0" collapsed="false">
      <c r="A35" s="56" t="str">
        <f aca="false">IF($B35="","","IA-"&amp;TEXT(ROW()-9,"00"))</f>
        <v/>
      </c>
      <c r="B35" s="13"/>
      <c r="C35" s="13"/>
      <c r="D35" s="13"/>
      <c r="E35" s="50"/>
      <c r="F35" s="35"/>
      <c r="G35" s="50"/>
      <c r="H35" s="50"/>
      <c r="I35" s="50"/>
      <c r="J35" s="93" t="str">
        <f aca="true">IF(OR($B35="",$I35=""),"",$I35-TODAY())</f>
        <v/>
      </c>
      <c r="K35" s="94" t="str">
        <f aca="false">IF($B35="","",IF($I35="","∞ Vitalício",IF($J35&lt;0,"■ Vencido",IF($J35&lt;=Listas!$H$6,"▲ A vencer","● Ativo"))))</f>
        <v/>
      </c>
      <c r="L35" s="95"/>
      <c r="M35" s="95"/>
      <c r="N35" s="41" t="str">
        <f aca="false">IF($B35="","",IF(N($L35)=0,0,MIN(1,N($M35)/$L35)))</f>
        <v/>
      </c>
      <c r="O35" s="73"/>
      <c r="P35" s="73"/>
      <c r="Q35" s="73"/>
      <c r="R35" s="13"/>
      <c r="S35" s="13"/>
      <c r="T35" s="13"/>
      <c r="U35" s="11"/>
    </row>
    <row r="36" customFormat="false" ht="21.75" hidden="false" customHeight="true" outlineLevel="0" collapsed="false">
      <c r="A36" s="56" t="str">
        <f aca="false">IF($B36="","","IA-"&amp;TEXT(ROW()-9,"00"))</f>
        <v/>
      </c>
      <c r="B36" s="13"/>
      <c r="C36" s="13"/>
      <c r="D36" s="13"/>
      <c r="E36" s="50"/>
      <c r="F36" s="35"/>
      <c r="G36" s="50"/>
      <c r="H36" s="50"/>
      <c r="I36" s="50"/>
      <c r="J36" s="93" t="str">
        <f aca="true">IF(OR($B36="",$I36=""),"",$I36-TODAY())</f>
        <v/>
      </c>
      <c r="K36" s="94" t="str">
        <f aca="false">IF($B36="","",IF($I36="","∞ Vitalício",IF($J36&lt;0,"■ Vencido",IF($J36&lt;=Listas!$H$6,"▲ A vencer","● Ativo"))))</f>
        <v/>
      </c>
      <c r="L36" s="95"/>
      <c r="M36" s="95"/>
      <c r="N36" s="41" t="str">
        <f aca="false">IF($B36="","",IF(N($L36)=0,0,MIN(1,N($M36)/$L36)))</f>
        <v/>
      </c>
      <c r="O36" s="73"/>
      <c r="P36" s="73"/>
      <c r="Q36" s="73"/>
      <c r="R36" s="13"/>
      <c r="S36" s="13"/>
      <c r="T36" s="13"/>
      <c r="U36" s="11"/>
    </row>
    <row r="37" customFormat="false" ht="21.75" hidden="false" customHeight="true" outlineLevel="0" collapsed="false">
      <c r="A37" s="56" t="str">
        <f aca="false">IF($B37="","","IA-"&amp;TEXT(ROW()-9,"00"))</f>
        <v/>
      </c>
      <c r="B37" s="13"/>
      <c r="C37" s="13"/>
      <c r="D37" s="13"/>
      <c r="E37" s="50"/>
      <c r="F37" s="35"/>
      <c r="G37" s="50"/>
      <c r="H37" s="50"/>
      <c r="I37" s="50"/>
      <c r="J37" s="93" t="str">
        <f aca="true">IF(OR($B37="",$I37=""),"",$I37-TODAY())</f>
        <v/>
      </c>
      <c r="K37" s="94" t="str">
        <f aca="false">IF($B37="","",IF($I37="","∞ Vitalício",IF($J37&lt;0,"■ Vencido",IF($J37&lt;=Listas!$H$6,"▲ A vencer","● Ativo"))))</f>
        <v/>
      </c>
      <c r="L37" s="95"/>
      <c r="M37" s="95"/>
      <c r="N37" s="41" t="str">
        <f aca="false">IF($B37="","",IF(N($L37)=0,0,MIN(1,N($M37)/$L37)))</f>
        <v/>
      </c>
      <c r="O37" s="73"/>
      <c r="P37" s="73"/>
      <c r="Q37" s="73"/>
      <c r="R37" s="13"/>
      <c r="S37" s="13"/>
      <c r="T37" s="13"/>
      <c r="U37" s="11"/>
    </row>
    <row r="38" customFormat="false" ht="21.75" hidden="false" customHeight="true" outlineLevel="0" collapsed="false">
      <c r="A38" s="56" t="str">
        <f aca="false">IF($B38="","","IA-"&amp;TEXT(ROW()-9,"00"))</f>
        <v/>
      </c>
      <c r="B38" s="13"/>
      <c r="C38" s="13"/>
      <c r="D38" s="13"/>
      <c r="E38" s="50"/>
      <c r="F38" s="35"/>
      <c r="G38" s="50"/>
      <c r="H38" s="50"/>
      <c r="I38" s="50"/>
      <c r="J38" s="93" t="str">
        <f aca="true">IF(OR($B38="",$I38=""),"",$I38-TODAY())</f>
        <v/>
      </c>
      <c r="K38" s="94" t="str">
        <f aca="false">IF($B38="","",IF($I38="","∞ Vitalício",IF($J38&lt;0,"■ Vencido",IF($J38&lt;=Listas!$H$6,"▲ A vencer","● Ativo"))))</f>
        <v/>
      </c>
      <c r="L38" s="95"/>
      <c r="M38" s="95"/>
      <c r="N38" s="41" t="str">
        <f aca="false">IF($B38="","",IF(N($L38)=0,0,MIN(1,N($M38)/$L38)))</f>
        <v/>
      </c>
      <c r="O38" s="73"/>
      <c r="P38" s="73"/>
      <c r="Q38" s="73"/>
      <c r="R38" s="13"/>
      <c r="S38" s="13"/>
      <c r="T38" s="13"/>
      <c r="U38" s="11"/>
    </row>
    <row r="39" customFormat="false" ht="21.75" hidden="false" customHeight="true" outlineLevel="0" collapsed="false">
      <c r="A39" s="56" t="str">
        <f aca="false">IF($B39="","","IA-"&amp;TEXT(ROW()-9,"00"))</f>
        <v/>
      </c>
      <c r="B39" s="13"/>
      <c r="C39" s="13"/>
      <c r="D39" s="13"/>
      <c r="E39" s="50"/>
      <c r="F39" s="35"/>
      <c r="G39" s="50"/>
      <c r="H39" s="50"/>
      <c r="I39" s="50"/>
      <c r="J39" s="93" t="str">
        <f aca="true">IF(OR($B39="",$I39=""),"",$I39-TODAY())</f>
        <v/>
      </c>
      <c r="K39" s="94" t="str">
        <f aca="false">IF($B39="","",IF($I39="","∞ Vitalício",IF($J39&lt;0,"■ Vencido",IF($J39&lt;=Listas!$H$6,"▲ A vencer","● Ativo"))))</f>
        <v/>
      </c>
      <c r="L39" s="95"/>
      <c r="M39" s="95"/>
      <c r="N39" s="41" t="str">
        <f aca="false">IF($B39="","",IF(N($L39)=0,0,MIN(1,N($M39)/$L39)))</f>
        <v/>
      </c>
      <c r="O39" s="73"/>
      <c r="P39" s="73"/>
      <c r="Q39" s="73"/>
      <c r="R39" s="13"/>
      <c r="S39" s="13"/>
      <c r="T39" s="13"/>
      <c r="U39" s="11"/>
    </row>
    <row r="40" customFormat="false" ht="21.75" hidden="false" customHeight="true" outlineLevel="0" collapsed="false">
      <c r="A40" s="56" t="str">
        <f aca="false">IF($B40="","","IA-"&amp;TEXT(ROW()-9,"00"))</f>
        <v/>
      </c>
      <c r="B40" s="13"/>
      <c r="C40" s="13"/>
      <c r="D40" s="13"/>
      <c r="E40" s="50"/>
      <c r="F40" s="35"/>
      <c r="G40" s="50"/>
      <c r="H40" s="50"/>
      <c r="I40" s="50"/>
      <c r="J40" s="93" t="str">
        <f aca="true">IF(OR($B40="",$I40=""),"",$I40-TODAY())</f>
        <v/>
      </c>
      <c r="K40" s="94" t="str">
        <f aca="false">IF($B40="","",IF($I40="","∞ Vitalício",IF($J40&lt;0,"■ Vencido",IF($J40&lt;=Listas!$H$6,"▲ A vencer","● Ativo"))))</f>
        <v/>
      </c>
      <c r="L40" s="95"/>
      <c r="M40" s="95"/>
      <c r="N40" s="41" t="str">
        <f aca="false">IF($B40="","",IF(N($L40)=0,0,MIN(1,N($M40)/$L40)))</f>
        <v/>
      </c>
      <c r="O40" s="73"/>
      <c r="P40" s="73"/>
      <c r="Q40" s="73"/>
      <c r="R40" s="13"/>
      <c r="S40" s="13"/>
      <c r="T40" s="13"/>
      <c r="U40" s="11"/>
    </row>
    <row r="41" customFormat="false" ht="21.75" hidden="false" customHeight="true" outlineLevel="0" collapsed="false">
      <c r="A41" s="56" t="str">
        <f aca="false">IF($B41="","","IA-"&amp;TEXT(ROW()-9,"00"))</f>
        <v/>
      </c>
      <c r="B41" s="13"/>
      <c r="C41" s="13"/>
      <c r="D41" s="13"/>
      <c r="E41" s="50"/>
      <c r="F41" s="35"/>
      <c r="G41" s="50"/>
      <c r="H41" s="50"/>
      <c r="I41" s="50"/>
      <c r="J41" s="93" t="str">
        <f aca="true">IF(OR($B41="",$I41=""),"",$I41-TODAY())</f>
        <v/>
      </c>
      <c r="K41" s="94" t="str">
        <f aca="false">IF($B41="","",IF($I41="","∞ Vitalício",IF($J41&lt;0,"■ Vencido",IF($J41&lt;=Listas!$H$6,"▲ A vencer","● Ativo"))))</f>
        <v/>
      </c>
      <c r="L41" s="95"/>
      <c r="M41" s="95"/>
      <c r="N41" s="41" t="str">
        <f aca="false">IF($B41="","",IF(N($L41)=0,0,MIN(1,N($M41)/$L41)))</f>
        <v/>
      </c>
      <c r="O41" s="73"/>
      <c r="P41" s="73"/>
      <c r="Q41" s="73"/>
      <c r="R41" s="13"/>
      <c r="S41" s="13"/>
      <c r="T41" s="13"/>
      <c r="U41" s="11"/>
    </row>
    <row r="42" customFormat="false" ht="21.75" hidden="false" customHeight="true" outlineLevel="0" collapsed="false">
      <c r="A42" s="56" t="str">
        <f aca="false">IF($B42="","","IA-"&amp;TEXT(ROW()-9,"00"))</f>
        <v/>
      </c>
      <c r="B42" s="13"/>
      <c r="C42" s="13"/>
      <c r="D42" s="13"/>
      <c r="E42" s="50"/>
      <c r="F42" s="35"/>
      <c r="G42" s="50"/>
      <c r="H42" s="50"/>
      <c r="I42" s="50"/>
      <c r="J42" s="93" t="str">
        <f aca="true">IF(OR($B42="",$I42=""),"",$I42-TODAY())</f>
        <v/>
      </c>
      <c r="K42" s="94" t="str">
        <f aca="false">IF($B42="","",IF($I42="","∞ Vitalício",IF($J42&lt;0,"■ Vencido",IF($J42&lt;=Listas!$H$6,"▲ A vencer","● Ativo"))))</f>
        <v/>
      </c>
      <c r="L42" s="95"/>
      <c r="M42" s="95"/>
      <c r="N42" s="41" t="str">
        <f aca="false">IF($B42="","",IF(N($L42)=0,0,MIN(1,N($M42)/$L42)))</f>
        <v/>
      </c>
      <c r="O42" s="73"/>
      <c r="P42" s="73"/>
      <c r="Q42" s="73"/>
      <c r="R42" s="13"/>
      <c r="S42" s="13"/>
      <c r="T42" s="13"/>
      <c r="U42" s="11"/>
    </row>
    <row r="43" customFormat="false" ht="21.75" hidden="false" customHeight="true" outlineLevel="0" collapsed="false">
      <c r="A43" s="56" t="str">
        <f aca="false">IF($B43="","","IA-"&amp;TEXT(ROW()-9,"00"))</f>
        <v/>
      </c>
      <c r="B43" s="13"/>
      <c r="C43" s="13"/>
      <c r="D43" s="13"/>
      <c r="E43" s="50"/>
      <c r="F43" s="35"/>
      <c r="G43" s="50"/>
      <c r="H43" s="50"/>
      <c r="I43" s="50"/>
      <c r="J43" s="93" t="str">
        <f aca="true">IF(OR($B43="",$I43=""),"",$I43-TODAY())</f>
        <v/>
      </c>
      <c r="K43" s="94" t="str">
        <f aca="false">IF($B43="","",IF($I43="","∞ Vitalício",IF($J43&lt;0,"■ Vencido",IF($J43&lt;=Listas!$H$6,"▲ A vencer","● Ativo"))))</f>
        <v/>
      </c>
      <c r="L43" s="95"/>
      <c r="M43" s="95"/>
      <c r="N43" s="41" t="str">
        <f aca="false">IF($B43="","",IF(N($L43)=0,0,MIN(1,N($M43)/$L43)))</f>
        <v/>
      </c>
      <c r="O43" s="73"/>
      <c r="P43" s="73"/>
      <c r="Q43" s="73"/>
      <c r="R43" s="13"/>
      <c r="S43" s="13"/>
      <c r="T43" s="13"/>
      <c r="U43" s="11"/>
    </row>
    <row r="44" customFormat="false" ht="21.75" hidden="false" customHeight="true" outlineLevel="0" collapsed="false">
      <c r="A44" s="56" t="str">
        <f aca="false">IF($B44="","","IA-"&amp;TEXT(ROW()-9,"00"))</f>
        <v/>
      </c>
      <c r="B44" s="13"/>
      <c r="C44" s="13"/>
      <c r="D44" s="13"/>
      <c r="E44" s="50"/>
      <c r="F44" s="35"/>
      <c r="G44" s="50"/>
      <c r="H44" s="50"/>
      <c r="I44" s="50"/>
      <c r="J44" s="93" t="str">
        <f aca="true">IF(OR($B44="",$I44=""),"",$I44-TODAY())</f>
        <v/>
      </c>
      <c r="K44" s="94" t="str">
        <f aca="false">IF($B44="","",IF($I44="","∞ Vitalício",IF($J44&lt;0,"■ Vencido",IF($J44&lt;=Listas!$H$6,"▲ A vencer","● Ativo"))))</f>
        <v/>
      </c>
      <c r="L44" s="95"/>
      <c r="M44" s="95"/>
      <c r="N44" s="41" t="str">
        <f aca="false">IF($B44="","",IF(N($L44)=0,0,MIN(1,N($M44)/$L44)))</f>
        <v/>
      </c>
      <c r="O44" s="73"/>
      <c r="P44" s="73"/>
      <c r="Q44" s="73"/>
      <c r="R44" s="13"/>
      <c r="S44" s="13"/>
      <c r="T44" s="13"/>
      <c r="U44" s="11"/>
    </row>
    <row r="45" customFormat="false" ht="21.75" hidden="false" customHeight="true" outlineLevel="0" collapsed="false">
      <c r="A45" s="56" t="str">
        <f aca="false">IF($B45="","","IA-"&amp;TEXT(ROW()-9,"00"))</f>
        <v/>
      </c>
      <c r="B45" s="13"/>
      <c r="C45" s="13"/>
      <c r="D45" s="13"/>
      <c r="E45" s="50"/>
      <c r="F45" s="35"/>
      <c r="G45" s="50"/>
      <c r="H45" s="50"/>
      <c r="I45" s="50"/>
      <c r="J45" s="93" t="str">
        <f aca="true">IF(OR($B45="",$I45=""),"",$I45-TODAY())</f>
        <v/>
      </c>
      <c r="K45" s="94" t="str">
        <f aca="false">IF($B45="","",IF($I45="","∞ Vitalício",IF($J45&lt;0,"■ Vencido",IF($J45&lt;=Listas!$H$6,"▲ A vencer","● Ativo"))))</f>
        <v/>
      </c>
      <c r="L45" s="95"/>
      <c r="M45" s="95"/>
      <c r="N45" s="41" t="str">
        <f aca="false">IF($B45="","",IF(N($L45)=0,0,MIN(1,N($M45)/$L45)))</f>
        <v/>
      </c>
      <c r="O45" s="73"/>
      <c r="P45" s="73"/>
      <c r="Q45" s="73"/>
      <c r="R45" s="13"/>
      <c r="S45" s="13"/>
      <c r="T45" s="13"/>
      <c r="U45" s="11"/>
    </row>
    <row r="46" customFormat="false" ht="21.75" hidden="false" customHeight="true" outlineLevel="0" collapsed="false">
      <c r="A46" s="56" t="str">
        <f aca="false">IF($B46="","","IA-"&amp;TEXT(ROW()-9,"00"))</f>
        <v/>
      </c>
      <c r="B46" s="13"/>
      <c r="C46" s="13"/>
      <c r="D46" s="13"/>
      <c r="E46" s="50"/>
      <c r="F46" s="35"/>
      <c r="G46" s="50"/>
      <c r="H46" s="50"/>
      <c r="I46" s="50"/>
      <c r="J46" s="93" t="str">
        <f aca="true">IF(OR($B46="",$I46=""),"",$I46-TODAY())</f>
        <v/>
      </c>
      <c r="K46" s="94" t="str">
        <f aca="false">IF($B46="","",IF($I46="","∞ Vitalício",IF($J46&lt;0,"■ Vencido",IF($J46&lt;=Listas!$H$6,"▲ A vencer","● Ativo"))))</f>
        <v/>
      </c>
      <c r="L46" s="95"/>
      <c r="M46" s="95"/>
      <c r="N46" s="41" t="str">
        <f aca="false">IF($B46="","",IF(N($L46)=0,0,MIN(1,N($M46)/$L46)))</f>
        <v/>
      </c>
      <c r="O46" s="73"/>
      <c r="P46" s="73"/>
      <c r="Q46" s="73"/>
      <c r="R46" s="13"/>
      <c r="S46" s="13"/>
      <c r="T46" s="13"/>
      <c r="U46" s="11"/>
    </row>
    <row r="47" customFormat="false" ht="21.75" hidden="false" customHeight="true" outlineLevel="0" collapsed="false">
      <c r="A47" s="56" t="str">
        <f aca="false">IF($B47="","","IA-"&amp;TEXT(ROW()-9,"00"))</f>
        <v/>
      </c>
      <c r="B47" s="13"/>
      <c r="C47" s="13"/>
      <c r="D47" s="13"/>
      <c r="E47" s="50"/>
      <c r="F47" s="35"/>
      <c r="G47" s="50"/>
      <c r="H47" s="50"/>
      <c r="I47" s="50"/>
      <c r="J47" s="93" t="str">
        <f aca="true">IF(OR($B47="",$I47=""),"",$I47-TODAY())</f>
        <v/>
      </c>
      <c r="K47" s="94" t="str">
        <f aca="false">IF($B47="","",IF($I47="","∞ Vitalício",IF($J47&lt;0,"■ Vencido",IF($J47&lt;=Listas!$H$6,"▲ A vencer","● Ativo"))))</f>
        <v/>
      </c>
      <c r="L47" s="95"/>
      <c r="M47" s="95"/>
      <c r="N47" s="41" t="str">
        <f aca="false">IF($B47="","",IF(N($L47)=0,0,MIN(1,N($M47)/$L47)))</f>
        <v/>
      </c>
      <c r="O47" s="73"/>
      <c r="P47" s="73"/>
      <c r="Q47" s="73"/>
      <c r="R47" s="13"/>
      <c r="S47" s="13"/>
      <c r="T47" s="13"/>
      <c r="U47" s="11"/>
    </row>
    <row r="48" customFormat="false" ht="21.75" hidden="false" customHeight="true" outlineLevel="0" collapsed="false">
      <c r="A48" s="56" t="str">
        <f aca="false">IF($B48="","","IA-"&amp;TEXT(ROW()-9,"00"))</f>
        <v/>
      </c>
      <c r="B48" s="13"/>
      <c r="C48" s="13"/>
      <c r="D48" s="13"/>
      <c r="E48" s="50"/>
      <c r="F48" s="35"/>
      <c r="G48" s="50"/>
      <c r="H48" s="50"/>
      <c r="I48" s="50"/>
      <c r="J48" s="93" t="str">
        <f aca="true">IF(OR($B48="",$I48=""),"",$I48-TODAY())</f>
        <v/>
      </c>
      <c r="K48" s="94" t="str">
        <f aca="false">IF($B48="","",IF($I48="","∞ Vitalício",IF($J48&lt;0,"■ Vencido",IF($J48&lt;=Listas!$H$6,"▲ A vencer","● Ativo"))))</f>
        <v/>
      </c>
      <c r="L48" s="95"/>
      <c r="M48" s="95"/>
      <c r="N48" s="41" t="str">
        <f aca="false">IF($B48="","",IF(N($L48)=0,0,MIN(1,N($M48)/$L48)))</f>
        <v/>
      </c>
      <c r="O48" s="73"/>
      <c r="P48" s="73"/>
      <c r="Q48" s="73"/>
      <c r="R48" s="13"/>
      <c r="S48" s="13"/>
      <c r="T48" s="13"/>
      <c r="U48" s="11"/>
    </row>
    <row r="49" customFormat="false" ht="21.75" hidden="false" customHeight="true" outlineLevel="0" collapsed="false">
      <c r="A49" s="56" t="str">
        <f aca="false">IF($B49="","","IA-"&amp;TEXT(ROW()-9,"00"))</f>
        <v/>
      </c>
      <c r="B49" s="13"/>
      <c r="C49" s="13"/>
      <c r="D49" s="13"/>
      <c r="E49" s="50"/>
      <c r="F49" s="35"/>
      <c r="G49" s="50"/>
      <c r="H49" s="50"/>
      <c r="I49" s="50"/>
      <c r="J49" s="93" t="str">
        <f aca="true">IF(OR($B49="",$I49=""),"",$I49-TODAY())</f>
        <v/>
      </c>
      <c r="K49" s="94" t="str">
        <f aca="false">IF($B49="","",IF($I49="","∞ Vitalício",IF($J49&lt;0,"■ Vencido",IF($J49&lt;=Listas!$H$6,"▲ A vencer","● Ativo"))))</f>
        <v/>
      </c>
      <c r="L49" s="95"/>
      <c r="M49" s="95"/>
      <c r="N49" s="41" t="str">
        <f aca="false">IF($B49="","",IF(N($L49)=0,0,MIN(1,N($M49)/$L49)))</f>
        <v/>
      </c>
      <c r="O49" s="73"/>
      <c r="P49" s="73"/>
      <c r="Q49" s="73"/>
      <c r="R49" s="13"/>
      <c r="S49" s="13"/>
      <c r="T49" s="13"/>
      <c r="U49" s="11"/>
    </row>
  </sheetData>
  <autoFilter ref="A9:U49"/>
  <mergeCells count="22">
    <mergeCell ref="A1:U1"/>
    <mergeCell ref="A2:R2"/>
    <mergeCell ref="S2:U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O10:O49">
    <cfRule type="cellIs" priority="2" operator="equal" aboveAverage="0" equalAverage="0" bottom="0" percent="0" rank="0" text="" dxfId="6">
      <formula>"Concluído"</formula>
    </cfRule>
    <cfRule type="cellIs" priority="3" operator="equal" aboveAverage="0" equalAverage="0" bottom="0" percent="0" rank="0" text="" dxfId="7">
      <formula>"Em andamento"</formula>
    </cfRule>
    <cfRule type="cellIs" priority="4" operator="equal" aboveAverage="0" equalAverage="0" bottom="0" percent="0" rank="0" text="" dxfId="17">
      <formula>"Pausado"</formula>
    </cfRule>
  </conditionalFormatting>
  <conditionalFormatting sqref="P10:P49">
    <cfRule type="cellIs" priority="5" operator="equal" aboveAverage="0" equalAverage="0" bottom="0" percent="0" rank="0" text="" dxfId="18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{F4B5CA58-6914-4BBE-8BC1-546BCFE08EC3}</x14:id>
        </ext>
      </extLst>
    </cfRule>
  </conditionalFormatting>
  <conditionalFormatting sqref="Q10:Q49">
    <cfRule type="cellIs" priority="7" operator="equal" aboveAverage="0" equalAverage="0" bottom="0" percent="0" rank="0" text="" dxfId="6">
      <formula>"Emitido"</formula>
    </cfRule>
    <cfRule type="cellIs" priority="8" operator="equal" aboveAverage="0" equalAverage="0" bottom="0" percent="0" rank="0" text="" dxfId="19">
      <formula>"Em emissão"</formula>
    </cfRule>
  </conditionalFormatting>
  <conditionalFormatting sqref="J10:K49">
    <cfRule type="expression" priority="9" aboveAverage="0" equalAverage="0" bottom="0" percent="0" rank="0" text="" dxfId="0">
      <formula>ISNUMBER(SEARCH("Vencido",$K10))</formula>
    </cfRule>
    <cfRule type="expression" priority="10" aboveAverage="0" equalAverage="0" bottom="0" percent="0" rank="0" text="" dxfId="1">
      <formula>ISNUMBER(SEARCH("A vencer",$K10))</formula>
    </cfRule>
    <cfRule type="expression" priority="11" aboveAverage="0" equalAverage="0" bottom="0" percent="0" rank="0" text="" dxfId="20">
      <formula>ISNUMBER(SEARCH("Ativo",$K10))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10:O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10:P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Q10:Q49" type="list">
      <formula1>Listas!$F$6:$F$9</formula1>
      <formula2>0</formula2>
    </dataValidation>
  </dataValidations>
  <hyperlinks>
    <hyperlink ref="S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B5CA58-6914-4BBE-8BC1-546BCFE08EC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W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9" min="18" style="0" width="16"/>
    <col collapsed="false" customWidth="true" hidden="false" outlineLevel="0" max="20" min="20" style="0" width="26"/>
    <col collapsed="false" customWidth="true" hidden="false" outlineLevel="0" max="21" min="21" style="0" width="22"/>
    <col collapsed="false" customWidth="true" hidden="false" outlineLevel="0" max="22" min="22" style="0" width="30"/>
    <col collapsed="false" customWidth="true" hidden="false" outlineLevel="0" max="23" min="23" style="0" width="36"/>
  </cols>
  <sheetData>
    <row r="1" customFormat="false" ht="37.5" hidden="false" customHeight="true" outlineLevel="0" collapsed="false">
      <c r="A1" s="20" t="s">
        <v>215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9.5" hidden="false" customHeight="true" outlineLevel="0" collapsed="false">
      <c r="A2" s="21" t="s">
        <v>216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 t="s">
        <v>56</v>
      </c>
      <c r="V2" s="22"/>
      <c r="W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143</v>
      </c>
      <c r="C5" s="23"/>
      <c r="D5" s="23" t="s">
        <v>58</v>
      </c>
      <c r="E5" s="23"/>
      <c r="F5" s="23" t="s">
        <v>59</v>
      </c>
      <c r="G5" s="23"/>
      <c r="H5" s="23" t="s">
        <v>144</v>
      </c>
      <c r="I5" s="23"/>
      <c r="J5" s="23" t="s">
        <v>61</v>
      </c>
      <c r="K5" s="23"/>
      <c r="L5" s="23" t="s">
        <v>217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COUNTIF(O10:O49,"Em andamento")</f>
        <v>1</v>
      </c>
      <c r="E6" s="24"/>
      <c r="F6" s="24" t="n">
        <f aca="false">COUNTIF(O10:O49,"Concluído")</f>
        <v>0</v>
      </c>
      <c r="G6" s="24"/>
      <c r="H6" s="25" t="n">
        <f aca="false">SUM(F10:F49)</f>
        <v>297</v>
      </c>
      <c r="I6" s="25"/>
      <c r="J6" s="26" t="n">
        <f aca="false">IFERROR(AVERAGE(N10:N49),0)</f>
        <v>0.222222222222222</v>
      </c>
      <c r="K6" s="26"/>
      <c r="L6" s="25" t="n">
        <f aca="false">SUM(S10:S49)</f>
        <v>0</v>
      </c>
      <c r="M6" s="25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0" t="s">
        <v>146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customFormat="false" ht="36" hidden="false" customHeight="true" outlineLevel="0" collapsed="false">
      <c r="A9" s="92" t="s">
        <v>147</v>
      </c>
      <c r="B9" s="32" t="s">
        <v>209</v>
      </c>
      <c r="C9" s="32" t="s">
        <v>210</v>
      </c>
      <c r="D9" s="32" t="s">
        <v>218</v>
      </c>
      <c r="E9" s="32" t="s">
        <v>151</v>
      </c>
      <c r="F9" s="32" t="s">
        <v>152</v>
      </c>
      <c r="G9" s="32" t="s">
        <v>153</v>
      </c>
      <c r="H9" s="32" t="s">
        <v>154</v>
      </c>
      <c r="I9" s="32" t="s">
        <v>155</v>
      </c>
      <c r="J9" s="92" t="s">
        <v>156</v>
      </c>
      <c r="K9" s="92" t="s">
        <v>157</v>
      </c>
      <c r="L9" s="32" t="s">
        <v>212</v>
      </c>
      <c r="M9" s="32" t="s">
        <v>213</v>
      </c>
      <c r="N9" s="92" t="s">
        <v>160</v>
      </c>
      <c r="O9" s="32" t="s">
        <v>93</v>
      </c>
      <c r="P9" s="32" t="s">
        <v>161</v>
      </c>
      <c r="Q9" s="32" t="s">
        <v>162</v>
      </c>
      <c r="R9" s="32" t="s">
        <v>219</v>
      </c>
      <c r="S9" s="32" t="s">
        <v>220</v>
      </c>
      <c r="T9" s="32" t="s">
        <v>163</v>
      </c>
      <c r="U9" s="32" t="s">
        <v>164</v>
      </c>
      <c r="V9" s="32" t="s">
        <v>165</v>
      </c>
      <c r="W9" s="32" t="s">
        <v>166</v>
      </c>
    </row>
    <row r="10" customFormat="false" ht="21.75" hidden="false" customHeight="true" outlineLevel="0" collapsed="false">
      <c r="A10" s="56" t="str">
        <f aca="false">IF($B10="","","RE-"&amp;TEXT(ROW()-9,"00"))</f>
        <v>RE-01</v>
      </c>
      <c r="B10" s="13" t="s">
        <v>221</v>
      </c>
      <c r="C10" s="13" t="s">
        <v>185</v>
      </c>
      <c r="D10" s="13" t="s">
        <v>222</v>
      </c>
      <c r="E10" s="50" t="n">
        <v>46266</v>
      </c>
      <c r="F10" s="35" t="n">
        <v>297</v>
      </c>
      <c r="G10" s="50" t="n">
        <v>46268</v>
      </c>
      <c r="H10" s="50" t="n">
        <v>46356</v>
      </c>
      <c r="I10" s="50" t="n">
        <v>46631</v>
      </c>
      <c r="J10" s="93" t="n">
        <f aca="true">IF(OR($B10="",$I10=""),"",$I10-TODAY())</f>
        <v>333</v>
      </c>
      <c r="K10" s="94" t="str">
        <f aca="false">IF($B10="","",IF($I10="","∞ Vitalício",IF($J10&lt;0,"■ Vencido",IF($J10&lt;=Listas!$H$6,"▲ A vencer","● Ativo"))))</f>
        <v>● Ativo</v>
      </c>
      <c r="L10" s="95" t="n">
        <v>45</v>
      </c>
      <c r="M10" s="95" t="n">
        <v>10</v>
      </c>
      <c r="N10" s="41" t="n">
        <f aca="false">IF($B10="","",IF(N($L10)=0,0,MIN(1,N($M10)/$L10)))</f>
        <v>0.222222222222222</v>
      </c>
      <c r="O10" s="73" t="s">
        <v>41</v>
      </c>
      <c r="P10" s="73" t="s">
        <v>205</v>
      </c>
      <c r="Q10" s="73" t="s">
        <v>170</v>
      </c>
      <c r="R10" s="35" t="n">
        <v>1500</v>
      </c>
      <c r="S10" s="35" t="n">
        <v>0</v>
      </c>
      <c r="T10" s="13" t="s">
        <v>171</v>
      </c>
      <c r="U10" s="13" t="s">
        <v>172</v>
      </c>
      <c r="V10" s="13" t="s">
        <v>189</v>
      </c>
      <c r="W10" s="11" t="s">
        <v>174</v>
      </c>
    </row>
    <row r="11" customFormat="false" ht="21.75" hidden="false" customHeight="true" outlineLevel="0" collapsed="false">
      <c r="A11" s="56" t="str">
        <f aca="false">IF($B11="","","RE-"&amp;TEXT(ROW()-9,"00"))</f>
        <v/>
      </c>
      <c r="B11" s="13"/>
      <c r="C11" s="13"/>
      <c r="D11" s="13"/>
      <c r="E11" s="50"/>
      <c r="F11" s="35"/>
      <c r="G11" s="50"/>
      <c r="H11" s="50"/>
      <c r="I11" s="50"/>
      <c r="J11" s="93" t="str">
        <f aca="true">IF(OR($B11="",$I11=""),"",$I11-TODAY())</f>
        <v/>
      </c>
      <c r="K11" s="94" t="str">
        <f aca="false">IF($B11="","",IF($I11="","∞ Vitalício",IF($J11&lt;0,"■ Vencido",IF($J11&lt;=Listas!$H$6,"▲ A vencer","● Ativo"))))</f>
        <v/>
      </c>
      <c r="L11" s="95"/>
      <c r="M11" s="95"/>
      <c r="N11" s="41" t="str">
        <f aca="false">IF($B11="","",IF(N($L11)=0,0,MIN(1,N($M11)/$L11)))</f>
        <v/>
      </c>
      <c r="O11" s="73"/>
      <c r="P11" s="73"/>
      <c r="Q11" s="73"/>
      <c r="R11" s="35"/>
      <c r="S11" s="35"/>
      <c r="T11" s="13"/>
      <c r="U11" s="13"/>
      <c r="V11" s="13"/>
      <c r="W11" s="11"/>
    </row>
    <row r="12" customFormat="false" ht="21.75" hidden="false" customHeight="true" outlineLevel="0" collapsed="false">
      <c r="A12" s="56" t="str">
        <f aca="false">IF($B12="","","RE-"&amp;TEXT(ROW()-9,"00"))</f>
        <v/>
      </c>
      <c r="B12" s="13"/>
      <c r="C12" s="13"/>
      <c r="D12" s="13"/>
      <c r="E12" s="50"/>
      <c r="F12" s="35"/>
      <c r="G12" s="50"/>
      <c r="H12" s="50"/>
      <c r="I12" s="50"/>
      <c r="J12" s="93" t="str">
        <f aca="true">IF(OR($B12="",$I12=""),"",$I12-TODAY())</f>
        <v/>
      </c>
      <c r="K12" s="94" t="str">
        <f aca="false">IF($B12="","",IF($I12="","∞ Vitalício",IF($J12&lt;0,"■ Vencido",IF($J12&lt;=Listas!$H$6,"▲ A vencer","● Ativo"))))</f>
        <v/>
      </c>
      <c r="L12" s="95"/>
      <c r="M12" s="95"/>
      <c r="N12" s="41" t="str">
        <f aca="false">IF($B12="","",IF(N($L12)=0,0,MIN(1,N($M12)/$L12)))</f>
        <v/>
      </c>
      <c r="O12" s="73"/>
      <c r="P12" s="73"/>
      <c r="Q12" s="73"/>
      <c r="R12" s="35"/>
      <c r="S12" s="35"/>
      <c r="T12" s="13"/>
      <c r="U12" s="13"/>
      <c r="V12" s="13"/>
      <c r="W12" s="11"/>
    </row>
    <row r="13" customFormat="false" ht="21.75" hidden="false" customHeight="true" outlineLevel="0" collapsed="false">
      <c r="A13" s="56" t="str">
        <f aca="false">IF($B13="","","RE-"&amp;TEXT(ROW()-9,"00"))</f>
        <v/>
      </c>
      <c r="B13" s="13"/>
      <c r="C13" s="13"/>
      <c r="D13" s="13"/>
      <c r="E13" s="50"/>
      <c r="F13" s="35"/>
      <c r="G13" s="50"/>
      <c r="H13" s="50"/>
      <c r="I13" s="50"/>
      <c r="J13" s="93" t="str">
        <f aca="true">IF(OR($B13="",$I13=""),"",$I13-TODAY())</f>
        <v/>
      </c>
      <c r="K13" s="94" t="str">
        <f aca="false">IF($B13="","",IF($I13="","∞ Vitalício",IF($J13&lt;0,"■ Vencido",IF($J13&lt;=Listas!$H$6,"▲ A vencer","● Ativo"))))</f>
        <v/>
      </c>
      <c r="L13" s="95"/>
      <c r="M13" s="95"/>
      <c r="N13" s="41" t="str">
        <f aca="false">IF($B13="","",IF(N($L13)=0,0,MIN(1,N($M13)/$L13)))</f>
        <v/>
      </c>
      <c r="O13" s="73"/>
      <c r="P13" s="73"/>
      <c r="Q13" s="73"/>
      <c r="R13" s="35"/>
      <c r="S13" s="35"/>
      <c r="T13" s="13"/>
      <c r="U13" s="13"/>
      <c r="V13" s="13"/>
      <c r="W13" s="11"/>
    </row>
    <row r="14" customFormat="false" ht="21.75" hidden="false" customHeight="true" outlineLevel="0" collapsed="false">
      <c r="A14" s="56" t="str">
        <f aca="false">IF($B14="","","RE-"&amp;TEXT(ROW()-9,"00"))</f>
        <v/>
      </c>
      <c r="B14" s="13"/>
      <c r="C14" s="13"/>
      <c r="D14" s="13"/>
      <c r="E14" s="50"/>
      <c r="F14" s="35"/>
      <c r="G14" s="50"/>
      <c r="H14" s="50"/>
      <c r="I14" s="50"/>
      <c r="J14" s="93" t="str">
        <f aca="true">IF(OR($B14="",$I14=""),"",$I14-TODAY())</f>
        <v/>
      </c>
      <c r="K14" s="94" t="str">
        <f aca="false">IF($B14="","",IF($I14="","∞ Vitalício",IF($J14&lt;0,"■ Vencido",IF($J14&lt;=Listas!$H$6,"▲ A vencer","● Ativo"))))</f>
        <v/>
      </c>
      <c r="L14" s="95"/>
      <c r="M14" s="95"/>
      <c r="N14" s="41" t="str">
        <f aca="false">IF($B14="","",IF(N($L14)=0,0,MIN(1,N($M14)/$L14)))</f>
        <v/>
      </c>
      <c r="O14" s="73"/>
      <c r="P14" s="73"/>
      <c r="Q14" s="73"/>
      <c r="R14" s="35"/>
      <c r="S14" s="35"/>
      <c r="T14" s="13"/>
      <c r="U14" s="13"/>
      <c r="V14" s="13"/>
      <c r="W14" s="11"/>
    </row>
    <row r="15" customFormat="false" ht="21.75" hidden="false" customHeight="true" outlineLevel="0" collapsed="false">
      <c r="A15" s="56" t="str">
        <f aca="false">IF($B15="","","RE-"&amp;TEXT(ROW()-9,"00"))</f>
        <v/>
      </c>
      <c r="B15" s="13"/>
      <c r="C15" s="13"/>
      <c r="D15" s="13"/>
      <c r="E15" s="50"/>
      <c r="F15" s="35"/>
      <c r="G15" s="50"/>
      <c r="H15" s="50"/>
      <c r="I15" s="50"/>
      <c r="J15" s="93" t="str">
        <f aca="true">IF(OR($B15="",$I15=""),"",$I15-TODAY())</f>
        <v/>
      </c>
      <c r="K15" s="94" t="str">
        <f aca="false">IF($B15="","",IF($I15="","∞ Vitalício",IF($J15&lt;0,"■ Vencido",IF($J15&lt;=Listas!$H$6,"▲ A vencer","● Ativo"))))</f>
        <v/>
      </c>
      <c r="L15" s="95"/>
      <c r="M15" s="95"/>
      <c r="N15" s="41" t="str">
        <f aca="false">IF($B15="","",IF(N($L15)=0,0,MIN(1,N($M15)/$L15)))</f>
        <v/>
      </c>
      <c r="O15" s="73"/>
      <c r="P15" s="73"/>
      <c r="Q15" s="73"/>
      <c r="R15" s="35"/>
      <c r="S15" s="35"/>
      <c r="T15" s="13"/>
      <c r="U15" s="13"/>
      <c r="V15" s="13"/>
      <c r="W15" s="11"/>
    </row>
    <row r="16" customFormat="false" ht="21.75" hidden="false" customHeight="true" outlineLevel="0" collapsed="false">
      <c r="A16" s="56" t="str">
        <f aca="false">IF($B16="","","RE-"&amp;TEXT(ROW()-9,"00"))</f>
        <v/>
      </c>
      <c r="B16" s="13"/>
      <c r="C16" s="13"/>
      <c r="D16" s="13"/>
      <c r="E16" s="50"/>
      <c r="F16" s="35"/>
      <c r="G16" s="50"/>
      <c r="H16" s="50"/>
      <c r="I16" s="50"/>
      <c r="J16" s="93" t="str">
        <f aca="true">IF(OR($B16="",$I16=""),"",$I16-TODAY())</f>
        <v/>
      </c>
      <c r="K16" s="94" t="str">
        <f aca="false">IF($B16="","",IF($I16="","∞ Vitalício",IF($J16&lt;0,"■ Vencido",IF($J16&lt;=Listas!$H$6,"▲ A vencer","● Ativo"))))</f>
        <v/>
      </c>
      <c r="L16" s="95"/>
      <c r="M16" s="95"/>
      <c r="N16" s="41" t="str">
        <f aca="false">IF($B16="","",IF(N($L16)=0,0,MIN(1,N($M16)/$L16)))</f>
        <v/>
      </c>
      <c r="O16" s="73"/>
      <c r="P16" s="73"/>
      <c r="Q16" s="73"/>
      <c r="R16" s="35"/>
      <c r="S16" s="35"/>
      <c r="T16" s="13"/>
      <c r="U16" s="13"/>
      <c r="V16" s="13"/>
      <c r="W16" s="11"/>
    </row>
    <row r="17" customFormat="false" ht="21.75" hidden="false" customHeight="true" outlineLevel="0" collapsed="false">
      <c r="A17" s="56" t="str">
        <f aca="false">IF($B17="","","RE-"&amp;TEXT(ROW()-9,"00"))</f>
        <v/>
      </c>
      <c r="B17" s="13"/>
      <c r="C17" s="13"/>
      <c r="D17" s="13"/>
      <c r="E17" s="50"/>
      <c r="F17" s="35"/>
      <c r="G17" s="50"/>
      <c r="H17" s="50"/>
      <c r="I17" s="50"/>
      <c r="J17" s="93" t="str">
        <f aca="true">IF(OR($B17="",$I17=""),"",$I17-TODAY())</f>
        <v/>
      </c>
      <c r="K17" s="94" t="str">
        <f aca="false">IF($B17="","",IF($I17="","∞ Vitalício",IF($J17&lt;0,"■ Vencido",IF($J17&lt;=Listas!$H$6,"▲ A vencer","● Ativo"))))</f>
        <v/>
      </c>
      <c r="L17" s="95"/>
      <c r="M17" s="95"/>
      <c r="N17" s="41" t="str">
        <f aca="false">IF($B17="","",IF(N($L17)=0,0,MIN(1,N($M17)/$L17)))</f>
        <v/>
      </c>
      <c r="O17" s="73"/>
      <c r="P17" s="73"/>
      <c r="Q17" s="73"/>
      <c r="R17" s="35"/>
      <c r="S17" s="35"/>
      <c r="T17" s="13"/>
      <c r="U17" s="13"/>
      <c r="V17" s="13"/>
      <c r="W17" s="11"/>
    </row>
    <row r="18" customFormat="false" ht="21.75" hidden="false" customHeight="true" outlineLevel="0" collapsed="false">
      <c r="A18" s="56" t="str">
        <f aca="false">IF($B18="","","RE-"&amp;TEXT(ROW()-9,"00"))</f>
        <v/>
      </c>
      <c r="B18" s="13"/>
      <c r="C18" s="13"/>
      <c r="D18" s="13"/>
      <c r="E18" s="50"/>
      <c r="F18" s="35"/>
      <c r="G18" s="50"/>
      <c r="H18" s="50"/>
      <c r="I18" s="50"/>
      <c r="J18" s="93" t="str">
        <f aca="true">IF(OR($B18="",$I18=""),"",$I18-TODAY())</f>
        <v/>
      </c>
      <c r="K18" s="94" t="str">
        <f aca="false">IF($B18="","",IF($I18="","∞ Vitalício",IF($J18&lt;0,"■ Vencido",IF($J18&lt;=Listas!$H$6,"▲ A vencer","● Ativo"))))</f>
        <v/>
      </c>
      <c r="L18" s="95"/>
      <c r="M18" s="95"/>
      <c r="N18" s="41" t="str">
        <f aca="false">IF($B18="","",IF(N($L18)=0,0,MIN(1,N($M18)/$L18)))</f>
        <v/>
      </c>
      <c r="O18" s="73"/>
      <c r="P18" s="73"/>
      <c r="Q18" s="73"/>
      <c r="R18" s="35"/>
      <c r="S18" s="35"/>
      <c r="T18" s="13"/>
      <c r="U18" s="13"/>
      <c r="V18" s="13"/>
      <c r="W18" s="11"/>
    </row>
    <row r="19" customFormat="false" ht="21.75" hidden="false" customHeight="true" outlineLevel="0" collapsed="false">
      <c r="A19" s="56" t="str">
        <f aca="false">IF($B19="","","RE-"&amp;TEXT(ROW()-9,"00"))</f>
        <v/>
      </c>
      <c r="B19" s="13"/>
      <c r="C19" s="13"/>
      <c r="D19" s="13"/>
      <c r="E19" s="50"/>
      <c r="F19" s="35"/>
      <c r="G19" s="50"/>
      <c r="H19" s="50"/>
      <c r="I19" s="50"/>
      <c r="J19" s="93" t="str">
        <f aca="true">IF(OR($B19="",$I19=""),"",$I19-TODAY())</f>
        <v/>
      </c>
      <c r="K19" s="94" t="str">
        <f aca="false">IF($B19="","",IF($I19="","∞ Vitalício",IF($J19&lt;0,"■ Vencido",IF($J19&lt;=Listas!$H$6,"▲ A vencer","● Ativo"))))</f>
        <v/>
      </c>
      <c r="L19" s="95"/>
      <c r="M19" s="95"/>
      <c r="N19" s="41" t="str">
        <f aca="false">IF($B19="","",IF(N($L19)=0,0,MIN(1,N($M19)/$L19)))</f>
        <v/>
      </c>
      <c r="O19" s="73"/>
      <c r="P19" s="73"/>
      <c r="Q19" s="73"/>
      <c r="R19" s="35"/>
      <c r="S19" s="35"/>
      <c r="T19" s="13"/>
      <c r="U19" s="13"/>
      <c r="V19" s="13"/>
      <c r="W19" s="11"/>
    </row>
    <row r="20" customFormat="false" ht="21.75" hidden="false" customHeight="true" outlineLevel="0" collapsed="false">
      <c r="A20" s="56" t="str">
        <f aca="false">IF($B20="","","RE-"&amp;TEXT(ROW()-9,"00"))</f>
        <v/>
      </c>
      <c r="B20" s="13"/>
      <c r="C20" s="13"/>
      <c r="D20" s="13"/>
      <c r="E20" s="50"/>
      <c r="F20" s="35"/>
      <c r="G20" s="50"/>
      <c r="H20" s="50"/>
      <c r="I20" s="50"/>
      <c r="J20" s="93" t="str">
        <f aca="true">IF(OR($B20="",$I20=""),"",$I20-TODAY())</f>
        <v/>
      </c>
      <c r="K20" s="94" t="str">
        <f aca="false">IF($B20="","",IF($I20="","∞ Vitalício",IF($J20&lt;0,"■ Vencido",IF($J20&lt;=Listas!$H$6,"▲ A vencer","● Ativo"))))</f>
        <v/>
      </c>
      <c r="L20" s="95"/>
      <c r="M20" s="95"/>
      <c r="N20" s="41" t="str">
        <f aca="false">IF($B20="","",IF(N($L20)=0,0,MIN(1,N($M20)/$L20)))</f>
        <v/>
      </c>
      <c r="O20" s="73"/>
      <c r="P20" s="73"/>
      <c r="Q20" s="73"/>
      <c r="R20" s="35"/>
      <c r="S20" s="35"/>
      <c r="T20" s="13"/>
      <c r="U20" s="13"/>
      <c r="V20" s="13"/>
      <c r="W20" s="11"/>
    </row>
    <row r="21" customFormat="false" ht="21.75" hidden="false" customHeight="true" outlineLevel="0" collapsed="false">
      <c r="A21" s="56" t="str">
        <f aca="false">IF($B21="","","RE-"&amp;TEXT(ROW()-9,"00"))</f>
        <v/>
      </c>
      <c r="B21" s="13"/>
      <c r="C21" s="13"/>
      <c r="D21" s="13"/>
      <c r="E21" s="50"/>
      <c r="F21" s="35"/>
      <c r="G21" s="50"/>
      <c r="H21" s="50"/>
      <c r="I21" s="50"/>
      <c r="J21" s="93" t="str">
        <f aca="true">IF(OR($B21="",$I21=""),"",$I21-TODAY())</f>
        <v/>
      </c>
      <c r="K21" s="94" t="str">
        <f aca="false">IF($B21="","",IF($I21="","∞ Vitalício",IF($J21&lt;0,"■ Vencido",IF($J21&lt;=Listas!$H$6,"▲ A vencer","● Ativo"))))</f>
        <v/>
      </c>
      <c r="L21" s="95"/>
      <c r="M21" s="95"/>
      <c r="N21" s="41" t="str">
        <f aca="false">IF($B21="","",IF(N($L21)=0,0,MIN(1,N($M21)/$L21)))</f>
        <v/>
      </c>
      <c r="O21" s="73"/>
      <c r="P21" s="73"/>
      <c r="Q21" s="73"/>
      <c r="R21" s="35"/>
      <c r="S21" s="35"/>
      <c r="T21" s="13"/>
      <c r="U21" s="13"/>
      <c r="V21" s="13"/>
      <c r="W21" s="11"/>
    </row>
    <row r="22" customFormat="false" ht="21.75" hidden="false" customHeight="true" outlineLevel="0" collapsed="false">
      <c r="A22" s="56" t="str">
        <f aca="false">IF($B22="","","RE-"&amp;TEXT(ROW()-9,"00"))</f>
        <v/>
      </c>
      <c r="B22" s="13"/>
      <c r="C22" s="13"/>
      <c r="D22" s="13"/>
      <c r="E22" s="50"/>
      <c r="F22" s="35"/>
      <c r="G22" s="50"/>
      <c r="H22" s="50"/>
      <c r="I22" s="50"/>
      <c r="J22" s="93" t="str">
        <f aca="true">IF(OR($B22="",$I22=""),"",$I22-TODAY())</f>
        <v/>
      </c>
      <c r="K22" s="94" t="str">
        <f aca="false">IF($B22="","",IF($I22="","∞ Vitalício",IF($J22&lt;0,"■ Vencido",IF($J22&lt;=Listas!$H$6,"▲ A vencer","● Ativo"))))</f>
        <v/>
      </c>
      <c r="L22" s="95"/>
      <c r="M22" s="95"/>
      <c r="N22" s="41" t="str">
        <f aca="false">IF($B22="","",IF(N($L22)=0,0,MIN(1,N($M22)/$L22)))</f>
        <v/>
      </c>
      <c r="O22" s="73"/>
      <c r="P22" s="73"/>
      <c r="Q22" s="73"/>
      <c r="R22" s="35"/>
      <c r="S22" s="35"/>
      <c r="T22" s="13"/>
      <c r="U22" s="13"/>
      <c r="V22" s="13"/>
      <c r="W22" s="11"/>
    </row>
    <row r="23" customFormat="false" ht="21.75" hidden="false" customHeight="true" outlineLevel="0" collapsed="false">
      <c r="A23" s="56" t="str">
        <f aca="false">IF($B23="","","RE-"&amp;TEXT(ROW()-9,"00"))</f>
        <v/>
      </c>
      <c r="B23" s="13"/>
      <c r="C23" s="13"/>
      <c r="D23" s="13"/>
      <c r="E23" s="50"/>
      <c r="F23" s="35"/>
      <c r="G23" s="50"/>
      <c r="H23" s="50"/>
      <c r="I23" s="50"/>
      <c r="J23" s="93" t="str">
        <f aca="true">IF(OR($B23="",$I23=""),"",$I23-TODAY())</f>
        <v/>
      </c>
      <c r="K23" s="94" t="str">
        <f aca="false">IF($B23="","",IF($I23="","∞ Vitalício",IF($J23&lt;0,"■ Vencido",IF($J23&lt;=Listas!$H$6,"▲ A vencer","● Ativo"))))</f>
        <v/>
      </c>
      <c r="L23" s="95"/>
      <c r="M23" s="95"/>
      <c r="N23" s="41" t="str">
        <f aca="false">IF($B23="","",IF(N($L23)=0,0,MIN(1,N($M23)/$L23)))</f>
        <v/>
      </c>
      <c r="O23" s="73"/>
      <c r="P23" s="73"/>
      <c r="Q23" s="73"/>
      <c r="R23" s="35"/>
      <c r="S23" s="35"/>
      <c r="T23" s="13"/>
      <c r="U23" s="13"/>
      <c r="V23" s="13"/>
      <c r="W23" s="11"/>
    </row>
    <row r="24" customFormat="false" ht="21.75" hidden="false" customHeight="true" outlineLevel="0" collapsed="false">
      <c r="A24" s="56" t="str">
        <f aca="false">IF($B24="","","RE-"&amp;TEXT(ROW()-9,"00"))</f>
        <v/>
      </c>
      <c r="B24" s="13"/>
      <c r="C24" s="13"/>
      <c r="D24" s="13"/>
      <c r="E24" s="50"/>
      <c r="F24" s="35"/>
      <c r="G24" s="50"/>
      <c r="H24" s="50"/>
      <c r="I24" s="50"/>
      <c r="J24" s="93" t="str">
        <f aca="true">IF(OR($B24="",$I24=""),"",$I24-TODAY())</f>
        <v/>
      </c>
      <c r="K24" s="94" t="str">
        <f aca="false">IF($B24="","",IF($I24="","∞ Vitalício",IF($J24&lt;0,"■ Vencido",IF($J24&lt;=Listas!$H$6,"▲ A vencer","● Ativo"))))</f>
        <v/>
      </c>
      <c r="L24" s="95"/>
      <c r="M24" s="95"/>
      <c r="N24" s="41" t="str">
        <f aca="false">IF($B24="","",IF(N($L24)=0,0,MIN(1,N($M24)/$L24)))</f>
        <v/>
      </c>
      <c r="O24" s="73"/>
      <c r="P24" s="73"/>
      <c r="Q24" s="73"/>
      <c r="R24" s="35"/>
      <c r="S24" s="35"/>
      <c r="T24" s="13"/>
      <c r="U24" s="13"/>
      <c r="V24" s="13"/>
      <c r="W24" s="11"/>
    </row>
    <row r="25" customFormat="false" ht="21.75" hidden="false" customHeight="true" outlineLevel="0" collapsed="false">
      <c r="A25" s="56" t="str">
        <f aca="false">IF($B25="","","RE-"&amp;TEXT(ROW()-9,"00"))</f>
        <v/>
      </c>
      <c r="B25" s="13"/>
      <c r="C25" s="13"/>
      <c r="D25" s="13"/>
      <c r="E25" s="50"/>
      <c r="F25" s="35"/>
      <c r="G25" s="50"/>
      <c r="H25" s="50"/>
      <c r="I25" s="50"/>
      <c r="J25" s="93" t="str">
        <f aca="true">IF(OR($B25="",$I25=""),"",$I25-TODAY())</f>
        <v/>
      </c>
      <c r="K25" s="94" t="str">
        <f aca="false">IF($B25="","",IF($I25="","∞ Vitalício",IF($J25&lt;0,"■ Vencido",IF($J25&lt;=Listas!$H$6,"▲ A vencer","● Ativo"))))</f>
        <v/>
      </c>
      <c r="L25" s="95"/>
      <c r="M25" s="95"/>
      <c r="N25" s="41" t="str">
        <f aca="false">IF($B25="","",IF(N($L25)=0,0,MIN(1,N($M25)/$L25)))</f>
        <v/>
      </c>
      <c r="O25" s="73"/>
      <c r="P25" s="73"/>
      <c r="Q25" s="73"/>
      <c r="R25" s="35"/>
      <c r="S25" s="35"/>
      <c r="T25" s="13"/>
      <c r="U25" s="13"/>
      <c r="V25" s="13"/>
      <c r="W25" s="11"/>
    </row>
    <row r="26" customFormat="false" ht="21.75" hidden="false" customHeight="true" outlineLevel="0" collapsed="false">
      <c r="A26" s="56" t="str">
        <f aca="false">IF($B26="","","RE-"&amp;TEXT(ROW()-9,"00"))</f>
        <v/>
      </c>
      <c r="B26" s="13"/>
      <c r="C26" s="13"/>
      <c r="D26" s="13"/>
      <c r="E26" s="50"/>
      <c r="F26" s="35"/>
      <c r="G26" s="50"/>
      <c r="H26" s="50"/>
      <c r="I26" s="50"/>
      <c r="J26" s="93" t="str">
        <f aca="true">IF(OR($B26="",$I26=""),"",$I26-TODAY())</f>
        <v/>
      </c>
      <c r="K26" s="94" t="str">
        <f aca="false">IF($B26="","",IF($I26="","∞ Vitalício",IF($J26&lt;0,"■ Vencido",IF($J26&lt;=Listas!$H$6,"▲ A vencer","● Ativo"))))</f>
        <v/>
      </c>
      <c r="L26" s="95"/>
      <c r="M26" s="95"/>
      <c r="N26" s="41" t="str">
        <f aca="false">IF($B26="","",IF(N($L26)=0,0,MIN(1,N($M26)/$L26)))</f>
        <v/>
      </c>
      <c r="O26" s="73"/>
      <c r="P26" s="73"/>
      <c r="Q26" s="73"/>
      <c r="R26" s="35"/>
      <c r="S26" s="35"/>
      <c r="T26" s="13"/>
      <c r="U26" s="13"/>
      <c r="V26" s="13"/>
      <c r="W26" s="11"/>
    </row>
    <row r="27" customFormat="false" ht="21.75" hidden="false" customHeight="true" outlineLevel="0" collapsed="false">
      <c r="A27" s="56" t="str">
        <f aca="false">IF($B27="","","RE-"&amp;TEXT(ROW()-9,"00"))</f>
        <v/>
      </c>
      <c r="B27" s="13"/>
      <c r="C27" s="13"/>
      <c r="D27" s="13"/>
      <c r="E27" s="50"/>
      <c r="F27" s="35"/>
      <c r="G27" s="50"/>
      <c r="H27" s="50"/>
      <c r="I27" s="50"/>
      <c r="J27" s="93" t="str">
        <f aca="true">IF(OR($B27="",$I27=""),"",$I27-TODAY())</f>
        <v/>
      </c>
      <c r="K27" s="94" t="str">
        <f aca="false">IF($B27="","",IF($I27="","∞ Vitalício",IF($J27&lt;0,"■ Vencido",IF($J27&lt;=Listas!$H$6,"▲ A vencer","● Ativo"))))</f>
        <v/>
      </c>
      <c r="L27" s="95"/>
      <c r="M27" s="95"/>
      <c r="N27" s="41" t="str">
        <f aca="false">IF($B27="","",IF(N($L27)=0,0,MIN(1,N($M27)/$L27)))</f>
        <v/>
      </c>
      <c r="O27" s="73"/>
      <c r="P27" s="73"/>
      <c r="Q27" s="73"/>
      <c r="R27" s="35"/>
      <c r="S27" s="35"/>
      <c r="T27" s="13"/>
      <c r="U27" s="13"/>
      <c r="V27" s="13"/>
      <c r="W27" s="11"/>
    </row>
    <row r="28" customFormat="false" ht="21.75" hidden="false" customHeight="true" outlineLevel="0" collapsed="false">
      <c r="A28" s="56" t="str">
        <f aca="false">IF($B28="","","RE-"&amp;TEXT(ROW()-9,"00"))</f>
        <v/>
      </c>
      <c r="B28" s="13"/>
      <c r="C28" s="13"/>
      <c r="D28" s="13"/>
      <c r="E28" s="50"/>
      <c r="F28" s="35"/>
      <c r="G28" s="50"/>
      <c r="H28" s="50"/>
      <c r="I28" s="50"/>
      <c r="J28" s="93" t="str">
        <f aca="true">IF(OR($B28="",$I28=""),"",$I28-TODAY())</f>
        <v/>
      </c>
      <c r="K28" s="94" t="str">
        <f aca="false">IF($B28="","",IF($I28="","∞ Vitalício",IF($J28&lt;0,"■ Vencido",IF($J28&lt;=Listas!$H$6,"▲ A vencer","● Ativo"))))</f>
        <v/>
      </c>
      <c r="L28" s="95"/>
      <c r="M28" s="95"/>
      <c r="N28" s="41" t="str">
        <f aca="false">IF($B28="","",IF(N($L28)=0,0,MIN(1,N($M28)/$L28)))</f>
        <v/>
      </c>
      <c r="O28" s="73"/>
      <c r="P28" s="73"/>
      <c r="Q28" s="73"/>
      <c r="R28" s="35"/>
      <c r="S28" s="35"/>
      <c r="T28" s="13"/>
      <c r="U28" s="13"/>
      <c r="V28" s="13"/>
      <c r="W28" s="11"/>
    </row>
    <row r="29" customFormat="false" ht="21.75" hidden="false" customHeight="true" outlineLevel="0" collapsed="false">
      <c r="A29" s="56" t="str">
        <f aca="false">IF($B29="","","RE-"&amp;TEXT(ROW()-9,"00"))</f>
        <v/>
      </c>
      <c r="B29" s="13"/>
      <c r="C29" s="13"/>
      <c r="D29" s="13"/>
      <c r="E29" s="50"/>
      <c r="F29" s="35"/>
      <c r="G29" s="50"/>
      <c r="H29" s="50"/>
      <c r="I29" s="50"/>
      <c r="J29" s="93" t="str">
        <f aca="true">IF(OR($B29="",$I29=""),"",$I29-TODAY())</f>
        <v/>
      </c>
      <c r="K29" s="94" t="str">
        <f aca="false">IF($B29="","",IF($I29="","∞ Vitalício",IF($J29&lt;0,"■ Vencido",IF($J29&lt;=Listas!$H$6,"▲ A vencer","● Ativo"))))</f>
        <v/>
      </c>
      <c r="L29" s="95"/>
      <c r="M29" s="95"/>
      <c r="N29" s="41" t="str">
        <f aca="false">IF($B29="","",IF(N($L29)=0,0,MIN(1,N($M29)/$L29)))</f>
        <v/>
      </c>
      <c r="O29" s="73"/>
      <c r="P29" s="73"/>
      <c r="Q29" s="73"/>
      <c r="R29" s="35"/>
      <c r="S29" s="35"/>
      <c r="T29" s="13"/>
      <c r="U29" s="13"/>
      <c r="V29" s="13"/>
      <c r="W29" s="11"/>
    </row>
    <row r="30" customFormat="false" ht="21.75" hidden="false" customHeight="true" outlineLevel="0" collapsed="false">
      <c r="A30" s="56" t="str">
        <f aca="false">IF($B30="","","RE-"&amp;TEXT(ROW()-9,"00"))</f>
        <v/>
      </c>
      <c r="B30" s="13"/>
      <c r="C30" s="13"/>
      <c r="D30" s="13"/>
      <c r="E30" s="50"/>
      <c r="F30" s="35"/>
      <c r="G30" s="50"/>
      <c r="H30" s="50"/>
      <c r="I30" s="50"/>
      <c r="J30" s="93" t="str">
        <f aca="true">IF(OR($B30="",$I30=""),"",$I30-TODAY())</f>
        <v/>
      </c>
      <c r="K30" s="94" t="str">
        <f aca="false">IF($B30="","",IF($I30="","∞ Vitalício",IF($J30&lt;0,"■ Vencido",IF($J30&lt;=Listas!$H$6,"▲ A vencer","● Ativo"))))</f>
        <v/>
      </c>
      <c r="L30" s="95"/>
      <c r="M30" s="95"/>
      <c r="N30" s="41" t="str">
        <f aca="false">IF($B30="","",IF(N($L30)=0,0,MIN(1,N($M30)/$L30)))</f>
        <v/>
      </c>
      <c r="O30" s="73"/>
      <c r="P30" s="73"/>
      <c r="Q30" s="73"/>
      <c r="R30" s="35"/>
      <c r="S30" s="35"/>
      <c r="T30" s="13"/>
      <c r="U30" s="13"/>
      <c r="V30" s="13"/>
      <c r="W30" s="11"/>
    </row>
    <row r="31" customFormat="false" ht="21.75" hidden="false" customHeight="true" outlineLevel="0" collapsed="false">
      <c r="A31" s="56" t="str">
        <f aca="false">IF($B31="","","RE-"&amp;TEXT(ROW()-9,"00"))</f>
        <v/>
      </c>
      <c r="B31" s="13"/>
      <c r="C31" s="13"/>
      <c r="D31" s="13"/>
      <c r="E31" s="50"/>
      <c r="F31" s="35"/>
      <c r="G31" s="50"/>
      <c r="H31" s="50"/>
      <c r="I31" s="50"/>
      <c r="J31" s="93" t="str">
        <f aca="true">IF(OR($B31="",$I31=""),"",$I31-TODAY())</f>
        <v/>
      </c>
      <c r="K31" s="94" t="str">
        <f aca="false">IF($B31="","",IF($I31="","∞ Vitalício",IF($J31&lt;0,"■ Vencido",IF($J31&lt;=Listas!$H$6,"▲ A vencer","● Ativo"))))</f>
        <v/>
      </c>
      <c r="L31" s="95"/>
      <c r="M31" s="95"/>
      <c r="N31" s="41" t="str">
        <f aca="false">IF($B31="","",IF(N($L31)=0,0,MIN(1,N($M31)/$L31)))</f>
        <v/>
      </c>
      <c r="O31" s="73"/>
      <c r="P31" s="73"/>
      <c r="Q31" s="73"/>
      <c r="R31" s="35"/>
      <c r="S31" s="35"/>
      <c r="T31" s="13"/>
      <c r="U31" s="13"/>
      <c r="V31" s="13"/>
      <c r="W31" s="11"/>
    </row>
    <row r="32" customFormat="false" ht="21.75" hidden="false" customHeight="true" outlineLevel="0" collapsed="false">
      <c r="A32" s="56" t="str">
        <f aca="false">IF($B32="","","RE-"&amp;TEXT(ROW()-9,"00"))</f>
        <v/>
      </c>
      <c r="B32" s="13"/>
      <c r="C32" s="13"/>
      <c r="D32" s="13"/>
      <c r="E32" s="50"/>
      <c r="F32" s="35"/>
      <c r="G32" s="50"/>
      <c r="H32" s="50"/>
      <c r="I32" s="50"/>
      <c r="J32" s="93" t="str">
        <f aca="true">IF(OR($B32="",$I32=""),"",$I32-TODAY())</f>
        <v/>
      </c>
      <c r="K32" s="94" t="str">
        <f aca="false">IF($B32="","",IF($I32="","∞ Vitalício",IF($J32&lt;0,"■ Vencido",IF($J32&lt;=Listas!$H$6,"▲ A vencer","● Ativo"))))</f>
        <v/>
      </c>
      <c r="L32" s="95"/>
      <c r="M32" s="95"/>
      <c r="N32" s="41" t="str">
        <f aca="false">IF($B32="","",IF(N($L32)=0,0,MIN(1,N($M32)/$L32)))</f>
        <v/>
      </c>
      <c r="O32" s="73"/>
      <c r="P32" s="73"/>
      <c r="Q32" s="73"/>
      <c r="R32" s="35"/>
      <c r="S32" s="35"/>
      <c r="T32" s="13"/>
      <c r="U32" s="13"/>
      <c r="V32" s="13"/>
      <c r="W32" s="11"/>
    </row>
    <row r="33" customFormat="false" ht="21.75" hidden="false" customHeight="true" outlineLevel="0" collapsed="false">
      <c r="A33" s="56" t="str">
        <f aca="false">IF($B33="","","RE-"&amp;TEXT(ROW()-9,"00"))</f>
        <v/>
      </c>
      <c r="B33" s="13"/>
      <c r="C33" s="13"/>
      <c r="D33" s="13"/>
      <c r="E33" s="50"/>
      <c r="F33" s="35"/>
      <c r="G33" s="50"/>
      <c r="H33" s="50"/>
      <c r="I33" s="50"/>
      <c r="J33" s="93" t="str">
        <f aca="true">IF(OR($B33="",$I33=""),"",$I33-TODAY())</f>
        <v/>
      </c>
      <c r="K33" s="94" t="str">
        <f aca="false">IF($B33="","",IF($I33="","∞ Vitalício",IF($J33&lt;0,"■ Vencido",IF($J33&lt;=Listas!$H$6,"▲ A vencer","● Ativo"))))</f>
        <v/>
      </c>
      <c r="L33" s="95"/>
      <c r="M33" s="95"/>
      <c r="N33" s="41" t="str">
        <f aca="false">IF($B33="","",IF(N($L33)=0,0,MIN(1,N($M33)/$L33)))</f>
        <v/>
      </c>
      <c r="O33" s="73"/>
      <c r="P33" s="73"/>
      <c r="Q33" s="73"/>
      <c r="R33" s="35"/>
      <c r="S33" s="35"/>
      <c r="T33" s="13"/>
      <c r="U33" s="13"/>
      <c r="V33" s="13"/>
      <c r="W33" s="11"/>
    </row>
    <row r="34" customFormat="false" ht="21.75" hidden="false" customHeight="true" outlineLevel="0" collapsed="false">
      <c r="A34" s="56" t="str">
        <f aca="false">IF($B34="","","RE-"&amp;TEXT(ROW()-9,"00"))</f>
        <v/>
      </c>
      <c r="B34" s="13"/>
      <c r="C34" s="13"/>
      <c r="D34" s="13"/>
      <c r="E34" s="50"/>
      <c r="F34" s="35"/>
      <c r="G34" s="50"/>
      <c r="H34" s="50"/>
      <c r="I34" s="50"/>
      <c r="J34" s="93" t="str">
        <f aca="true">IF(OR($B34="",$I34=""),"",$I34-TODAY())</f>
        <v/>
      </c>
      <c r="K34" s="94" t="str">
        <f aca="false">IF($B34="","",IF($I34="","∞ Vitalício",IF($J34&lt;0,"■ Vencido",IF($J34&lt;=Listas!$H$6,"▲ A vencer","● Ativo"))))</f>
        <v/>
      </c>
      <c r="L34" s="95"/>
      <c r="M34" s="95"/>
      <c r="N34" s="41" t="str">
        <f aca="false">IF($B34="","",IF(N($L34)=0,0,MIN(1,N($M34)/$L34)))</f>
        <v/>
      </c>
      <c r="O34" s="73"/>
      <c r="P34" s="73"/>
      <c r="Q34" s="73"/>
      <c r="R34" s="35"/>
      <c r="S34" s="35"/>
      <c r="T34" s="13"/>
      <c r="U34" s="13"/>
      <c r="V34" s="13"/>
      <c r="W34" s="11"/>
    </row>
    <row r="35" customFormat="false" ht="21.75" hidden="false" customHeight="true" outlineLevel="0" collapsed="false">
      <c r="A35" s="56" t="str">
        <f aca="false">IF($B35="","","RE-"&amp;TEXT(ROW()-9,"00"))</f>
        <v/>
      </c>
      <c r="B35" s="13"/>
      <c r="C35" s="13"/>
      <c r="D35" s="13"/>
      <c r="E35" s="50"/>
      <c r="F35" s="35"/>
      <c r="G35" s="50"/>
      <c r="H35" s="50"/>
      <c r="I35" s="50"/>
      <c r="J35" s="93" t="str">
        <f aca="true">IF(OR($B35="",$I35=""),"",$I35-TODAY())</f>
        <v/>
      </c>
      <c r="K35" s="94" t="str">
        <f aca="false">IF($B35="","",IF($I35="","∞ Vitalício",IF($J35&lt;0,"■ Vencido",IF($J35&lt;=Listas!$H$6,"▲ A vencer","● Ativo"))))</f>
        <v/>
      </c>
      <c r="L35" s="95"/>
      <c r="M35" s="95"/>
      <c r="N35" s="41" t="str">
        <f aca="false">IF($B35="","",IF(N($L35)=0,0,MIN(1,N($M35)/$L35)))</f>
        <v/>
      </c>
      <c r="O35" s="73"/>
      <c r="P35" s="73"/>
      <c r="Q35" s="73"/>
      <c r="R35" s="35"/>
      <c r="S35" s="35"/>
      <c r="T35" s="13"/>
      <c r="U35" s="13"/>
      <c r="V35" s="13"/>
      <c r="W35" s="11"/>
    </row>
    <row r="36" customFormat="false" ht="21.75" hidden="false" customHeight="true" outlineLevel="0" collapsed="false">
      <c r="A36" s="56" t="str">
        <f aca="false">IF($B36="","","RE-"&amp;TEXT(ROW()-9,"00"))</f>
        <v/>
      </c>
      <c r="B36" s="13"/>
      <c r="C36" s="13"/>
      <c r="D36" s="13"/>
      <c r="E36" s="50"/>
      <c r="F36" s="35"/>
      <c r="G36" s="50"/>
      <c r="H36" s="50"/>
      <c r="I36" s="50"/>
      <c r="J36" s="93" t="str">
        <f aca="true">IF(OR($B36="",$I36=""),"",$I36-TODAY())</f>
        <v/>
      </c>
      <c r="K36" s="94" t="str">
        <f aca="false">IF($B36="","",IF($I36="","∞ Vitalício",IF($J36&lt;0,"■ Vencido",IF($J36&lt;=Listas!$H$6,"▲ A vencer","● Ativo"))))</f>
        <v/>
      </c>
      <c r="L36" s="95"/>
      <c r="M36" s="95"/>
      <c r="N36" s="41" t="str">
        <f aca="false">IF($B36="","",IF(N($L36)=0,0,MIN(1,N($M36)/$L36)))</f>
        <v/>
      </c>
      <c r="O36" s="73"/>
      <c r="P36" s="73"/>
      <c r="Q36" s="73"/>
      <c r="R36" s="35"/>
      <c r="S36" s="35"/>
      <c r="T36" s="13"/>
      <c r="U36" s="13"/>
      <c r="V36" s="13"/>
      <c r="W36" s="11"/>
    </row>
    <row r="37" customFormat="false" ht="21.75" hidden="false" customHeight="true" outlineLevel="0" collapsed="false">
      <c r="A37" s="56" t="str">
        <f aca="false">IF($B37="","","RE-"&amp;TEXT(ROW()-9,"00"))</f>
        <v/>
      </c>
      <c r="B37" s="13"/>
      <c r="C37" s="13"/>
      <c r="D37" s="13"/>
      <c r="E37" s="50"/>
      <c r="F37" s="35"/>
      <c r="G37" s="50"/>
      <c r="H37" s="50"/>
      <c r="I37" s="50"/>
      <c r="J37" s="93" t="str">
        <f aca="true">IF(OR($B37="",$I37=""),"",$I37-TODAY())</f>
        <v/>
      </c>
      <c r="K37" s="94" t="str">
        <f aca="false">IF($B37="","",IF($I37="","∞ Vitalício",IF($J37&lt;0,"■ Vencido",IF($J37&lt;=Listas!$H$6,"▲ A vencer","● Ativo"))))</f>
        <v/>
      </c>
      <c r="L37" s="95"/>
      <c r="M37" s="95"/>
      <c r="N37" s="41" t="str">
        <f aca="false">IF($B37="","",IF(N($L37)=0,0,MIN(1,N($M37)/$L37)))</f>
        <v/>
      </c>
      <c r="O37" s="73"/>
      <c r="P37" s="73"/>
      <c r="Q37" s="73"/>
      <c r="R37" s="35"/>
      <c r="S37" s="35"/>
      <c r="T37" s="13"/>
      <c r="U37" s="13"/>
      <c r="V37" s="13"/>
      <c r="W37" s="11"/>
    </row>
    <row r="38" customFormat="false" ht="21.75" hidden="false" customHeight="true" outlineLevel="0" collapsed="false">
      <c r="A38" s="56" t="str">
        <f aca="false">IF($B38="","","RE-"&amp;TEXT(ROW()-9,"00"))</f>
        <v/>
      </c>
      <c r="B38" s="13"/>
      <c r="C38" s="13"/>
      <c r="D38" s="13"/>
      <c r="E38" s="50"/>
      <c r="F38" s="35"/>
      <c r="G38" s="50"/>
      <c r="H38" s="50"/>
      <c r="I38" s="50"/>
      <c r="J38" s="93" t="str">
        <f aca="true">IF(OR($B38="",$I38=""),"",$I38-TODAY())</f>
        <v/>
      </c>
      <c r="K38" s="94" t="str">
        <f aca="false">IF($B38="","",IF($I38="","∞ Vitalício",IF($J38&lt;0,"■ Vencido",IF($J38&lt;=Listas!$H$6,"▲ A vencer","● Ativo"))))</f>
        <v/>
      </c>
      <c r="L38" s="95"/>
      <c r="M38" s="95"/>
      <c r="N38" s="41" t="str">
        <f aca="false">IF($B38="","",IF(N($L38)=0,0,MIN(1,N($M38)/$L38)))</f>
        <v/>
      </c>
      <c r="O38" s="73"/>
      <c r="P38" s="73"/>
      <c r="Q38" s="73"/>
      <c r="R38" s="35"/>
      <c r="S38" s="35"/>
      <c r="T38" s="13"/>
      <c r="U38" s="13"/>
      <c r="V38" s="13"/>
      <c r="W38" s="11"/>
    </row>
    <row r="39" customFormat="false" ht="21.75" hidden="false" customHeight="true" outlineLevel="0" collapsed="false">
      <c r="A39" s="56" t="str">
        <f aca="false">IF($B39="","","RE-"&amp;TEXT(ROW()-9,"00"))</f>
        <v/>
      </c>
      <c r="B39" s="13"/>
      <c r="C39" s="13"/>
      <c r="D39" s="13"/>
      <c r="E39" s="50"/>
      <c r="F39" s="35"/>
      <c r="G39" s="50"/>
      <c r="H39" s="50"/>
      <c r="I39" s="50"/>
      <c r="J39" s="93" t="str">
        <f aca="true">IF(OR($B39="",$I39=""),"",$I39-TODAY())</f>
        <v/>
      </c>
      <c r="K39" s="94" t="str">
        <f aca="false">IF($B39="","",IF($I39="","∞ Vitalício",IF($J39&lt;0,"■ Vencido",IF($J39&lt;=Listas!$H$6,"▲ A vencer","● Ativo"))))</f>
        <v/>
      </c>
      <c r="L39" s="95"/>
      <c r="M39" s="95"/>
      <c r="N39" s="41" t="str">
        <f aca="false">IF($B39="","",IF(N($L39)=0,0,MIN(1,N($M39)/$L39)))</f>
        <v/>
      </c>
      <c r="O39" s="73"/>
      <c r="P39" s="73"/>
      <c r="Q39" s="73"/>
      <c r="R39" s="35"/>
      <c r="S39" s="35"/>
      <c r="T39" s="13"/>
      <c r="U39" s="13"/>
      <c r="V39" s="13"/>
      <c r="W39" s="11"/>
    </row>
    <row r="40" customFormat="false" ht="21.75" hidden="false" customHeight="true" outlineLevel="0" collapsed="false">
      <c r="A40" s="56" t="str">
        <f aca="false">IF($B40="","","RE-"&amp;TEXT(ROW()-9,"00"))</f>
        <v/>
      </c>
      <c r="B40" s="13"/>
      <c r="C40" s="13"/>
      <c r="D40" s="13"/>
      <c r="E40" s="50"/>
      <c r="F40" s="35"/>
      <c r="G40" s="50"/>
      <c r="H40" s="50"/>
      <c r="I40" s="50"/>
      <c r="J40" s="93" t="str">
        <f aca="true">IF(OR($B40="",$I40=""),"",$I40-TODAY())</f>
        <v/>
      </c>
      <c r="K40" s="94" t="str">
        <f aca="false">IF($B40="","",IF($I40="","∞ Vitalício",IF($J40&lt;0,"■ Vencido",IF($J40&lt;=Listas!$H$6,"▲ A vencer","● Ativo"))))</f>
        <v/>
      </c>
      <c r="L40" s="95"/>
      <c r="M40" s="95"/>
      <c r="N40" s="41" t="str">
        <f aca="false">IF($B40="","",IF(N($L40)=0,0,MIN(1,N($M40)/$L40)))</f>
        <v/>
      </c>
      <c r="O40" s="73"/>
      <c r="P40" s="73"/>
      <c r="Q40" s="73"/>
      <c r="R40" s="35"/>
      <c r="S40" s="35"/>
      <c r="T40" s="13"/>
      <c r="U40" s="13"/>
      <c r="V40" s="13"/>
      <c r="W40" s="11"/>
    </row>
    <row r="41" customFormat="false" ht="21.75" hidden="false" customHeight="true" outlineLevel="0" collapsed="false">
      <c r="A41" s="56" t="str">
        <f aca="false">IF($B41="","","RE-"&amp;TEXT(ROW()-9,"00"))</f>
        <v/>
      </c>
      <c r="B41" s="13"/>
      <c r="C41" s="13"/>
      <c r="D41" s="13"/>
      <c r="E41" s="50"/>
      <c r="F41" s="35"/>
      <c r="G41" s="50"/>
      <c r="H41" s="50"/>
      <c r="I41" s="50"/>
      <c r="J41" s="93" t="str">
        <f aca="true">IF(OR($B41="",$I41=""),"",$I41-TODAY())</f>
        <v/>
      </c>
      <c r="K41" s="94" t="str">
        <f aca="false">IF($B41="","",IF($I41="","∞ Vitalício",IF($J41&lt;0,"■ Vencido",IF($J41&lt;=Listas!$H$6,"▲ A vencer","● Ativo"))))</f>
        <v/>
      </c>
      <c r="L41" s="95"/>
      <c r="M41" s="95"/>
      <c r="N41" s="41" t="str">
        <f aca="false">IF($B41="","",IF(N($L41)=0,0,MIN(1,N($M41)/$L41)))</f>
        <v/>
      </c>
      <c r="O41" s="73"/>
      <c r="P41" s="73"/>
      <c r="Q41" s="73"/>
      <c r="R41" s="35"/>
      <c r="S41" s="35"/>
      <c r="T41" s="13"/>
      <c r="U41" s="13"/>
      <c r="V41" s="13"/>
      <c r="W41" s="11"/>
    </row>
    <row r="42" customFormat="false" ht="21.75" hidden="false" customHeight="true" outlineLevel="0" collapsed="false">
      <c r="A42" s="56" t="str">
        <f aca="false">IF($B42="","","RE-"&amp;TEXT(ROW()-9,"00"))</f>
        <v/>
      </c>
      <c r="B42" s="13"/>
      <c r="C42" s="13"/>
      <c r="D42" s="13"/>
      <c r="E42" s="50"/>
      <c r="F42" s="35"/>
      <c r="G42" s="50"/>
      <c r="H42" s="50"/>
      <c r="I42" s="50"/>
      <c r="J42" s="93" t="str">
        <f aca="true">IF(OR($B42="",$I42=""),"",$I42-TODAY())</f>
        <v/>
      </c>
      <c r="K42" s="94" t="str">
        <f aca="false">IF($B42="","",IF($I42="","∞ Vitalício",IF($J42&lt;0,"■ Vencido",IF($J42&lt;=Listas!$H$6,"▲ A vencer","● Ativo"))))</f>
        <v/>
      </c>
      <c r="L42" s="95"/>
      <c r="M42" s="95"/>
      <c r="N42" s="41" t="str">
        <f aca="false">IF($B42="","",IF(N($L42)=0,0,MIN(1,N($M42)/$L42)))</f>
        <v/>
      </c>
      <c r="O42" s="73"/>
      <c r="P42" s="73"/>
      <c r="Q42" s="73"/>
      <c r="R42" s="35"/>
      <c r="S42" s="35"/>
      <c r="T42" s="13"/>
      <c r="U42" s="13"/>
      <c r="V42" s="13"/>
      <c r="W42" s="11"/>
    </row>
    <row r="43" customFormat="false" ht="21.75" hidden="false" customHeight="true" outlineLevel="0" collapsed="false">
      <c r="A43" s="56" t="str">
        <f aca="false">IF($B43="","","RE-"&amp;TEXT(ROW()-9,"00"))</f>
        <v/>
      </c>
      <c r="B43" s="13"/>
      <c r="C43" s="13"/>
      <c r="D43" s="13"/>
      <c r="E43" s="50"/>
      <c r="F43" s="35"/>
      <c r="G43" s="50"/>
      <c r="H43" s="50"/>
      <c r="I43" s="50"/>
      <c r="J43" s="93" t="str">
        <f aca="true">IF(OR($B43="",$I43=""),"",$I43-TODAY())</f>
        <v/>
      </c>
      <c r="K43" s="94" t="str">
        <f aca="false">IF($B43="","",IF($I43="","∞ Vitalício",IF($J43&lt;0,"■ Vencido",IF($J43&lt;=Listas!$H$6,"▲ A vencer","● Ativo"))))</f>
        <v/>
      </c>
      <c r="L43" s="95"/>
      <c r="M43" s="95"/>
      <c r="N43" s="41" t="str">
        <f aca="false">IF($B43="","",IF(N($L43)=0,0,MIN(1,N($M43)/$L43)))</f>
        <v/>
      </c>
      <c r="O43" s="73"/>
      <c r="P43" s="73"/>
      <c r="Q43" s="73"/>
      <c r="R43" s="35"/>
      <c r="S43" s="35"/>
      <c r="T43" s="13"/>
      <c r="U43" s="13"/>
      <c r="V43" s="13"/>
      <c r="W43" s="11"/>
    </row>
    <row r="44" customFormat="false" ht="21.75" hidden="false" customHeight="true" outlineLevel="0" collapsed="false">
      <c r="A44" s="56" t="str">
        <f aca="false">IF($B44="","","RE-"&amp;TEXT(ROW()-9,"00"))</f>
        <v/>
      </c>
      <c r="B44" s="13"/>
      <c r="C44" s="13"/>
      <c r="D44" s="13"/>
      <c r="E44" s="50"/>
      <c r="F44" s="35"/>
      <c r="G44" s="50"/>
      <c r="H44" s="50"/>
      <c r="I44" s="50"/>
      <c r="J44" s="93" t="str">
        <f aca="true">IF(OR($B44="",$I44=""),"",$I44-TODAY())</f>
        <v/>
      </c>
      <c r="K44" s="94" t="str">
        <f aca="false">IF($B44="","",IF($I44="","∞ Vitalício",IF($J44&lt;0,"■ Vencido",IF($J44&lt;=Listas!$H$6,"▲ A vencer","● Ativo"))))</f>
        <v/>
      </c>
      <c r="L44" s="95"/>
      <c r="M44" s="95"/>
      <c r="N44" s="41" t="str">
        <f aca="false">IF($B44="","",IF(N($L44)=0,0,MIN(1,N($M44)/$L44)))</f>
        <v/>
      </c>
      <c r="O44" s="73"/>
      <c r="P44" s="73"/>
      <c r="Q44" s="73"/>
      <c r="R44" s="35"/>
      <c r="S44" s="35"/>
      <c r="T44" s="13"/>
      <c r="U44" s="13"/>
      <c r="V44" s="13"/>
      <c r="W44" s="11"/>
    </row>
    <row r="45" customFormat="false" ht="21.75" hidden="false" customHeight="true" outlineLevel="0" collapsed="false">
      <c r="A45" s="56" t="str">
        <f aca="false">IF($B45="","","RE-"&amp;TEXT(ROW()-9,"00"))</f>
        <v/>
      </c>
      <c r="B45" s="13"/>
      <c r="C45" s="13"/>
      <c r="D45" s="13"/>
      <c r="E45" s="50"/>
      <c r="F45" s="35"/>
      <c r="G45" s="50"/>
      <c r="H45" s="50"/>
      <c r="I45" s="50"/>
      <c r="J45" s="93" t="str">
        <f aca="true">IF(OR($B45="",$I45=""),"",$I45-TODAY())</f>
        <v/>
      </c>
      <c r="K45" s="94" t="str">
        <f aca="false">IF($B45="","",IF($I45="","∞ Vitalício",IF($J45&lt;0,"■ Vencido",IF($J45&lt;=Listas!$H$6,"▲ A vencer","● Ativo"))))</f>
        <v/>
      </c>
      <c r="L45" s="95"/>
      <c r="M45" s="95"/>
      <c r="N45" s="41" t="str">
        <f aca="false">IF($B45="","",IF(N($L45)=0,0,MIN(1,N($M45)/$L45)))</f>
        <v/>
      </c>
      <c r="O45" s="73"/>
      <c r="P45" s="73"/>
      <c r="Q45" s="73"/>
      <c r="R45" s="35"/>
      <c r="S45" s="35"/>
      <c r="T45" s="13"/>
      <c r="U45" s="13"/>
      <c r="V45" s="13"/>
      <c r="W45" s="11"/>
    </row>
    <row r="46" customFormat="false" ht="21.75" hidden="false" customHeight="true" outlineLevel="0" collapsed="false">
      <c r="A46" s="56" t="str">
        <f aca="false">IF($B46="","","RE-"&amp;TEXT(ROW()-9,"00"))</f>
        <v/>
      </c>
      <c r="B46" s="13"/>
      <c r="C46" s="13"/>
      <c r="D46" s="13"/>
      <c r="E46" s="50"/>
      <c r="F46" s="35"/>
      <c r="G46" s="50"/>
      <c r="H46" s="50"/>
      <c r="I46" s="50"/>
      <c r="J46" s="93" t="str">
        <f aca="true">IF(OR($B46="",$I46=""),"",$I46-TODAY())</f>
        <v/>
      </c>
      <c r="K46" s="94" t="str">
        <f aca="false">IF($B46="","",IF($I46="","∞ Vitalício",IF($J46&lt;0,"■ Vencido",IF($J46&lt;=Listas!$H$6,"▲ A vencer","● Ativo"))))</f>
        <v/>
      </c>
      <c r="L46" s="95"/>
      <c r="M46" s="95"/>
      <c r="N46" s="41" t="str">
        <f aca="false">IF($B46="","",IF(N($L46)=0,0,MIN(1,N($M46)/$L46)))</f>
        <v/>
      </c>
      <c r="O46" s="73"/>
      <c r="P46" s="73"/>
      <c r="Q46" s="73"/>
      <c r="R46" s="35"/>
      <c r="S46" s="35"/>
      <c r="T46" s="13"/>
      <c r="U46" s="13"/>
      <c r="V46" s="13"/>
      <c r="W46" s="11"/>
    </row>
    <row r="47" customFormat="false" ht="21.75" hidden="false" customHeight="true" outlineLevel="0" collapsed="false">
      <c r="A47" s="56" t="str">
        <f aca="false">IF($B47="","","RE-"&amp;TEXT(ROW()-9,"00"))</f>
        <v/>
      </c>
      <c r="B47" s="13"/>
      <c r="C47" s="13"/>
      <c r="D47" s="13"/>
      <c r="E47" s="50"/>
      <c r="F47" s="35"/>
      <c r="G47" s="50"/>
      <c r="H47" s="50"/>
      <c r="I47" s="50"/>
      <c r="J47" s="93" t="str">
        <f aca="true">IF(OR($B47="",$I47=""),"",$I47-TODAY())</f>
        <v/>
      </c>
      <c r="K47" s="94" t="str">
        <f aca="false">IF($B47="","",IF($I47="","∞ Vitalício",IF($J47&lt;0,"■ Vencido",IF($J47&lt;=Listas!$H$6,"▲ A vencer","● Ativo"))))</f>
        <v/>
      </c>
      <c r="L47" s="95"/>
      <c r="M47" s="95"/>
      <c r="N47" s="41" t="str">
        <f aca="false">IF($B47="","",IF(N($L47)=0,0,MIN(1,N($M47)/$L47)))</f>
        <v/>
      </c>
      <c r="O47" s="73"/>
      <c r="P47" s="73"/>
      <c r="Q47" s="73"/>
      <c r="R47" s="35"/>
      <c r="S47" s="35"/>
      <c r="T47" s="13"/>
      <c r="U47" s="13"/>
      <c r="V47" s="13"/>
      <c r="W47" s="11"/>
    </row>
    <row r="48" customFormat="false" ht="21.75" hidden="false" customHeight="true" outlineLevel="0" collapsed="false">
      <c r="A48" s="56" t="str">
        <f aca="false">IF($B48="","","RE-"&amp;TEXT(ROW()-9,"00"))</f>
        <v/>
      </c>
      <c r="B48" s="13"/>
      <c r="C48" s="13"/>
      <c r="D48" s="13"/>
      <c r="E48" s="50"/>
      <c r="F48" s="35"/>
      <c r="G48" s="50"/>
      <c r="H48" s="50"/>
      <c r="I48" s="50"/>
      <c r="J48" s="93" t="str">
        <f aca="true">IF(OR($B48="",$I48=""),"",$I48-TODAY())</f>
        <v/>
      </c>
      <c r="K48" s="94" t="str">
        <f aca="false">IF($B48="","",IF($I48="","∞ Vitalício",IF($J48&lt;0,"■ Vencido",IF($J48&lt;=Listas!$H$6,"▲ A vencer","● Ativo"))))</f>
        <v/>
      </c>
      <c r="L48" s="95"/>
      <c r="M48" s="95"/>
      <c r="N48" s="41" t="str">
        <f aca="false">IF($B48="","",IF(N($L48)=0,0,MIN(1,N($M48)/$L48)))</f>
        <v/>
      </c>
      <c r="O48" s="73"/>
      <c r="P48" s="73"/>
      <c r="Q48" s="73"/>
      <c r="R48" s="35"/>
      <c r="S48" s="35"/>
      <c r="T48" s="13"/>
      <c r="U48" s="13"/>
      <c r="V48" s="13"/>
      <c r="W48" s="11"/>
    </row>
    <row r="49" customFormat="false" ht="21.75" hidden="false" customHeight="true" outlineLevel="0" collapsed="false">
      <c r="A49" s="56" t="str">
        <f aca="false">IF($B49="","","RE-"&amp;TEXT(ROW()-9,"00"))</f>
        <v/>
      </c>
      <c r="B49" s="13"/>
      <c r="C49" s="13"/>
      <c r="D49" s="13"/>
      <c r="E49" s="50"/>
      <c r="F49" s="35"/>
      <c r="G49" s="50"/>
      <c r="H49" s="50"/>
      <c r="I49" s="50"/>
      <c r="J49" s="93" t="str">
        <f aca="true">IF(OR($B49="",$I49=""),"",$I49-TODAY())</f>
        <v/>
      </c>
      <c r="K49" s="94" t="str">
        <f aca="false">IF($B49="","",IF($I49="","∞ Vitalício",IF($J49&lt;0,"■ Vencido",IF($J49&lt;=Listas!$H$6,"▲ A vencer","● Ativo"))))</f>
        <v/>
      </c>
      <c r="L49" s="95"/>
      <c r="M49" s="95"/>
      <c r="N49" s="41" t="str">
        <f aca="false">IF($B49="","",IF(N($L49)=0,0,MIN(1,N($M49)/$L49)))</f>
        <v/>
      </c>
      <c r="O49" s="73"/>
      <c r="P49" s="73"/>
      <c r="Q49" s="73"/>
      <c r="R49" s="35"/>
      <c r="S49" s="35"/>
      <c r="T49" s="13"/>
      <c r="U49" s="13"/>
      <c r="V49" s="13"/>
      <c r="W49" s="11"/>
    </row>
  </sheetData>
  <autoFilter ref="A9:W49"/>
  <mergeCells count="22">
    <mergeCell ref="A1:W1"/>
    <mergeCell ref="A2:T2"/>
    <mergeCell ref="U2:W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O10:O49">
    <cfRule type="cellIs" priority="2" operator="equal" aboveAverage="0" equalAverage="0" bottom="0" percent="0" rank="0" text="" dxfId="6">
      <formula>"Concluído"</formula>
    </cfRule>
    <cfRule type="cellIs" priority="3" operator="equal" aboveAverage="0" equalAverage="0" bottom="0" percent="0" rank="0" text="" dxfId="7">
      <formula>"Em andamento"</formula>
    </cfRule>
    <cfRule type="cellIs" priority="4" operator="equal" aboveAverage="0" equalAverage="0" bottom="0" percent="0" rank="0" text="" dxfId="17">
      <formula>"Pausado"</formula>
    </cfRule>
  </conditionalFormatting>
  <conditionalFormatting sqref="P10:P49">
    <cfRule type="cellIs" priority="5" operator="equal" aboveAverage="0" equalAverage="0" bottom="0" percent="0" rank="0" text="" dxfId="18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{2A695A79-74C4-4A50-94DA-B6CCA100B537}</x14:id>
        </ext>
      </extLst>
    </cfRule>
  </conditionalFormatting>
  <conditionalFormatting sqref="Q10:Q49">
    <cfRule type="cellIs" priority="7" operator="equal" aboveAverage="0" equalAverage="0" bottom="0" percent="0" rank="0" text="" dxfId="6">
      <formula>"Emitido"</formula>
    </cfRule>
    <cfRule type="cellIs" priority="8" operator="equal" aboveAverage="0" equalAverage="0" bottom="0" percent="0" rank="0" text="" dxfId="19">
      <formula>"Em emissão"</formula>
    </cfRule>
  </conditionalFormatting>
  <conditionalFormatting sqref="J10:K49">
    <cfRule type="expression" priority="9" aboveAverage="0" equalAverage="0" bottom="0" percent="0" rank="0" text="" dxfId="0">
      <formula>ISNUMBER(SEARCH("Vencido",$K10))</formula>
    </cfRule>
    <cfRule type="expression" priority="10" aboveAverage="0" equalAverage="0" bottom="0" percent="0" rank="0" text="" dxfId="1">
      <formula>ISNUMBER(SEARCH("A vencer",$K10))</formula>
    </cfRule>
    <cfRule type="expression" priority="11" aboveAverage="0" equalAverage="0" bottom="0" percent="0" rank="0" text="" dxfId="20">
      <formula>ISNUMBER(SEARCH("Ativo",$K10))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 R10:S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10:O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10:P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Q10:Q49" type="list">
      <formula1>Listas!$F$6:$F$9</formula1>
      <formula2>0</formula2>
    </dataValidation>
  </dataValidations>
  <hyperlinks>
    <hyperlink ref="U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695A79-74C4-4A50-94DA-B6CCA100B53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EAE0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  <col collapsed="false" customWidth="true" hidden="false" outlineLevel="0" max="7" min="7" style="0" width="4"/>
    <col collapsed="false" customWidth="true" hidden="false" outlineLevel="0" max="8" min="8" style="0" width="28"/>
  </cols>
  <sheetData>
    <row r="1" customFormat="false" ht="37.5" hidden="false" customHeight="true" outlineLevel="0" collapsed="false">
      <c r="A1" s="20" t="s">
        <v>223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224</v>
      </c>
      <c r="B2" s="21"/>
      <c r="C2" s="21"/>
      <c r="D2" s="21"/>
      <c r="E2" s="21"/>
      <c r="F2" s="22" t="s">
        <v>56</v>
      </c>
      <c r="G2" s="22"/>
      <c r="H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25.5" hidden="false" customHeight="true" outlineLevel="0" collapsed="false">
      <c r="A5" s="88" t="s">
        <v>93</v>
      </c>
      <c r="B5" s="88" t="s">
        <v>161</v>
      </c>
      <c r="C5" s="88" t="s">
        <v>150</v>
      </c>
      <c r="D5" s="88" t="s">
        <v>225</v>
      </c>
      <c r="E5" s="88" t="s">
        <v>226</v>
      </c>
      <c r="F5" s="88" t="s">
        <v>162</v>
      </c>
      <c r="H5" s="88" t="s">
        <v>227</v>
      </c>
    </row>
    <row r="6" customFormat="false" ht="25.5" hidden="false" customHeight="true" outlineLevel="0" collapsed="false">
      <c r="A6" s="39" t="s">
        <v>67</v>
      </c>
      <c r="B6" s="34" t="s">
        <v>169</v>
      </c>
      <c r="C6" s="34" t="s">
        <v>168</v>
      </c>
      <c r="D6" s="34" t="s">
        <v>204</v>
      </c>
      <c r="E6" s="39" t="s">
        <v>11</v>
      </c>
      <c r="F6" s="39" t="s">
        <v>170</v>
      </c>
      <c r="H6" s="97" t="n">
        <v>30</v>
      </c>
    </row>
    <row r="7" customFormat="false" ht="49.5" hidden="false" customHeight="true" outlineLevel="0" collapsed="false">
      <c r="A7" s="39" t="s">
        <v>41</v>
      </c>
      <c r="B7" s="34" t="s">
        <v>205</v>
      </c>
      <c r="C7" s="34" t="s">
        <v>228</v>
      </c>
      <c r="D7" s="34" t="s">
        <v>229</v>
      </c>
      <c r="E7" s="39" t="s">
        <v>12</v>
      </c>
      <c r="F7" s="39" t="s">
        <v>230</v>
      </c>
      <c r="H7" s="98" t="s">
        <v>231</v>
      </c>
    </row>
    <row r="8" customFormat="false" ht="15" hidden="false" customHeight="false" outlineLevel="0" collapsed="false">
      <c r="A8" s="39" t="s">
        <v>43</v>
      </c>
      <c r="B8" s="34" t="s">
        <v>232</v>
      </c>
      <c r="C8" s="34" t="s">
        <v>233</v>
      </c>
      <c r="D8" s="34" t="s">
        <v>234</v>
      </c>
      <c r="E8" s="39" t="s">
        <v>13</v>
      </c>
      <c r="F8" s="39" t="s">
        <v>235</v>
      </c>
    </row>
    <row r="9" customFormat="false" ht="15" hidden="false" customHeight="false" outlineLevel="0" collapsed="false">
      <c r="A9" s="39" t="s">
        <v>68</v>
      </c>
      <c r="D9" s="34" t="s">
        <v>236</v>
      </c>
      <c r="E9" s="39" t="s">
        <v>14</v>
      </c>
      <c r="F9" s="39" t="s">
        <v>188</v>
      </c>
    </row>
    <row r="10" customFormat="false" ht="15" hidden="false" customHeight="false" outlineLevel="0" collapsed="false">
      <c r="E10" s="39" t="s">
        <v>19</v>
      </c>
    </row>
    <row r="13" customFormat="false" ht="15" hidden="false" customHeight="false" outlineLevel="0" collapsed="false">
      <c r="A13" s="99" t="s">
        <v>237</v>
      </c>
    </row>
  </sheetData>
  <mergeCells count="3">
    <mergeCell ref="A1:H1"/>
    <mergeCell ref="A2:E2"/>
    <mergeCell ref="F2:H2"/>
  </mergeCells>
  <hyperlinks>
    <hyperlink ref="F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true"/>
  </sheetPr>
  <dimension ref="A1:H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37.5" hidden="false" customHeight="true" outlineLevel="0" collapsed="false">
      <c r="A1" s="20" t="s">
        <v>238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239</v>
      </c>
      <c r="B2" s="21"/>
      <c r="C2" s="21"/>
      <c r="D2" s="21"/>
      <c r="E2" s="21"/>
      <c r="F2" s="22" t="s">
        <v>56</v>
      </c>
      <c r="G2" s="22"/>
      <c r="H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>
      <c r="A4" s="100" t="s">
        <v>65</v>
      </c>
      <c r="B4" s="100" t="s">
        <v>79</v>
      </c>
      <c r="C4" s="100" t="s">
        <v>240</v>
      </c>
      <c r="D4" s="100" t="s">
        <v>81</v>
      </c>
      <c r="E4" s="100" t="s">
        <v>241</v>
      </c>
      <c r="F4" s="100" t="s">
        <v>242</v>
      </c>
      <c r="G4" s="100" t="s">
        <v>243</v>
      </c>
      <c r="H4" s="100" t="s">
        <v>244</v>
      </c>
    </row>
    <row r="5" customFormat="false" ht="15" hidden="false" customHeight="false" outlineLevel="0" collapsed="false">
      <c r="A5" s="101" t="str">
        <f aca="false">IF('Pós-graduação'!$B10="","","Pós-graduação")</f>
        <v>Pós-graduação</v>
      </c>
      <c r="B5" s="101" t="str">
        <f aca="false">IF('Pós-graduação'!$B10="","",'Pós-graduação'!$B10)</f>
        <v>MBA em Inteligência Artificial (exemplo)</v>
      </c>
      <c r="C5" s="102" t="n">
        <f aca="false">IF(OR('Pós-graduação'!$B10="",'Pós-graduação'!$I10=""),"",'Pós-graduação'!$I10)</f>
        <v>46997</v>
      </c>
      <c r="D5" s="101" t="n">
        <f aca="true">IF(C5="","",C5-TODAY())</f>
        <v>699</v>
      </c>
      <c r="E5" s="101" t="n">
        <f aca="false">IF(C5="","",D5+ROW()/100000)</f>
        <v>699.00005</v>
      </c>
      <c r="F5" s="101" t="n">
        <v>1</v>
      </c>
      <c r="G5" s="101" t="n">
        <f aca="false">IFERROR(SMALL($E$5:$E$164,F5),"")</f>
        <v>270.00045</v>
      </c>
      <c r="H5" s="101" t="n">
        <f aca="false">IF(G5="","",MATCH(G5,$E$5:$E$164,0))</f>
        <v>41</v>
      </c>
    </row>
    <row r="6" customFormat="false" ht="15" hidden="false" customHeight="false" outlineLevel="0" collapsed="false">
      <c r="A6" s="101" t="str">
        <f aca="false">IF('Pós-graduação'!$B11="","","Pós-graduação")</f>
        <v/>
      </c>
      <c r="B6" s="101" t="str">
        <f aca="false">IF('Pós-graduação'!$B11="","",'Pós-graduação'!$B11)</f>
        <v/>
      </c>
      <c r="C6" s="102" t="str">
        <f aca="false">IF(OR('Pós-graduação'!$B11="",'Pós-graduação'!$I11=""),"",'Pós-graduação'!$I11)</f>
        <v/>
      </c>
      <c r="D6" s="101" t="str">
        <f aca="true">IF(C6="","",C6-TODAY())</f>
        <v/>
      </c>
      <c r="E6" s="101" t="str">
        <f aca="false">IF(C6="","",D6+ROW()/100000)</f>
        <v/>
      </c>
      <c r="F6" s="101" t="n">
        <v>2</v>
      </c>
      <c r="G6" s="101" t="n">
        <f aca="false">IFERROR(SMALL($E$5:$E$164,F6),"")</f>
        <v>333.00125</v>
      </c>
      <c r="H6" s="101" t="n">
        <f aca="false">IF(G6="","",MATCH(G6,$E$5:$E$164,0))</f>
        <v>121</v>
      </c>
    </row>
    <row r="7" customFormat="false" ht="15" hidden="false" customHeight="false" outlineLevel="0" collapsed="false">
      <c r="A7" s="101" t="str">
        <f aca="false">IF('Pós-graduação'!$B12="","","Pós-graduação")</f>
        <v/>
      </c>
      <c r="B7" s="101" t="str">
        <f aca="false">IF('Pós-graduação'!$B12="","",'Pós-graduação'!$B12)</f>
        <v/>
      </c>
      <c r="C7" s="102" t="str">
        <f aca="false">IF(OR('Pós-graduação'!$B12="",'Pós-graduação'!$I12=""),"",'Pós-graduação'!$I12)</f>
        <v/>
      </c>
      <c r="D7" s="101" t="str">
        <f aca="true">IF(C7="","",C7-TODAY())</f>
        <v/>
      </c>
      <c r="E7" s="101" t="str">
        <f aca="false">IF(C7="","",D7+ROW()/100000)</f>
        <v/>
      </c>
      <c r="F7" s="101" t="n">
        <v>3</v>
      </c>
      <c r="G7" s="101" t="n">
        <f aca="false">IFERROR(SMALL($E$5:$E$164,F7),"")</f>
        <v>344.00085</v>
      </c>
      <c r="H7" s="101" t="n">
        <f aca="false">IF(G7="","",MATCH(G7,$E$5:$E$164,0))</f>
        <v>81</v>
      </c>
    </row>
    <row r="8" customFormat="false" ht="15" hidden="false" customHeight="false" outlineLevel="0" collapsed="false">
      <c r="A8" s="101" t="str">
        <f aca="false">IF('Pós-graduação'!$B13="","","Pós-graduação")</f>
        <v/>
      </c>
      <c r="B8" s="101" t="str">
        <f aca="false">IF('Pós-graduação'!$B13="","",'Pós-graduação'!$B13)</f>
        <v/>
      </c>
      <c r="C8" s="102" t="str">
        <f aca="false">IF(OR('Pós-graduação'!$B13="",'Pós-graduação'!$I13=""),"",'Pós-graduação'!$I13)</f>
        <v/>
      </c>
      <c r="D8" s="101" t="str">
        <f aca="true">IF(C8="","",C8-TODAY())</f>
        <v/>
      </c>
      <c r="E8" s="101" t="str">
        <f aca="false">IF(C8="","",D8+ROW()/100000)</f>
        <v/>
      </c>
      <c r="F8" s="101" t="n">
        <v>4</v>
      </c>
      <c r="G8" s="101" t="n">
        <f aca="false">IFERROR(SMALL($E$5:$E$164,F8),"")</f>
        <v>699.00005</v>
      </c>
      <c r="H8" s="101" t="n">
        <f aca="false">IF(G8="","",MATCH(G8,$E$5:$E$164,0))</f>
        <v>1</v>
      </c>
    </row>
    <row r="9" customFormat="false" ht="15" hidden="false" customHeight="false" outlineLevel="0" collapsed="false">
      <c r="A9" s="101" t="str">
        <f aca="false">IF('Pós-graduação'!$B14="","","Pós-graduação")</f>
        <v/>
      </c>
      <c r="B9" s="101" t="str">
        <f aca="false">IF('Pós-graduação'!$B14="","",'Pós-graduação'!$B14)</f>
        <v/>
      </c>
      <c r="C9" s="102" t="str">
        <f aca="false">IF(OR('Pós-graduação'!$B14="",'Pós-graduação'!$I14=""),"",'Pós-graduação'!$I14)</f>
        <v/>
      </c>
      <c r="D9" s="101" t="str">
        <f aca="true">IF(C9="","",C9-TODAY())</f>
        <v/>
      </c>
      <c r="E9" s="101" t="str">
        <f aca="false">IF(C9="","",D9+ROW()/100000)</f>
        <v/>
      </c>
      <c r="F9" s="101" t="n">
        <v>5</v>
      </c>
      <c r="G9" s="101" t="str">
        <f aca="false">IFERROR(SMALL($E$5:$E$164,F9),"")</f>
        <v/>
      </c>
      <c r="H9" s="101" t="str">
        <f aca="false">IF(G9="","",MATCH(G9,$E$5:$E$164,0))</f>
        <v/>
      </c>
    </row>
    <row r="10" customFormat="false" ht="15" hidden="false" customHeight="false" outlineLevel="0" collapsed="false">
      <c r="A10" s="101" t="str">
        <f aca="false">IF('Pós-graduação'!$B15="","","Pós-graduação")</f>
        <v/>
      </c>
      <c r="B10" s="101" t="str">
        <f aca="false">IF('Pós-graduação'!$B15="","",'Pós-graduação'!$B15)</f>
        <v/>
      </c>
      <c r="C10" s="102" t="str">
        <f aca="false">IF(OR('Pós-graduação'!$B15="",'Pós-graduação'!$I15=""),"",'Pós-graduação'!$I15)</f>
        <v/>
      </c>
      <c r="D10" s="101" t="str">
        <f aca="true">IF(C10="","",C10-TODAY())</f>
        <v/>
      </c>
      <c r="E10" s="101" t="str">
        <f aca="false">IF(C10="","",D10+ROW()/100000)</f>
        <v/>
      </c>
      <c r="F10" s="101" t="n">
        <v>6</v>
      </c>
      <c r="G10" s="101" t="str">
        <f aca="false">IFERROR(SMALL($E$5:$E$164,F10),"")</f>
        <v/>
      </c>
      <c r="H10" s="101" t="str">
        <f aca="false">IF(G10="","",MATCH(G10,$E$5:$E$164,0))</f>
        <v/>
      </c>
    </row>
    <row r="11" customFormat="false" ht="15" hidden="false" customHeight="false" outlineLevel="0" collapsed="false">
      <c r="A11" s="101" t="str">
        <f aca="false">IF('Pós-graduação'!$B16="","","Pós-graduação")</f>
        <v/>
      </c>
      <c r="B11" s="101" t="str">
        <f aca="false">IF('Pós-graduação'!$B16="","",'Pós-graduação'!$B16)</f>
        <v/>
      </c>
      <c r="C11" s="102" t="str">
        <f aca="false">IF(OR('Pós-graduação'!$B16="",'Pós-graduação'!$I16=""),"",'Pós-graduação'!$I16)</f>
        <v/>
      </c>
      <c r="D11" s="101" t="str">
        <f aca="true">IF(C11="","",C11-TODAY())</f>
        <v/>
      </c>
      <c r="E11" s="101" t="str">
        <f aca="false">IF(C11="","",D11+ROW()/100000)</f>
        <v/>
      </c>
      <c r="F11" s="101" t="n">
        <v>7</v>
      </c>
      <c r="G11" s="101" t="str">
        <f aca="false">IFERROR(SMALL($E$5:$E$164,F11),"")</f>
        <v/>
      </c>
      <c r="H11" s="101" t="str">
        <f aca="false">IF(G11="","",MATCH(G11,$E$5:$E$164,0))</f>
        <v/>
      </c>
    </row>
    <row r="12" customFormat="false" ht="15" hidden="false" customHeight="false" outlineLevel="0" collapsed="false">
      <c r="A12" s="101" t="str">
        <f aca="false">IF('Pós-graduação'!$B17="","","Pós-graduação")</f>
        <v/>
      </c>
      <c r="B12" s="101" t="str">
        <f aca="false">IF('Pós-graduação'!$B17="","",'Pós-graduação'!$B17)</f>
        <v/>
      </c>
      <c r="C12" s="102" t="str">
        <f aca="false">IF(OR('Pós-graduação'!$B17="",'Pós-graduação'!$I17=""),"",'Pós-graduação'!$I17)</f>
        <v/>
      </c>
      <c r="D12" s="101" t="str">
        <f aca="true">IF(C12="","",C12-TODAY())</f>
        <v/>
      </c>
      <c r="E12" s="101" t="str">
        <f aca="false">IF(C12="","",D12+ROW()/100000)</f>
        <v/>
      </c>
      <c r="F12" s="101" t="n">
        <v>8</v>
      </c>
      <c r="G12" s="101" t="str">
        <f aca="false">IFERROR(SMALL($E$5:$E$164,F12),"")</f>
        <v/>
      </c>
      <c r="H12" s="101" t="str">
        <f aca="false">IF(G12="","",MATCH(G12,$E$5:$E$164,0))</f>
        <v/>
      </c>
    </row>
    <row r="13" customFormat="false" ht="15" hidden="false" customHeight="false" outlineLevel="0" collapsed="false">
      <c r="A13" s="101" t="str">
        <f aca="false">IF('Pós-graduação'!$B18="","","Pós-graduação")</f>
        <v/>
      </c>
      <c r="B13" s="101" t="str">
        <f aca="false">IF('Pós-graduação'!$B18="","",'Pós-graduação'!$B18)</f>
        <v/>
      </c>
      <c r="C13" s="102" t="str">
        <f aca="false">IF(OR('Pós-graduação'!$B18="",'Pós-graduação'!$I18=""),"",'Pós-graduação'!$I18)</f>
        <v/>
      </c>
      <c r="D13" s="101" t="str">
        <f aca="true">IF(C13="","",C13-TODAY())</f>
        <v/>
      </c>
      <c r="E13" s="101" t="str">
        <f aca="false">IF(C13="","",D13+ROW()/100000)</f>
        <v/>
      </c>
      <c r="F13" s="101"/>
      <c r="G13" s="101"/>
      <c r="H13" s="101"/>
    </row>
    <row r="14" customFormat="false" ht="15" hidden="false" customHeight="false" outlineLevel="0" collapsed="false">
      <c r="A14" s="101" t="str">
        <f aca="false">IF('Pós-graduação'!$B19="","","Pós-graduação")</f>
        <v/>
      </c>
      <c r="B14" s="101" t="str">
        <f aca="false">IF('Pós-graduação'!$B19="","",'Pós-graduação'!$B19)</f>
        <v/>
      </c>
      <c r="C14" s="102" t="str">
        <f aca="false">IF(OR('Pós-graduação'!$B19="",'Pós-graduação'!$I19=""),"",'Pós-graduação'!$I19)</f>
        <v/>
      </c>
      <c r="D14" s="101" t="str">
        <f aca="true">IF(C14="","",C14-TODAY())</f>
        <v/>
      </c>
      <c r="E14" s="101" t="str">
        <f aca="false">IF(C14="","",D14+ROW()/100000)</f>
        <v/>
      </c>
      <c r="F14" s="101"/>
      <c r="G14" s="101"/>
      <c r="H14" s="101"/>
    </row>
    <row r="15" customFormat="false" ht="15" hidden="false" customHeight="false" outlineLevel="0" collapsed="false">
      <c r="A15" s="101" t="str">
        <f aca="false">IF('Pós-graduação'!$B20="","","Pós-graduação")</f>
        <v/>
      </c>
      <c r="B15" s="101" t="str">
        <f aca="false">IF('Pós-graduação'!$B20="","",'Pós-graduação'!$B20)</f>
        <v/>
      </c>
      <c r="C15" s="102" t="str">
        <f aca="false">IF(OR('Pós-graduação'!$B20="",'Pós-graduação'!$I20=""),"",'Pós-graduação'!$I20)</f>
        <v/>
      </c>
      <c r="D15" s="101" t="str">
        <f aca="true">IF(C15="","",C15-TODAY())</f>
        <v/>
      </c>
      <c r="E15" s="101" t="str">
        <f aca="false">IF(C15="","",D15+ROW()/100000)</f>
        <v/>
      </c>
      <c r="F15" s="101"/>
      <c r="G15" s="101"/>
      <c r="H15" s="101"/>
    </row>
    <row r="16" customFormat="false" ht="15" hidden="false" customHeight="false" outlineLevel="0" collapsed="false">
      <c r="A16" s="101" t="str">
        <f aca="false">IF('Pós-graduação'!$B21="","","Pós-graduação")</f>
        <v/>
      </c>
      <c r="B16" s="101" t="str">
        <f aca="false">IF('Pós-graduação'!$B21="","",'Pós-graduação'!$B21)</f>
        <v/>
      </c>
      <c r="C16" s="102" t="str">
        <f aca="false">IF(OR('Pós-graduação'!$B21="",'Pós-graduação'!$I21=""),"",'Pós-graduação'!$I21)</f>
        <v/>
      </c>
      <c r="D16" s="101" t="str">
        <f aca="true">IF(C16="","",C16-TODAY())</f>
        <v/>
      </c>
      <c r="E16" s="101" t="str">
        <f aca="false">IF(C16="","",D16+ROW()/100000)</f>
        <v/>
      </c>
      <c r="F16" s="101"/>
      <c r="G16" s="101"/>
      <c r="H16" s="101"/>
    </row>
    <row r="17" customFormat="false" ht="15" hidden="false" customHeight="false" outlineLevel="0" collapsed="false">
      <c r="A17" s="101" t="str">
        <f aca="false">IF('Pós-graduação'!$B22="","","Pós-graduação")</f>
        <v/>
      </c>
      <c r="B17" s="101" t="str">
        <f aca="false">IF('Pós-graduação'!$B22="","",'Pós-graduação'!$B22)</f>
        <v/>
      </c>
      <c r="C17" s="102" t="str">
        <f aca="false">IF(OR('Pós-graduação'!$B22="",'Pós-graduação'!$I22=""),"",'Pós-graduação'!$I22)</f>
        <v/>
      </c>
      <c r="D17" s="101" t="str">
        <f aca="true">IF(C17="","",C17-TODAY())</f>
        <v/>
      </c>
      <c r="E17" s="101" t="str">
        <f aca="false">IF(C17="","",D17+ROW()/100000)</f>
        <v/>
      </c>
      <c r="F17" s="101"/>
      <c r="G17" s="101"/>
      <c r="H17" s="101"/>
    </row>
    <row r="18" customFormat="false" ht="15" hidden="false" customHeight="false" outlineLevel="0" collapsed="false">
      <c r="A18" s="101" t="str">
        <f aca="false">IF('Pós-graduação'!$B23="","","Pós-graduação")</f>
        <v/>
      </c>
      <c r="B18" s="101" t="str">
        <f aca="false">IF('Pós-graduação'!$B23="","",'Pós-graduação'!$B23)</f>
        <v/>
      </c>
      <c r="C18" s="102" t="str">
        <f aca="false">IF(OR('Pós-graduação'!$B23="",'Pós-graduação'!$I23=""),"",'Pós-graduação'!$I23)</f>
        <v/>
      </c>
      <c r="D18" s="101" t="str">
        <f aca="true">IF(C18="","",C18-TODAY())</f>
        <v/>
      </c>
      <c r="E18" s="101" t="str">
        <f aca="false">IF(C18="","",D18+ROW()/100000)</f>
        <v/>
      </c>
      <c r="F18" s="101"/>
      <c r="G18" s="101"/>
      <c r="H18" s="101"/>
    </row>
    <row r="19" customFormat="false" ht="15" hidden="false" customHeight="false" outlineLevel="0" collapsed="false">
      <c r="A19" s="101" t="str">
        <f aca="false">IF('Pós-graduação'!$B24="","","Pós-graduação")</f>
        <v/>
      </c>
      <c r="B19" s="101" t="str">
        <f aca="false">IF('Pós-graduação'!$B24="","",'Pós-graduação'!$B24)</f>
        <v/>
      </c>
      <c r="C19" s="102" t="str">
        <f aca="false">IF(OR('Pós-graduação'!$B24="",'Pós-graduação'!$I24=""),"",'Pós-graduação'!$I24)</f>
        <v/>
      </c>
      <c r="D19" s="101" t="str">
        <f aca="true">IF(C19="","",C19-TODAY())</f>
        <v/>
      </c>
      <c r="E19" s="101" t="str">
        <f aca="false">IF(C19="","",D19+ROW()/100000)</f>
        <v/>
      </c>
      <c r="F19" s="101"/>
      <c r="G19" s="101"/>
      <c r="H19" s="101"/>
    </row>
    <row r="20" customFormat="false" ht="15" hidden="false" customHeight="false" outlineLevel="0" collapsed="false">
      <c r="A20" s="101" t="str">
        <f aca="false">IF('Pós-graduação'!$B25="","","Pós-graduação")</f>
        <v/>
      </c>
      <c r="B20" s="101" t="str">
        <f aca="false">IF('Pós-graduação'!$B25="","",'Pós-graduação'!$B25)</f>
        <v/>
      </c>
      <c r="C20" s="102" t="str">
        <f aca="false">IF(OR('Pós-graduação'!$B25="",'Pós-graduação'!$I25=""),"",'Pós-graduação'!$I25)</f>
        <v/>
      </c>
      <c r="D20" s="101" t="str">
        <f aca="true">IF(C20="","",C20-TODAY())</f>
        <v/>
      </c>
      <c r="E20" s="101" t="str">
        <f aca="false">IF(C20="","",D20+ROW()/100000)</f>
        <v/>
      </c>
      <c r="F20" s="101"/>
      <c r="G20" s="101"/>
      <c r="H20" s="101"/>
    </row>
    <row r="21" customFormat="false" ht="15" hidden="false" customHeight="false" outlineLevel="0" collapsed="false">
      <c r="A21" s="101" t="str">
        <f aca="false">IF('Pós-graduação'!$B26="","","Pós-graduação")</f>
        <v/>
      </c>
      <c r="B21" s="101" t="str">
        <f aca="false">IF('Pós-graduação'!$B26="","",'Pós-graduação'!$B26)</f>
        <v/>
      </c>
      <c r="C21" s="102" t="str">
        <f aca="false">IF(OR('Pós-graduação'!$B26="",'Pós-graduação'!$I26=""),"",'Pós-graduação'!$I26)</f>
        <v/>
      </c>
      <c r="D21" s="101" t="str">
        <f aca="true">IF(C21="","",C21-TODAY())</f>
        <v/>
      </c>
      <c r="E21" s="101" t="str">
        <f aca="false">IF(C21="","",D21+ROW()/100000)</f>
        <v/>
      </c>
      <c r="F21" s="101"/>
      <c r="G21" s="101"/>
      <c r="H21" s="101"/>
    </row>
    <row r="22" customFormat="false" ht="15" hidden="false" customHeight="false" outlineLevel="0" collapsed="false">
      <c r="A22" s="101" t="str">
        <f aca="false">IF('Pós-graduação'!$B27="","","Pós-graduação")</f>
        <v/>
      </c>
      <c r="B22" s="101" t="str">
        <f aca="false">IF('Pós-graduação'!$B27="","",'Pós-graduação'!$B27)</f>
        <v/>
      </c>
      <c r="C22" s="102" t="str">
        <f aca="false">IF(OR('Pós-graduação'!$B27="",'Pós-graduação'!$I27=""),"",'Pós-graduação'!$I27)</f>
        <v/>
      </c>
      <c r="D22" s="101" t="str">
        <f aca="true">IF(C22="","",C22-TODAY())</f>
        <v/>
      </c>
      <c r="E22" s="101" t="str">
        <f aca="false">IF(C22="","",D22+ROW()/100000)</f>
        <v/>
      </c>
      <c r="F22" s="101"/>
      <c r="G22" s="101"/>
      <c r="H22" s="101"/>
    </row>
    <row r="23" customFormat="false" ht="15" hidden="false" customHeight="false" outlineLevel="0" collapsed="false">
      <c r="A23" s="101" t="str">
        <f aca="false">IF('Pós-graduação'!$B28="","","Pós-graduação")</f>
        <v/>
      </c>
      <c r="B23" s="101" t="str">
        <f aca="false">IF('Pós-graduação'!$B28="","",'Pós-graduação'!$B28)</f>
        <v/>
      </c>
      <c r="C23" s="102" t="str">
        <f aca="false">IF(OR('Pós-graduação'!$B28="",'Pós-graduação'!$I28=""),"",'Pós-graduação'!$I28)</f>
        <v/>
      </c>
      <c r="D23" s="101" t="str">
        <f aca="true">IF(C23="","",C23-TODAY())</f>
        <v/>
      </c>
      <c r="E23" s="101" t="str">
        <f aca="false">IF(C23="","",D23+ROW()/100000)</f>
        <v/>
      </c>
      <c r="F23" s="101"/>
      <c r="G23" s="101"/>
      <c r="H23" s="101"/>
    </row>
    <row r="24" customFormat="false" ht="15" hidden="false" customHeight="false" outlineLevel="0" collapsed="false">
      <c r="A24" s="101" t="str">
        <f aca="false">IF('Pós-graduação'!$B29="","","Pós-graduação")</f>
        <v/>
      </c>
      <c r="B24" s="101" t="str">
        <f aca="false">IF('Pós-graduação'!$B29="","",'Pós-graduação'!$B29)</f>
        <v/>
      </c>
      <c r="C24" s="102" t="str">
        <f aca="false">IF(OR('Pós-graduação'!$B29="",'Pós-graduação'!$I29=""),"",'Pós-graduação'!$I29)</f>
        <v/>
      </c>
      <c r="D24" s="101" t="str">
        <f aca="true">IF(C24="","",C24-TODAY())</f>
        <v/>
      </c>
      <c r="E24" s="101" t="str">
        <f aca="false">IF(C24="","",D24+ROW()/100000)</f>
        <v/>
      </c>
      <c r="F24" s="101"/>
      <c r="G24" s="101"/>
      <c r="H24" s="101"/>
    </row>
    <row r="25" customFormat="false" ht="15" hidden="false" customHeight="false" outlineLevel="0" collapsed="false">
      <c r="A25" s="101" t="str">
        <f aca="false">IF('Pós-graduação'!$B30="","","Pós-graduação")</f>
        <v/>
      </c>
      <c r="B25" s="101" t="str">
        <f aca="false">IF('Pós-graduação'!$B30="","",'Pós-graduação'!$B30)</f>
        <v/>
      </c>
      <c r="C25" s="102" t="str">
        <f aca="false">IF(OR('Pós-graduação'!$B30="",'Pós-graduação'!$I30=""),"",'Pós-graduação'!$I30)</f>
        <v/>
      </c>
      <c r="D25" s="101" t="str">
        <f aca="true">IF(C25="","",C25-TODAY())</f>
        <v/>
      </c>
      <c r="E25" s="101" t="str">
        <f aca="false">IF(C25="","",D25+ROW()/100000)</f>
        <v/>
      </c>
      <c r="F25" s="101"/>
      <c r="G25" s="101"/>
      <c r="H25" s="101"/>
    </row>
    <row r="26" customFormat="false" ht="15" hidden="false" customHeight="false" outlineLevel="0" collapsed="false">
      <c r="A26" s="101" t="str">
        <f aca="false">IF('Pós-graduação'!$B31="","","Pós-graduação")</f>
        <v/>
      </c>
      <c r="B26" s="101" t="str">
        <f aca="false">IF('Pós-graduação'!$B31="","",'Pós-graduação'!$B31)</f>
        <v/>
      </c>
      <c r="C26" s="102" t="str">
        <f aca="false">IF(OR('Pós-graduação'!$B31="",'Pós-graduação'!$I31=""),"",'Pós-graduação'!$I31)</f>
        <v/>
      </c>
      <c r="D26" s="101" t="str">
        <f aca="true">IF(C26="","",C26-TODAY())</f>
        <v/>
      </c>
      <c r="E26" s="101" t="str">
        <f aca="false">IF(C26="","",D26+ROW()/100000)</f>
        <v/>
      </c>
      <c r="F26" s="101"/>
      <c r="G26" s="101"/>
      <c r="H26" s="101"/>
    </row>
    <row r="27" customFormat="false" ht="15" hidden="false" customHeight="false" outlineLevel="0" collapsed="false">
      <c r="A27" s="101" t="str">
        <f aca="false">IF('Pós-graduação'!$B32="","","Pós-graduação")</f>
        <v/>
      </c>
      <c r="B27" s="101" t="str">
        <f aca="false">IF('Pós-graduação'!$B32="","",'Pós-graduação'!$B32)</f>
        <v/>
      </c>
      <c r="C27" s="102" t="str">
        <f aca="false">IF(OR('Pós-graduação'!$B32="",'Pós-graduação'!$I32=""),"",'Pós-graduação'!$I32)</f>
        <v/>
      </c>
      <c r="D27" s="101" t="str">
        <f aca="true">IF(C27="","",C27-TODAY())</f>
        <v/>
      </c>
      <c r="E27" s="101" t="str">
        <f aca="false">IF(C27="","",D27+ROW()/100000)</f>
        <v/>
      </c>
      <c r="F27" s="101"/>
      <c r="G27" s="101"/>
      <c r="H27" s="101"/>
    </row>
    <row r="28" customFormat="false" ht="15" hidden="false" customHeight="false" outlineLevel="0" collapsed="false">
      <c r="A28" s="101" t="str">
        <f aca="false">IF('Pós-graduação'!$B33="","","Pós-graduação")</f>
        <v/>
      </c>
      <c r="B28" s="101" t="str">
        <f aca="false">IF('Pós-graduação'!$B33="","",'Pós-graduação'!$B33)</f>
        <v/>
      </c>
      <c r="C28" s="102" t="str">
        <f aca="false">IF(OR('Pós-graduação'!$B33="",'Pós-graduação'!$I33=""),"",'Pós-graduação'!$I33)</f>
        <v/>
      </c>
      <c r="D28" s="101" t="str">
        <f aca="true">IF(C28="","",C28-TODAY())</f>
        <v/>
      </c>
      <c r="E28" s="101" t="str">
        <f aca="false">IF(C28="","",D28+ROW()/100000)</f>
        <v/>
      </c>
      <c r="F28" s="101"/>
      <c r="G28" s="101"/>
      <c r="H28" s="101"/>
    </row>
    <row r="29" customFormat="false" ht="15" hidden="false" customHeight="false" outlineLevel="0" collapsed="false">
      <c r="A29" s="101" t="str">
        <f aca="false">IF('Pós-graduação'!$B34="","","Pós-graduação")</f>
        <v/>
      </c>
      <c r="B29" s="101" t="str">
        <f aca="false">IF('Pós-graduação'!$B34="","",'Pós-graduação'!$B34)</f>
        <v/>
      </c>
      <c r="C29" s="102" t="str">
        <f aca="false">IF(OR('Pós-graduação'!$B34="",'Pós-graduação'!$I34=""),"",'Pós-graduação'!$I34)</f>
        <v/>
      </c>
      <c r="D29" s="101" t="str">
        <f aca="true">IF(C29="","",C29-TODAY())</f>
        <v/>
      </c>
      <c r="E29" s="101" t="str">
        <f aca="false">IF(C29="","",D29+ROW()/100000)</f>
        <v/>
      </c>
      <c r="F29" s="101"/>
      <c r="G29" s="101"/>
      <c r="H29" s="101"/>
    </row>
    <row r="30" customFormat="false" ht="15" hidden="false" customHeight="false" outlineLevel="0" collapsed="false">
      <c r="A30" s="101" t="str">
        <f aca="false">IF('Pós-graduação'!$B35="","","Pós-graduação")</f>
        <v/>
      </c>
      <c r="B30" s="101" t="str">
        <f aca="false">IF('Pós-graduação'!$B35="","",'Pós-graduação'!$B35)</f>
        <v/>
      </c>
      <c r="C30" s="102" t="str">
        <f aca="false">IF(OR('Pós-graduação'!$B35="",'Pós-graduação'!$I35=""),"",'Pós-graduação'!$I35)</f>
        <v/>
      </c>
      <c r="D30" s="101" t="str">
        <f aca="true">IF(C30="","",C30-TODAY())</f>
        <v/>
      </c>
      <c r="E30" s="101" t="str">
        <f aca="false">IF(C30="","",D30+ROW()/100000)</f>
        <v/>
      </c>
      <c r="F30" s="101"/>
      <c r="G30" s="101"/>
      <c r="H30" s="101"/>
    </row>
    <row r="31" customFormat="false" ht="15" hidden="false" customHeight="false" outlineLevel="0" collapsed="false">
      <c r="A31" s="101" t="str">
        <f aca="false">IF('Pós-graduação'!$B36="","","Pós-graduação")</f>
        <v/>
      </c>
      <c r="B31" s="101" t="str">
        <f aca="false">IF('Pós-graduação'!$B36="","",'Pós-graduação'!$B36)</f>
        <v/>
      </c>
      <c r="C31" s="102" t="str">
        <f aca="false">IF(OR('Pós-graduação'!$B36="",'Pós-graduação'!$I36=""),"",'Pós-graduação'!$I36)</f>
        <v/>
      </c>
      <c r="D31" s="101" t="str">
        <f aca="true">IF(C31="","",C31-TODAY())</f>
        <v/>
      </c>
      <c r="E31" s="101" t="str">
        <f aca="false">IF(C31="","",D31+ROW()/100000)</f>
        <v/>
      </c>
      <c r="F31" s="101"/>
      <c r="G31" s="101"/>
      <c r="H31" s="101"/>
    </row>
    <row r="32" customFormat="false" ht="15" hidden="false" customHeight="false" outlineLevel="0" collapsed="false">
      <c r="A32" s="101" t="str">
        <f aca="false">IF('Pós-graduação'!$B37="","","Pós-graduação")</f>
        <v/>
      </c>
      <c r="B32" s="101" t="str">
        <f aca="false">IF('Pós-graduação'!$B37="","",'Pós-graduação'!$B37)</f>
        <v/>
      </c>
      <c r="C32" s="102" t="str">
        <f aca="false">IF(OR('Pós-graduação'!$B37="",'Pós-graduação'!$I37=""),"",'Pós-graduação'!$I37)</f>
        <v/>
      </c>
      <c r="D32" s="101" t="str">
        <f aca="true">IF(C32="","",C32-TODAY())</f>
        <v/>
      </c>
      <c r="E32" s="101" t="str">
        <f aca="false">IF(C32="","",D32+ROW()/100000)</f>
        <v/>
      </c>
      <c r="F32" s="101"/>
      <c r="G32" s="101"/>
      <c r="H32" s="101"/>
    </row>
    <row r="33" customFormat="false" ht="15" hidden="false" customHeight="false" outlineLevel="0" collapsed="false">
      <c r="A33" s="101" t="str">
        <f aca="false">IF('Pós-graduação'!$B38="","","Pós-graduação")</f>
        <v/>
      </c>
      <c r="B33" s="101" t="str">
        <f aca="false">IF('Pós-graduação'!$B38="","",'Pós-graduação'!$B38)</f>
        <v/>
      </c>
      <c r="C33" s="102" t="str">
        <f aca="false">IF(OR('Pós-graduação'!$B38="",'Pós-graduação'!$I38=""),"",'Pós-graduação'!$I38)</f>
        <v/>
      </c>
      <c r="D33" s="101" t="str">
        <f aca="true">IF(C33="","",C33-TODAY())</f>
        <v/>
      </c>
      <c r="E33" s="101" t="str">
        <f aca="false">IF(C33="","",D33+ROW()/100000)</f>
        <v/>
      </c>
      <c r="F33" s="101"/>
      <c r="G33" s="101"/>
      <c r="H33" s="101"/>
    </row>
    <row r="34" customFormat="false" ht="15" hidden="false" customHeight="false" outlineLevel="0" collapsed="false">
      <c r="A34" s="101" t="str">
        <f aca="false">IF('Pós-graduação'!$B39="","","Pós-graduação")</f>
        <v/>
      </c>
      <c r="B34" s="101" t="str">
        <f aca="false">IF('Pós-graduação'!$B39="","",'Pós-graduação'!$B39)</f>
        <v/>
      </c>
      <c r="C34" s="102" t="str">
        <f aca="false">IF(OR('Pós-graduação'!$B39="",'Pós-graduação'!$I39=""),"",'Pós-graduação'!$I39)</f>
        <v/>
      </c>
      <c r="D34" s="101" t="str">
        <f aca="true">IF(C34="","",C34-TODAY())</f>
        <v/>
      </c>
      <c r="E34" s="101" t="str">
        <f aca="false">IF(C34="","",D34+ROW()/100000)</f>
        <v/>
      </c>
      <c r="F34" s="101"/>
      <c r="G34" s="101"/>
      <c r="H34" s="101"/>
    </row>
    <row r="35" customFormat="false" ht="15" hidden="false" customHeight="false" outlineLevel="0" collapsed="false">
      <c r="A35" s="101" t="str">
        <f aca="false">IF('Pós-graduação'!$B40="","","Pós-graduação")</f>
        <v/>
      </c>
      <c r="B35" s="101" t="str">
        <f aca="false">IF('Pós-graduação'!$B40="","",'Pós-graduação'!$B40)</f>
        <v/>
      </c>
      <c r="C35" s="102" t="str">
        <f aca="false">IF(OR('Pós-graduação'!$B40="",'Pós-graduação'!$I40=""),"",'Pós-graduação'!$I40)</f>
        <v/>
      </c>
      <c r="D35" s="101" t="str">
        <f aca="true">IF(C35="","",C35-TODAY())</f>
        <v/>
      </c>
      <c r="E35" s="101" t="str">
        <f aca="false">IF(C35="","",D35+ROW()/100000)</f>
        <v/>
      </c>
      <c r="F35" s="101"/>
      <c r="G35" s="101"/>
      <c r="H35" s="101"/>
    </row>
    <row r="36" customFormat="false" ht="15" hidden="false" customHeight="false" outlineLevel="0" collapsed="false">
      <c r="A36" s="101" t="str">
        <f aca="false">IF('Pós-graduação'!$B41="","","Pós-graduação")</f>
        <v/>
      </c>
      <c r="B36" s="101" t="str">
        <f aca="false">IF('Pós-graduação'!$B41="","",'Pós-graduação'!$B41)</f>
        <v/>
      </c>
      <c r="C36" s="102" t="str">
        <f aca="false">IF(OR('Pós-graduação'!$B41="",'Pós-graduação'!$I41=""),"",'Pós-graduação'!$I41)</f>
        <v/>
      </c>
      <c r="D36" s="101" t="str">
        <f aca="true">IF(C36="","",C36-TODAY())</f>
        <v/>
      </c>
      <c r="E36" s="101" t="str">
        <f aca="false">IF(C36="","",D36+ROW()/100000)</f>
        <v/>
      </c>
      <c r="F36" s="101"/>
      <c r="G36" s="101"/>
      <c r="H36" s="101"/>
    </row>
    <row r="37" customFormat="false" ht="15" hidden="false" customHeight="false" outlineLevel="0" collapsed="false">
      <c r="A37" s="101" t="str">
        <f aca="false">IF('Pós-graduação'!$B42="","","Pós-graduação")</f>
        <v/>
      </c>
      <c r="B37" s="101" t="str">
        <f aca="false">IF('Pós-graduação'!$B42="","",'Pós-graduação'!$B42)</f>
        <v/>
      </c>
      <c r="C37" s="102" t="str">
        <f aca="false">IF(OR('Pós-graduação'!$B42="",'Pós-graduação'!$I42=""),"",'Pós-graduação'!$I42)</f>
        <v/>
      </c>
      <c r="D37" s="101" t="str">
        <f aca="true">IF(C37="","",C37-TODAY())</f>
        <v/>
      </c>
      <c r="E37" s="101" t="str">
        <f aca="false">IF(C37="","",D37+ROW()/100000)</f>
        <v/>
      </c>
      <c r="F37" s="101"/>
      <c r="G37" s="101"/>
      <c r="H37" s="101"/>
    </row>
    <row r="38" customFormat="false" ht="15" hidden="false" customHeight="false" outlineLevel="0" collapsed="false">
      <c r="A38" s="101" t="str">
        <f aca="false">IF('Pós-graduação'!$B43="","","Pós-graduação")</f>
        <v/>
      </c>
      <c r="B38" s="101" t="str">
        <f aca="false">IF('Pós-graduação'!$B43="","",'Pós-graduação'!$B43)</f>
        <v/>
      </c>
      <c r="C38" s="102" t="str">
        <f aca="false">IF(OR('Pós-graduação'!$B43="",'Pós-graduação'!$I43=""),"",'Pós-graduação'!$I43)</f>
        <v/>
      </c>
      <c r="D38" s="101" t="str">
        <f aca="true">IF(C38="","",C38-TODAY())</f>
        <v/>
      </c>
      <c r="E38" s="101" t="str">
        <f aca="false">IF(C38="","",D38+ROW()/100000)</f>
        <v/>
      </c>
      <c r="F38" s="101"/>
      <c r="G38" s="101"/>
      <c r="H38" s="101"/>
    </row>
    <row r="39" customFormat="false" ht="15" hidden="false" customHeight="false" outlineLevel="0" collapsed="false">
      <c r="A39" s="101" t="str">
        <f aca="false">IF('Pós-graduação'!$B44="","","Pós-graduação")</f>
        <v/>
      </c>
      <c r="B39" s="101" t="str">
        <f aca="false">IF('Pós-graduação'!$B44="","",'Pós-graduação'!$B44)</f>
        <v/>
      </c>
      <c r="C39" s="102" t="str">
        <f aca="false">IF(OR('Pós-graduação'!$B44="",'Pós-graduação'!$I44=""),"",'Pós-graduação'!$I44)</f>
        <v/>
      </c>
      <c r="D39" s="101" t="str">
        <f aca="true">IF(C39="","",C39-TODAY())</f>
        <v/>
      </c>
      <c r="E39" s="101" t="str">
        <f aca="false">IF(C39="","",D39+ROW()/100000)</f>
        <v/>
      </c>
      <c r="F39" s="101"/>
      <c r="G39" s="101"/>
      <c r="H39" s="101"/>
    </row>
    <row r="40" customFormat="false" ht="15" hidden="false" customHeight="false" outlineLevel="0" collapsed="false">
      <c r="A40" s="101" t="str">
        <f aca="false">IF('Pós-graduação'!$B45="","","Pós-graduação")</f>
        <v/>
      </c>
      <c r="B40" s="101" t="str">
        <f aca="false">IF('Pós-graduação'!$B45="","",'Pós-graduação'!$B45)</f>
        <v/>
      </c>
      <c r="C40" s="102" t="str">
        <f aca="false">IF(OR('Pós-graduação'!$B45="",'Pós-graduação'!$I45=""),"",'Pós-graduação'!$I45)</f>
        <v/>
      </c>
      <c r="D40" s="101" t="str">
        <f aca="true">IF(C40="","",C40-TODAY())</f>
        <v/>
      </c>
      <c r="E40" s="101" t="str">
        <f aca="false">IF(C40="","",D40+ROW()/100000)</f>
        <v/>
      </c>
      <c r="F40" s="101"/>
      <c r="G40" s="101"/>
      <c r="H40" s="101"/>
    </row>
    <row r="41" customFormat="false" ht="15" hidden="false" customHeight="false" outlineLevel="0" collapsed="false">
      <c r="A41" s="101" t="str">
        <f aca="false">IF('Pós-graduação'!$B46="","","Pós-graduação")</f>
        <v/>
      </c>
      <c r="B41" s="101" t="str">
        <f aca="false">IF('Pós-graduação'!$B46="","",'Pós-graduação'!$B46)</f>
        <v/>
      </c>
      <c r="C41" s="102" t="str">
        <f aca="false">IF(OR('Pós-graduação'!$B46="",'Pós-graduação'!$I46=""),"",'Pós-graduação'!$I46)</f>
        <v/>
      </c>
      <c r="D41" s="101" t="str">
        <f aca="true">IF(C41="","",C41-TODAY())</f>
        <v/>
      </c>
      <c r="E41" s="101" t="str">
        <f aca="false">IF(C41="","",D41+ROW()/100000)</f>
        <v/>
      </c>
      <c r="F41" s="101"/>
      <c r="G41" s="101"/>
      <c r="H41" s="101"/>
    </row>
    <row r="42" customFormat="false" ht="15" hidden="false" customHeight="false" outlineLevel="0" collapsed="false">
      <c r="A42" s="101" t="str">
        <f aca="false">IF('Pós-graduação'!$B47="","","Pós-graduação")</f>
        <v/>
      </c>
      <c r="B42" s="101" t="str">
        <f aca="false">IF('Pós-graduação'!$B47="","",'Pós-graduação'!$B47)</f>
        <v/>
      </c>
      <c r="C42" s="102" t="str">
        <f aca="false">IF(OR('Pós-graduação'!$B47="",'Pós-graduação'!$I47=""),"",'Pós-graduação'!$I47)</f>
        <v/>
      </c>
      <c r="D42" s="101" t="str">
        <f aca="true">IF(C42="","",C42-TODAY())</f>
        <v/>
      </c>
      <c r="E42" s="101" t="str">
        <f aca="false">IF(C42="","",D42+ROW()/100000)</f>
        <v/>
      </c>
      <c r="F42" s="101"/>
      <c r="G42" s="101"/>
      <c r="H42" s="101"/>
    </row>
    <row r="43" customFormat="false" ht="15" hidden="false" customHeight="false" outlineLevel="0" collapsed="false">
      <c r="A43" s="101" t="str">
        <f aca="false">IF('Pós-graduação'!$B48="","","Pós-graduação")</f>
        <v/>
      </c>
      <c r="B43" s="101" t="str">
        <f aca="false">IF('Pós-graduação'!$B48="","",'Pós-graduação'!$B48)</f>
        <v/>
      </c>
      <c r="C43" s="102" t="str">
        <f aca="false">IF(OR('Pós-graduação'!$B48="",'Pós-graduação'!$I48=""),"",'Pós-graduação'!$I48)</f>
        <v/>
      </c>
      <c r="D43" s="101" t="str">
        <f aca="true">IF(C43="","",C43-TODAY())</f>
        <v/>
      </c>
      <c r="E43" s="101" t="str">
        <f aca="false">IF(C43="","",D43+ROW()/100000)</f>
        <v/>
      </c>
      <c r="F43" s="101"/>
      <c r="G43" s="101"/>
      <c r="H43" s="101"/>
    </row>
    <row r="44" customFormat="false" ht="15" hidden="false" customHeight="false" outlineLevel="0" collapsed="false">
      <c r="A44" s="101" t="str">
        <f aca="false">IF('Pós-graduação'!$B49="","","Pós-graduação")</f>
        <v/>
      </c>
      <c r="B44" s="101" t="str">
        <f aca="false">IF('Pós-graduação'!$B49="","",'Pós-graduação'!$B49)</f>
        <v/>
      </c>
      <c r="C44" s="102" t="str">
        <f aca="false">IF(OR('Pós-graduação'!$B49="",'Pós-graduação'!$I49=""),"",'Pós-graduação'!$I49)</f>
        <v/>
      </c>
      <c r="D44" s="101" t="str">
        <f aca="true">IF(C44="","",C44-TODAY())</f>
        <v/>
      </c>
      <c r="E44" s="101" t="str">
        <f aca="false">IF(C44="","",D44+ROW()/100000)</f>
        <v/>
      </c>
      <c r="F44" s="101"/>
      <c r="G44" s="101"/>
      <c r="H44" s="101"/>
    </row>
    <row r="45" customFormat="false" ht="15" hidden="false" customHeight="false" outlineLevel="0" collapsed="false">
      <c r="A45" s="101" t="str">
        <f aca="false">IF(Concurso!$B10="","","Concurso")</f>
        <v>Concurso</v>
      </c>
      <c r="B45" s="101" t="str">
        <f aca="false">IF(Concurso!$B10="","",Concurso!$B10)</f>
        <v>Curso Preparatório Completo (exemplo)</v>
      </c>
      <c r="C45" s="102" t="n">
        <f aca="false">IF(OR(Concurso!$B10="",Concurso!$K10=""),"",Concurso!$K10)</f>
        <v>46568</v>
      </c>
      <c r="D45" s="101" t="n">
        <f aca="true">IF(C45="","",C45-TODAY())</f>
        <v>270</v>
      </c>
      <c r="E45" s="101" t="n">
        <f aca="false">IF(C45="","",D45+ROW()/100000)</f>
        <v>270.00045</v>
      </c>
      <c r="F45" s="101"/>
      <c r="G45" s="101"/>
      <c r="H45" s="101"/>
    </row>
    <row r="46" customFormat="false" ht="15" hidden="false" customHeight="false" outlineLevel="0" collapsed="false">
      <c r="A46" s="101" t="str">
        <f aca="false">IF(Concurso!$B11="","","Concurso")</f>
        <v/>
      </c>
      <c r="B46" s="101" t="str">
        <f aca="false">IF(Concurso!$B11="","",Concurso!$B11)</f>
        <v/>
      </c>
      <c r="C46" s="102" t="str">
        <f aca="false">IF(OR(Concurso!$B11="",Concurso!$K11=""),"",Concurso!$K11)</f>
        <v/>
      </c>
      <c r="D46" s="101" t="str">
        <f aca="true">IF(C46="","",C46-TODAY())</f>
        <v/>
      </c>
      <c r="E46" s="101" t="str">
        <f aca="false">IF(C46="","",D46+ROW()/100000)</f>
        <v/>
      </c>
      <c r="F46" s="101"/>
      <c r="G46" s="101"/>
      <c r="H46" s="101"/>
    </row>
    <row r="47" customFormat="false" ht="15" hidden="false" customHeight="false" outlineLevel="0" collapsed="false">
      <c r="A47" s="101" t="str">
        <f aca="false">IF(Concurso!$B12="","","Concurso")</f>
        <v/>
      </c>
      <c r="B47" s="101" t="str">
        <f aca="false">IF(Concurso!$B12="","",Concurso!$B12)</f>
        <v/>
      </c>
      <c r="C47" s="102" t="str">
        <f aca="false">IF(OR(Concurso!$B12="",Concurso!$K12=""),"",Concurso!$K12)</f>
        <v/>
      </c>
      <c r="D47" s="101" t="str">
        <f aca="true">IF(C47="","",C47-TODAY())</f>
        <v/>
      </c>
      <c r="E47" s="101" t="str">
        <f aca="false">IF(C47="","",D47+ROW()/100000)</f>
        <v/>
      </c>
      <c r="F47" s="101"/>
      <c r="G47" s="101"/>
      <c r="H47" s="101"/>
    </row>
    <row r="48" customFormat="false" ht="15" hidden="false" customHeight="false" outlineLevel="0" collapsed="false">
      <c r="A48" s="101" t="str">
        <f aca="false">IF(Concurso!$B13="","","Concurso")</f>
        <v/>
      </c>
      <c r="B48" s="101" t="str">
        <f aca="false">IF(Concurso!$B13="","",Concurso!$B13)</f>
        <v/>
      </c>
      <c r="C48" s="102" t="str">
        <f aca="false">IF(OR(Concurso!$B13="",Concurso!$K13=""),"",Concurso!$K13)</f>
        <v/>
      </c>
      <c r="D48" s="101" t="str">
        <f aca="true">IF(C48="","",C48-TODAY())</f>
        <v/>
      </c>
      <c r="E48" s="101" t="str">
        <f aca="false">IF(C48="","",D48+ROW()/100000)</f>
        <v/>
      </c>
      <c r="F48" s="101"/>
      <c r="G48" s="101"/>
      <c r="H48" s="101"/>
    </row>
    <row r="49" customFormat="false" ht="15" hidden="false" customHeight="false" outlineLevel="0" collapsed="false">
      <c r="A49" s="101" t="str">
        <f aca="false">IF(Concurso!$B14="","","Concurso")</f>
        <v/>
      </c>
      <c r="B49" s="101" t="str">
        <f aca="false">IF(Concurso!$B14="","",Concurso!$B14)</f>
        <v/>
      </c>
      <c r="C49" s="102" t="str">
        <f aca="false">IF(OR(Concurso!$B14="",Concurso!$K14=""),"",Concurso!$K14)</f>
        <v/>
      </c>
      <c r="D49" s="101" t="str">
        <f aca="true">IF(C49="","",C49-TODAY())</f>
        <v/>
      </c>
      <c r="E49" s="101" t="str">
        <f aca="false">IF(C49="","",D49+ROW()/100000)</f>
        <v/>
      </c>
      <c r="F49" s="101"/>
      <c r="G49" s="101"/>
      <c r="H49" s="101"/>
    </row>
    <row r="50" customFormat="false" ht="15" hidden="false" customHeight="false" outlineLevel="0" collapsed="false">
      <c r="A50" s="101" t="str">
        <f aca="false">IF(Concurso!$B15="","","Concurso")</f>
        <v/>
      </c>
      <c r="B50" s="101" t="str">
        <f aca="false">IF(Concurso!$B15="","",Concurso!$B15)</f>
        <v/>
      </c>
      <c r="C50" s="102" t="str">
        <f aca="false">IF(OR(Concurso!$B15="",Concurso!$K15=""),"",Concurso!$K15)</f>
        <v/>
      </c>
      <c r="D50" s="101" t="str">
        <f aca="true">IF(C50="","",C50-TODAY())</f>
        <v/>
      </c>
      <c r="E50" s="101" t="str">
        <f aca="false">IF(C50="","",D50+ROW()/100000)</f>
        <v/>
      </c>
      <c r="F50" s="101"/>
      <c r="G50" s="101"/>
      <c r="H50" s="101"/>
    </row>
    <row r="51" customFormat="false" ht="15" hidden="false" customHeight="false" outlineLevel="0" collapsed="false">
      <c r="A51" s="101" t="str">
        <f aca="false">IF(Concurso!$B16="","","Concurso")</f>
        <v/>
      </c>
      <c r="B51" s="101" t="str">
        <f aca="false">IF(Concurso!$B16="","",Concurso!$B16)</f>
        <v/>
      </c>
      <c r="C51" s="102" t="str">
        <f aca="false">IF(OR(Concurso!$B16="",Concurso!$K16=""),"",Concurso!$K16)</f>
        <v/>
      </c>
      <c r="D51" s="101" t="str">
        <f aca="true">IF(C51="","",C51-TODAY())</f>
        <v/>
      </c>
      <c r="E51" s="101" t="str">
        <f aca="false">IF(C51="","",D51+ROW()/100000)</f>
        <v/>
      </c>
      <c r="F51" s="101"/>
      <c r="G51" s="101"/>
      <c r="H51" s="101"/>
    </row>
    <row r="52" customFormat="false" ht="15" hidden="false" customHeight="false" outlineLevel="0" collapsed="false">
      <c r="A52" s="101" t="str">
        <f aca="false">IF(Concurso!$B17="","","Concurso")</f>
        <v/>
      </c>
      <c r="B52" s="101" t="str">
        <f aca="false">IF(Concurso!$B17="","",Concurso!$B17)</f>
        <v/>
      </c>
      <c r="C52" s="102" t="str">
        <f aca="false">IF(OR(Concurso!$B17="",Concurso!$K17=""),"",Concurso!$K17)</f>
        <v/>
      </c>
      <c r="D52" s="101" t="str">
        <f aca="true">IF(C52="","",C52-TODAY())</f>
        <v/>
      </c>
      <c r="E52" s="101" t="str">
        <f aca="false">IF(C52="","",D52+ROW()/100000)</f>
        <v/>
      </c>
      <c r="F52" s="101"/>
      <c r="G52" s="101"/>
      <c r="H52" s="101"/>
    </row>
    <row r="53" customFormat="false" ht="15" hidden="false" customHeight="false" outlineLevel="0" collapsed="false">
      <c r="A53" s="101" t="str">
        <f aca="false">IF(Concurso!$B18="","","Concurso")</f>
        <v/>
      </c>
      <c r="B53" s="101" t="str">
        <f aca="false">IF(Concurso!$B18="","",Concurso!$B18)</f>
        <v/>
      </c>
      <c r="C53" s="102" t="str">
        <f aca="false">IF(OR(Concurso!$B18="",Concurso!$K18=""),"",Concurso!$K18)</f>
        <v/>
      </c>
      <c r="D53" s="101" t="str">
        <f aca="true">IF(C53="","",C53-TODAY())</f>
        <v/>
      </c>
      <c r="E53" s="101" t="str">
        <f aca="false">IF(C53="","",D53+ROW()/100000)</f>
        <v/>
      </c>
      <c r="F53" s="101"/>
      <c r="G53" s="101"/>
      <c r="H53" s="101"/>
    </row>
    <row r="54" customFormat="false" ht="15" hidden="false" customHeight="false" outlineLevel="0" collapsed="false">
      <c r="A54" s="101" t="str">
        <f aca="false">IF(Concurso!$B19="","","Concurso")</f>
        <v/>
      </c>
      <c r="B54" s="101" t="str">
        <f aca="false">IF(Concurso!$B19="","",Concurso!$B19)</f>
        <v/>
      </c>
      <c r="C54" s="102" t="str">
        <f aca="false">IF(OR(Concurso!$B19="",Concurso!$K19=""),"",Concurso!$K19)</f>
        <v/>
      </c>
      <c r="D54" s="101" t="str">
        <f aca="true">IF(C54="","",C54-TODAY())</f>
        <v/>
      </c>
      <c r="E54" s="101" t="str">
        <f aca="false">IF(C54="","",D54+ROW()/100000)</f>
        <v/>
      </c>
      <c r="F54" s="101"/>
      <c r="G54" s="101"/>
      <c r="H54" s="101"/>
    </row>
    <row r="55" customFormat="false" ht="15" hidden="false" customHeight="false" outlineLevel="0" collapsed="false">
      <c r="A55" s="101" t="str">
        <f aca="false">IF(Concurso!$B20="","","Concurso")</f>
        <v/>
      </c>
      <c r="B55" s="101" t="str">
        <f aca="false">IF(Concurso!$B20="","",Concurso!$B20)</f>
        <v/>
      </c>
      <c r="C55" s="102" t="str">
        <f aca="false">IF(OR(Concurso!$B20="",Concurso!$K20=""),"",Concurso!$K20)</f>
        <v/>
      </c>
      <c r="D55" s="101" t="str">
        <f aca="true">IF(C55="","",C55-TODAY())</f>
        <v/>
      </c>
      <c r="E55" s="101" t="str">
        <f aca="false">IF(C55="","",D55+ROW()/100000)</f>
        <v/>
      </c>
      <c r="F55" s="101"/>
      <c r="G55" s="101"/>
      <c r="H55" s="101"/>
    </row>
    <row r="56" customFormat="false" ht="15" hidden="false" customHeight="false" outlineLevel="0" collapsed="false">
      <c r="A56" s="101" t="str">
        <f aca="false">IF(Concurso!$B21="","","Concurso")</f>
        <v/>
      </c>
      <c r="B56" s="101" t="str">
        <f aca="false">IF(Concurso!$B21="","",Concurso!$B21)</f>
        <v/>
      </c>
      <c r="C56" s="102" t="str">
        <f aca="false">IF(OR(Concurso!$B21="",Concurso!$K21=""),"",Concurso!$K21)</f>
        <v/>
      </c>
      <c r="D56" s="101" t="str">
        <f aca="true">IF(C56="","",C56-TODAY())</f>
        <v/>
      </c>
      <c r="E56" s="101" t="str">
        <f aca="false">IF(C56="","",D56+ROW()/100000)</f>
        <v/>
      </c>
      <c r="F56" s="101"/>
      <c r="G56" s="101"/>
      <c r="H56" s="101"/>
    </row>
    <row r="57" customFormat="false" ht="15" hidden="false" customHeight="false" outlineLevel="0" collapsed="false">
      <c r="A57" s="101" t="str">
        <f aca="false">IF(Concurso!$B22="","","Concurso")</f>
        <v/>
      </c>
      <c r="B57" s="101" t="str">
        <f aca="false">IF(Concurso!$B22="","",Concurso!$B22)</f>
        <v/>
      </c>
      <c r="C57" s="102" t="str">
        <f aca="false">IF(OR(Concurso!$B22="",Concurso!$K22=""),"",Concurso!$K22)</f>
        <v/>
      </c>
      <c r="D57" s="101" t="str">
        <f aca="true">IF(C57="","",C57-TODAY())</f>
        <v/>
      </c>
      <c r="E57" s="101" t="str">
        <f aca="false">IF(C57="","",D57+ROW()/100000)</f>
        <v/>
      </c>
      <c r="F57" s="101"/>
      <c r="G57" s="101"/>
      <c r="H57" s="101"/>
    </row>
    <row r="58" customFormat="false" ht="15" hidden="false" customHeight="false" outlineLevel="0" collapsed="false">
      <c r="A58" s="101" t="str">
        <f aca="false">IF(Concurso!$B23="","","Concurso")</f>
        <v/>
      </c>
      <c r="B58" s="101" t="str">
        <f aca="false">IF(Concurso!$B23="","",Concurso!$B23)</f>
        <v/>
      </c>
      <c r="C58" s="102" t="str">
        <f aca="false">IF(OR(Concurso!$B23="",Concurso!$K23=""),"",Concurso!$K23)</f>
        <v/>
      </c>
      <c r="D58" s="101" t="str">
        <f aca="true">IF(C58="","",C58-TODAY())</f>
        <v/>
      </c>
      <c r="E58" s="101" t="str">
        <f aca="false">IF(C58="","",D58+ROW()/100000)</f>
        <v/>
      </c>
      <c r="F58" s="101"/>
      <c r="G58" s="101"/>
      <c r="H58" s="101"/>
    </row>
    <row r="59" customFormat="false" ht="15" hidden="false" customHeight="false" outlineLevel="0" collapsed="false">
      <c r="A59" s="101" t="str">
        <f aca="false">IF(Concurso!$B24="","","Concurso")</f>
        <v/>
      </c>
      <c r="B59" s="101" t="str">
        <f aca="false">IF(Concurso!$B24="","",Concurso!$B24)</f>
        <v/>
      </c>
      <c r="C59" s="102" t="str">
        <f aca="false">IF(OR(Concurso!$B24="",Concurso!$K24=""),"",Concurso!$K24)</f>
        <v/>
      </c>
      <c r="D59" s="101" t="str">
        <f aca="true">IF(C59="","",C59-TODAY())</f>
        <v/>
      </c>
      <c r="E59" s="101" t="str">
        <f aca="false">IF(C59="","",D59+ROW()/100000)</f>
        <v/>
      </c>
      <c r="F59" s="101"/>
      <c r="G59" s="101"/>
      <c r="H59" s="101"/>
    </row>
    <row r="60" customFormat="false" ht="15" hidden="false" customHeight="false" outlineLevel="0" collapsed="false">
      <c r="A60" s="101" t="str">
        <f aca="false">IF(Concurso!$B25="","","Concurso")</f>
        <v/>
      </c>
      <c r="B60" s="101" t="str">
        <f aca="false">IF(Concurso!$B25="","",Concurso!$B25)</f>
        <v/>
      </c>
      <c r="C60" s="102" t="str">
        <f aca="false">IF(OR(Concurso!$B25="",Concurso!$K25=""),"",Concurso!$K25)</f>
        <v/>
      </c>
      <c r="D60" s="101" t="str">
        <f aca="true">IF(C60="","",C60-TODAY())</f>
        <v/>
      </c>
      <c r="E60" s="101" t="str">
        <f aca="false">IF(C60="","",D60+ROW()/100000)</f>
        <v/>
      </c>
      <c r="F60" s="101"/>
      <c r="G60" s="101"/>
      <c r="H60" s="101"/>
    </row>
    <row r="61" customFormat="false" ht="15" hidden="false" customHeight="false" outlineLevel="0" collapsed="false">
      <c r="A61" s="101" t="str">
        <f aca="false">IF(Concurso!$B26="","","Concurso")</f>
        <v/>
      </c>
      <c r="B61" s="101" t="str">
        <f aca="false">IF(Concurso!$B26="","",Concurso!$B26)</f>
        <v/>
      </c>
      <c r="C61" s="102" t="str">
        <f aca="false">IF(OR(Concurso!$B26="",Concurso!$K26=""),"",Concurso!$K26)</f>
        <v/>
      </c>
      <c r="D61" s="101" t="str">
        <f aca="true">IF(C61="","",C61-TODAY())</f>
        <v/>
      </c>
      <c r="E61" s="101" t="str">
        <f aca="false">IF(C61="","",D61+ROW()/100000)</f>
        <v/>
      </c>
      <c r="F61" s="101"/>
      <c r="G61" s="101"/>
      <c r="H61" s="101"/>
    </row>
    <row r="62" customFormat="false" ht="15" hidden="false" customHeight="false" outlineLevel="0" collapsed="false">
      <c r="A62" s="101" t="str">
        <f aca="false">IF(Concurso!$B27="","","Concurso")</f>
        <v/>
      </c>
      <c r="B62" s="101" t="str">
        <f aca="false">IF(Concurso!$B27="","",Concurso!$B27)</f>
        <v/>
      </c>
      <c r="C62" s="102" t="str">
        <f aca="false">IF(OR(Concurso!$B27="",Concurso!$K27=""),"",Concurso!$K27)</f>
        <v/>
      </c>
      <c r="D62" s="101" t="str">
        <f aca="true">IF(C62="","",C62-TODAY())</f>
        <v/>
      </c>
      <c r="E62" s="101" t="str">
        <f aca="false">IF(C62="","",D62+ROW()/100000)</f>
        <v/>
      </c>
      <c r="F62" s="101"/>
      <c r="G62" s="101"/>
      <c r="H62" s="101"/>
    </row>
    <row r="63" customFormat="false" ht="15" hidden="false" customHeight="false" outlineLevel="0" collapsed="false">
      <c r="A63" s="101" t="str">
        <f aca="false">IF(Concurso!$B28="","","Concurso")</f>
        <v/>
      </c>
      <c r="B63" s="101" t="str">
        <f aca="false">IF(Concurso!$B28="","",Concurso!$B28)</f>
        <v/>
      </c>
      <c r="C63" s="102" t="str">
        <f aca="false">IF(OR(Concurso!$B28="",Concurso!$K28=""),"",Concurso!$K28)</f>
        <v/>
      </c>
      <c r="D63" s="101" t="str">
        <f aca="true">IF(C63="","",C63-TODAY())</f>
        <v/>
      </c>
      <c r="E63" s="101" t="str">
        <f aca="false">IF(C63="","",D63+ROW()/100000)</f>
        <v/>
      </c>
      <c r="F63" s="101"/>
      <c r="G63" s="101"/>
      <c r="H63" s="101"/>
    </row>
    <row r="64" customFormat="false" ht="15" hidden="false" customHeight="false" outlineLevel="0" collapsed="false">
      <c r="A64" s="101" t="str">
        <f aca="false">IF(Concurso!$B29="","","Concurso")</f>
        <v/>
      </c>
      <c r="B64" s="101" t="str">
        <f aca="false">IF(Concurso!$B29="","",Concurso!$B29)</f>
        <v/>
      </c>
      <c r="C64" s="102" t="str">
        <f aca="false">IF(OR(Concurso!$B29="",Concurso!$K29=""),"",Concurso!$K29)</f>
        <v/>
      </c>
      <c r="D64" s="101" t="str">
        <f aca="true">IF(C64="","",C64-TODAY())</f>
        <v/>
      </c>
      <c r="E64" s="101" t="str">
        <f aca="false">IF(C64="","",D64+ROW()/100000)</f>
        <v/>
      </c>
      <c r="F64" s="101"/>
      <c r="G64" s="101"/>
      <c r="H64" s="101"/>
    </row>
    <row r="65" customFormat="false" ht="15" hidden="false" customHeight="false" outlineLevel="0" collapsed="false">
      <c r="A65" s="101" t="str">
        <f aca="false">IF(Concurso!$B30="","","Concurso")</f>
        <v/>
      </c>
      <c r="B65" s="101" t="str">
        <f aca="false">IF(Concurso!$B30="","",Concurso!$B30)</f>
        <v/>
      </c>
      <c r="C65" s="102" t="str">
        <f aca="false">IF(OR(Concurso!$B30="",Concurso!$K30=""),"",Concurso!$K30)</f>
        <v/>
      </c>
      <c r="D65" s="101" t="str">
        <f aca="true">IF(C65="","",C65-TODAY())</f>
        <v/>
      </c>
      <c r="E65" s="101" t="str">
        <f aca="false">IF(C65="","",D65+ROW()/100000)</f>
        <v/>
      </c>
      <c r="F65" s="101"/>
      <c r="G65" s="101"/>
      <c r="H65" s="101"/>
    </row>
    <row r="66" customFormat="false" ht="15" hidden="false" customHeight="false" outlineLevel="0" collapsed="false">
      <c r="A66" s="101" t="str">
        <f aca="false">IF(Concurso!$B31="","","Concurso")</f>
        <v/>
      </c>
      <c r="B66" s="101" t="str">
        <f aca="false">IF(Concurso!$B31="","",Concurso!$B31)</f>
        <v/>
      </c>
      <c r="C66" s="102" t="str">
        <f aca="false">IF(OR(Concurso!$B31="",Concurso!$K31=""),"",Concurso!$K31)</f>
        <v/>
      </c>
      <c r="D66" s="101" t="str">
        <f aca="true">IF(C66="","",C66-TODAY())</f>
        <v/>
      </c>
      <c r="E66" s="101" t="str">
        <f aca="false">IF(C66="","",D66+ROW()/100000)</f>
        <v/>
      </c>
      <c r="F66" s="101"/>
      <c r="G66" s="101"/>
      <c r="H66" s="101"/>
    </row>
    <row r="67" customFormat="false" ht="15" hidden="false" customHeight="false" outlineLevel="0" collapsed="false">
      <c r="A67" s="101" t="str">
        <f aca="false">IF(Concurso!$B32="","","Concurso")</f>
        <v/>
      </c>
      <c r="B67" s="101" t="str">
        <f aca="false">IF(Concurso!$B32="","",Concurso!$B32)</f>
        <v/>
      </c>
      <c r="C67" s="102" t="str">
        <f aca="false">IF(OR(Concurso!$B32="",Concurso!$K32=""),"",Concurso!$K32)</f>
        <v/>
      </c>
      <c r="D67" s="101" t="str">
        <f aca="true">IF(C67="","",C67-TODAY())</f>
        <v/>
      </c>
      <c r="E67" s="101" t="str">
        <f aca="false">IF(C67="","",D67+ROW()/100000)</f>
        <v/>
      </c>
      <c r="F67" s="101"/>
      <c r="G67" s="101"/>
      <c r="H67" s="101"/>
    </row>
    <row r="68" customFormat="false" ht="15" hidden="false" customHeight="false" outlineLevel="0" collapsed="false">
      <c r="A68" s="101" t="str">
        <f aca="false">IF(Concurso!$B33="","","Concurso")</f>
        <v/>
      </c>
      <c r="B68" s="101" t="str">
        <f aca="false">IF(Concurso!$B33="","",Concurso!$B33)</f>
        <v/>
      </c>
      <c r="C68" s="102" t="str">
        <f aca="false">IF(OR(Concurso!$B33="",Concurso!$K33=""),"",Concurso!$K33)</f>
        <v/>
      </c>
      <c r="D68" s="101" t="str">
        <f aca="true">IF(C68="","",C68-TODAY())</f>
        <v/>
      </c>
      <c r="E68" s="101" t="str">
        <f aca="false">IF(C68="","",D68+ROW()/100000)</f>
        <v/>
      </c>
      <c r="F68" s="101"/>
      <c r="G68" s="101"/>
      <c r="H68" s="101"/>
    </row>
    <row r="69" customFormat="false" ht="15" hidden="false" customHeight="false" outlineLevel="0" collapsed="false">
      <c r="A69" s="101" t="str">
        <f aca="false">IF(Concurso!$B34="","","Concurso")</f>
        <v/>
      </c>
      <c r="B69" s="101" t="str">
        <f aca="false">IF(Concurso!$B34="","",Concurso!$B34)</f>
        <v/>
      </c>
      <c r="C69" s="102" t="str">
        <f aca="false">IF(OR(Concurso!$B34="",Concurso!$K34=""),"",Concurso!$K34)</f>
        <v/>
      </c>
      <c r="D69" s="101" t="str">
        <f aca="true">IF(C69="","",C69-TODAY())</f>
        <v/>
      </c>
      <c r="E69" s="101" t="str">
        <f aca="false">IF(C69="","",D69+ROW()/100000)</f>
        <v/>
      </c>
      <c r="F69" s="101"/>
      <c r="G69" s="101"/>
      <c r="H69" s="101"/>
    </row>
    <row r="70" customFormat="false" ht="15" hidden="false" customHeight="false" outlineLevel="0" collapsed="false">
      <c r="A70" s="101" t="str">
        <f aca="false">IF(Concurso!$B35="","","Concurso")</f>
        <v/>
      </c>
      <c r="B70" s="101" t="str">
        <f aca="false">IF(Concurso!$B35="","",Concurso!$B35)</f>
        <v/>
      </c>
      <c r="C70" s="102" t="str">
        <f aca="false">IF(OR(Concurso!$B35="",Concurso!$K35=""),"",Concurso!$K35)</f>
        <v/>
      </c>
      <c r="D70" s="101" t="str">
        <f aca="true">IF(C70="","",C70-TODAY())</f>
        <v/>
      </c>
      <c r="E70" s="101" t="str">
        <f aca="false">IF(C70="","",D70+ROW()/100000)</f>
        <v/>
      </c>
      <c r="F70" s="101"/>
      <c r="G70" s="101"/>
      <c r="H70" s="101"/>
    </row>
    <row r="71" customFormat="false" ht="15" hidden="false" customHeight="false" outlineLevel="0" collapsed="false">
      <c r="A71" s="101" t="str">
        <f aca="false">IF(Concurso!$B36="","","Concurso")</f>
        <v/>
      </c>
      <c r="B71" s="101" t="str">
        <f aca="false">IF(Concurso!$B36="","",Concurso!$B36)</f>
        <v/>
      </c>
      <c r="C71" s="102" t="str">
        <f aca="false">IF(OR(Concurso!$B36="",Concurso!$K36=""),"",Concurso!$K36)</f>
        <v/>
      </c>
      <c r="D71" s="101" t="str">
        <f aca="true">IF(C71="","",C71-TODAY())</f>
        <v/>
      </c>
      <c r="E71" s="101" t="str">
        <f aca="false">IF(C71="","",D71+ROW()/100000)</f>
        <v/>
      </c>
      <c r="F71" s="101"/>
      <c r="G71" s="101"/>
      <c r="H71" s="101"/>
    </row>
    <row r="72" customFormat="false" ht="15" hidden="false" customHeight="false" outlineLevel="0" collapsed="false">
      <c r="A72" s="101" t="str">
        <f aca="false">IF(Concurso!$B37="","","Concurso")</f>
        <v/>
      </c>
      <c r="B72" s="101" t="str">
        <f aca="false">IF(Concurso!$B37="","",Concurso!$B37)</f>
        <v/>
      </c>
      <c r="C72" s="102" t="str">
        <f aca="false">IF(OR(Concurso!$B37="",Concurso!$K37=""),"",Concurso!$K37)</f>
        <v/>
      </c>
      <c r="D72" s="101" t="str">
        <f aca="true">IF(C72="","",C72-TODAY())</f>
        <v/>
      </c>
      <c r="E72" s="101" t="str">
        <f aca="false">IF(C72="","",D72+ROW()/100000)</f>
        <v/>
      </c>
      <c r="F72" s="101"/>
      <c r="G72" s="101"/>
      <c r="H72" s="101"/>
    </row>
    <row r="73" customFormat="false" ht="15" hidden="false" customHeight="false" outlineLevel="0" collapsed="false">
      <c r="A73" s="101" t="str">
        <f aca="false">IF(Concurso!$B38="","","Concurso")</f>
        <v/>
      </c>
      <c r="B73" s="101" t="str">
        <f aca="false">IF(Concurso!$B38="","",Concurso!$B38)</f>
        <v/>
      </c>
      <c r="C73" s="102" t="str">
        <f aca="false">IF(OR(Concurso!$B38="",Concurso!$K38=""),"",Concurso!$K38)</f>
        <v/>
      </c>
      <c r="D73" s="101" t="str">
        <f aca="true">IF(C73="","",C73-TODAY())</f>
        <v/>
      </c>
      <c r="E73" s="101" t="str">
        <f aca="false">IF(C73="","",D73+ROW()/100000)</f>
        <v/>
      </c>
      <c r="F73" s="101"/>
      <c r="G73" s="101"/>
      <c r="H73" s="101"/>
    </row>
    <row r="74" customFormat="false" ht="15" hidden="false" customHeight="false" outlineLevel="0" collapsed="false">
      <c r="A74" s="101" t="str">
        <f aca="false">IF(Concurso!$B39="","","Concurso")</f>
        <v/>
      </c>
      <c r="B74" s="101" t="str">
        <f aca="false">IF(Concurso!$B39="","",Concurso!$B39)</f>
        <v/>
      </c>
      <c r="C74" s="102" t="str">
        <f aca="false">IF(OR(Concurso!$B39="",Concurso!$K39=""),"",Concurso!$K39)</f>
        <v/>
      </c>
      <c r="D74" s="101" t="str">
        <f aca="true">IF(C74="","",C74-TODAY())</f>
        <v/>
      </c>
      <c r="E74" s="101" t="str">
        <f aca="false">IF(C74="","",D74+ROW()/100000)</f>
        <v/>
      </c>
      <c r="F74" s="101"/>
      <c r="G74" s="101"/>
      <c r="H74" s="101"/>
    </row>
    <row r="75" customFormat="false" ht="15" hidden="false" customHeight="false" outlineLevel="0" collapsed="false">
      <c r="A75" s="101" t="str">
        <f aca="false">IF(Concurso!$B40="","","Concurso")</f>
        <v/>
      </c>
      <c r="B75" s="101" t="str">
        <f aca="false">IF(Concurso!$B40="","",Concurso!$B40)</f>
        <v/>
      </c>
      <c r="C75" s="102" t="str">
        <f aca="false">IF(OR(Concurso!$B40="",Concurso!$K40=""),"",Concurso!$K40)</f>
        <v/>
      </c>
      <c r="D75" s="101" t="str">
        <f aca="true">IF(C75="","",C75-TODAY())</f>
        <v/>
      </c>
      <c r="E75" s="101" t="str">
        <f aca="false">IF(C75="","",D75+ROW()/100000)</f>
        <v/>
      </c>
      <c r="F75" s="101"/>
      <c r="G75" s="101"/>
      <c r="H75" s="101"/>
    </row>
    <row r="76" customFormat="false" ht="15" hidden="false" customHeight="false" outlineLevel="0" collapsed="false">
      <c r="A76" s="101" t="str">
        <f aca="false">IF(Concurso!$B41="","","Concurso")</f>
        <v/>
      </c>
      <c r="B76" s="101" t="str">
        <f aca="false">IF(Concurso!$B41="","",Concurso!$B41)</f>
        <v/>
      </c>
      <c r="C76" s="102" t="str">
        <f aca="false">IF(OR(Concurso!$B41="",Concurso!$K41=""),"",Concurso!$K41)</f>
        <v/>
      </c>
      <c r="D76" s="101" t="str">
        <f aca="true">IF(C76="","",C76-TODAY())</f>
        <v/>
      </c>
      <c r="E76" s="101" t="str">
        <f aca="false">IF(C76="","",D76+ROW()/100000)</f>
        <v/>
      </c>
      <c r="F76" s="101"/>
      <c r="G76" s="101"/>
      <c r="H76" s="101"/>
    </row>
    <row r="77" customFormat="false" ht="15" hidden="false" customHeight="false" outlineLevel="0" collapsed="false">
      <c r="A77" s="101" t="str">
        <f aca="false">IF(Concurso!$B42="","","Concurso")</f>
        <v/>
      </c>
      <c r="B77" s="101" t="str">
        <f aca="false">IF(Concurso!$B42="","",Concurso!$B42)</f>
        <v/>
      </c>
      <c r="C77" s="102" t="str">
        <f aca="false">IF(OR(Concurso!$B42="",Concurso!$K42=""),"",Concurso!$K42)</f>
        <v/>
      </c>
      <c r="D77" s="101" t="str">
        <f aca="true">IF(C77="","",C77-TODAY())</f>
        <v/>
      </c>
      <c r="E77" s="101" t="str">
        <f aca="false">IF(C77="","",D77+ROW()/100000)</f>
        <v/>
      </c>
      <c r="F77" s="101"/>
      <c r="G77" s="101"/>
      <c r="H77" s="101"/>
    </row>
    <row r="78" customFormat="false" ht="15" hidden="false" customHeight="false" outlineLevel="0" collapsed="false">
      <c r="A78" s="101" t="str">
        <f aca="false">IF(Concurso!$B43="","","Concurso")</f>
        <v/>
      </c>
      <c r="B78" s="101" t="str">
        <f aca="false">IF(Concurso!$B43="","",Concurso!$B43)</f>
        <v/>
      </c>
      <c r="C78" s="102" t="str">
        <f aca="false">IF(OR(Concurso!$B43="",Concurso!$K43=""),"",Concurso!$K43)</f>
        <v/>
      </c>
      <c r="D78" s="101" t="str">
        <f aca="true">IF(C78="","",C78-TODAY())</f>
        <v/>
      </c>
      <c r="E78" s="101" t="str">
        <f aca="false">IF(C78="","",D78+ROW()/100000)</f>
        <v/>
      </c>
      <c r="F78" s="101"/>
      <c r="G78" s="101"/>
      <c r="H78" s="101"/>
    </row>
    <row r="79" customFormat="false" ht="15" hidden="false" customHeight="false" outlineLevel="0" collapsed="false">
      <c r="A79" s="101" t="str">
        <f aca="false">IF(Concurso!$B44="","","Concurso")</f>
        <v/>
      </c>
      <c r="B79" s="101" t="str">
        <f aca="false">IF(Concurso!$B44="","",Concurso!$B44)</f>
        <v/>
      </c>
      <c r="C79" s="102" t="str">
        <f aca="false">IF(OR(Concurso!$B44="",Concurso!$K44=""),"",Concurso!$K44)</f>
        <v/>
      </c>
      <c r="D79" s="101" t="str">
        <f aca="true">IF(C79="","",C79-TODAY())</f>
        <v/>
      </c>
      <c r="E79" s="101" t="str">
        <f aca="false">IF(C79="","",D79+ROW()/100000)</f>
        <v/>
      </c>
      <c r="F79" s="101"/>
      <c r="G79" s="101"/>
      <c r="H79" s="101"/>
    </row>
    <row r="80" customFormat="false" ht="15" hidden="false" customHeight="false" outlineLevel="0" collapsed="false">
      <c r="A80" s="101" t="str">
        <f aca="false">IF(Concurso!$B45="","","Concurso")</f>
        <v/>
      </c>
      <c r="B80" s="101" t="str">
        <f aca="false">IF(Concurso!$B45="","",Concurso!$B45)</f>
        <v/>
      </c>
      <c r="C80" s="102" t="str">
        <f aca="false">IF(OR(Concurso!$B45="",Concurso!$K45=""),"",Concurso!$K45)</f>
        <v/>
      </c>
      <c r="D80" s="101" t="str">
        <f aca="true">IF(C80="","",C80-TODAY())</f>
        <v/>
      </c>
      <c r="E80" s="101" t="str">
        <f aca="false">IF(C80="","",D80+ROW()/100000)</f>
        <v/>
      </c>
      <c r="F80" s="101"/>
      <c r="G80" s="101"/>
      <c r="H80" s="101"/>
    </row>
    <row r="81" customFormat="false" ht="15" hidden="false" customHeight="false" outlineLevel="0" collapsed="false">
      <c r="A81" s="101" t="str">
        <f aca="false">IF(Concurso!$B46="","","Concurso")</f>
        <v/>
      </c>
      <c r="B81" s="101" t="str">
        <f aca="false">IF(Concurso!$B46="","",Concurso!$B46)</f>
        <v/>
      </c>
      <c r="C81" s="102" t="str">
        <f aca="false">IF(OR(Concurso!$B46="",Concurso!$K46=""),"",Concurso!$K46)</f>
        <v/>
      </c>
      <c r="D81" s="101" t="str">
        <f aca="true">IF(C81="","",C81-TODAY())</f>
        <v/>
      </c>
      <c r="E81" s="101" t="str">
        <f aca="false">IF(C81="","",D81+ROW()/100000)</f>
        <v/>
      </c>
      <c r="F81" s="101"/>
      <c r="G81" s="101"/>
      <c r="H81" s="101"/>
    </row>
    <row r="82" customFormat="false" ht="15" hidden="false" customHeight="false" outlineLevel="0" collapsed="false">
      <c r="A82" s="101" t="str">
        <f aca="false">IF(Concurso!$B47="","","Concurso")</f>
        <v/>
      </c>
      <c r="B82" s="101" t="str">
        <f aca="false">IF(Concurso!$B47="","",Concurso!$B47)</f>
        <v/>
      </c>
      <c r="C82" s="102" t="str">
        <f aca="false">IF(OR(Concurso!$B47="",Concurso!$K47=""),"",Concurso!$K47)</f>
        <v/>
      </c>
      <c r="D82" s="101" t="str">
        <f aca="true">IF(C82="","",C82-TODAY())</f>
        <v/>
      </c>
      <c r="E82" s="101" t="str">
        <f aca="false">IF(C82="","",D82+ROW()/100000)</f>
        <v/>
      </c>
      <c r="F82" s="101"/>
      <c r="G82" s="101"/>
      <c r="H82" s="101"/>
    </row>
    <row r="83" customFormat="false" ht="15" hidden="false" customHeight="false" outlineLevel="0" collapsed="false">
      <c r="A83" s="101" t="str">
        <f aca="false">IF(Concurso!$B48="","","Concurso")</f>
        <v/>
      </c>
      <c r="B83" s="101" t="str">
        <f aca="false">IF(Concurso!$B48="","",Concurso!$B48)</f>
        <v/>
      </c>
      <c r="C83" s="102" t="str">
        <f aca="false">IF(OR(Concurso!$B48="",Concurso!$K48=""),"",Concurso!$K48)</f>
        <v/>
      </c>
      <c r="D83" s="101" t="str">
        <f aca="true">IF(C83="","",C83-TODAY())</f>
        <v/>
      </c>
      <c r="E83" s="101" t="str">
        <f aca="false">IF(C83="","",D83+ROW()/100000)</f>
        <v/>
      </c>
      <c r="F83" s="101"/>
      <c r="G83" s="101"/>
      <c r="H83" s="101"/>
    </row>
    <row r="84" customFormat="false" ht="15" hidden="false" customHeight="false" outlineLevel="0" collapsed="false">
      <c r="A84" s="101" t="str">
        <f aca="false">IF(Concurso!$B49="","","Concurso")</f>
        <v/>
      </c>
      <c r="B84" s="101" t="str">
        <f aca="false">IF(Concurso!$B49="","",Concurso!$B49)</f>
        <v/>
      </c>
      <c r="C84" s="102" t="str">
        <f aca="false">IF(OR(Concurso!$B49="",Concurso!$K49=""),"",Concurso!$K49)</f>
        <v/>
      </c>
      <c r="D84" s="101" t="str">
        <f aca="true">IF(C84="","",C84-TODAY())</f>
        <v/>
      </c>
      <c r="E84" s="101" t="str">
        <f aca="false">IF(C84="","",D84+ROW()/100000)</f>
        <v/>
      </c>
      <c r="F84" s="101"/>
      <c r="G84" s="101"/>
      <c r="H84" s="101"/>
    </row>
    <row r="85" customFormat="false" ht="15" hidden="false" customHeight="false" outlineLevel="0" collapsed="false">
      <c r="A85" s="101" t="str">
        <f aca="false">IF('Cursos IA'!$B10="","","Cursos IA")</f>
        <v>Cursos IA</v>
      </c>
      <c r="B85" s="101" t="str">
        <f aca="false">IF('Cursos IA'!$B10="","",'Cursos IA'!$B10)</f>
        <v>Agentes de IA na Prática (exemplo)</v>
      </c>
      <c r="C85" s="102" t="n">
        <f aca="false">IF(OR('Cursos IA'!$B10="",'Cursos IA'!$I10=""),"",'Cursos IA'!$I10)</f>
        <v>46642</v>
      </c>
      <c r="D85" s="101" t="n">
        <f aca="true">IF(C85="","",C85-TODAY())</f>
        <v>344</v>
      </c>
      <c r="E85" s="101" t="n">
        <f aca="false">IF(C85="","",D85+ROW()/100000)</f>
        <v>344.00085</v>
      </c>
      <c r="F85" s="101"/>
      <c r="G85" s="101"/>
      <c r="H85" s="101"/>
    </row>
    <row r="86" customFormat="false" ht="15" hidden="false" customHeight="false" outlineLevel="0" collapsed="false">
      <c r="A86" s="101" t="str">
        <f aca="false">IF('Cursos IA'!$B11="","","Cursos IA")</f>
        <v/>
      </c>
      <c r="B86" s="101" t="str">
        <f aca="false">IF('Cursos IA'!$B11="","",'Cursos IA'!$B11)</f>
        <v/>
      </c>
      <c r="C86" s="102" t="str">
        <f aca="false">IF(OR('Cursos IA'!$B11="",'Cursos IA'!$I11=""),"",'Cursos IA'!$I11)</f>
        <v/>
      </c>
      <c r="D86" s="101" t="str">
        <f aca="true">IF(C86="","",C86-TODAY())</f>
        <v/>
      </c>
      <c r="E86" s="101" t="str">
        <f aca="false">IF(C86="","",D86+ROW()/100000)</f>
        <v/>
      </c>
      <c r="F86" s="101"/>
      <c r="G86" s="101"/>
      <c r="H86" s="101"/>
    </row>
    <row r="87" customFormat="false" ht="15" hidden="false" customHeight="false" outlineLevel="0" collapsed="false">
      <c r="A87" s="101" t="str">
        <f aca="false">IF('Cursos IA'!$B12="","","Cursos IA")</f>
        <v/>
      </c>
      <c r="B87" s="101" t="str">
        <f aca="false">IF('Cursos IA'!$B12="","",'Cursos IA'!$B12)</f>
        <v/>
      </c>
      <c r="C87" s="102" t="str">
        <f aca="false">IF(OR('Cursos IA'!$B12="",'Cursos IA'!$I12=""),"",'Cursos IA'!$I12)</f>
        <v/>
      </c>
      <c r="D87" s="101" t="str">
        <f aca="true">IF(C87="","",C87-TODAY())</f>
        <v/>
      </c>
      <c r="E87" s="101" t="str">
        <f aca="false">IF(C87="","",D87+ROW()/100000)</f>
        <v/>
      </c>
      <c r="F87" s="101"/>
      <c r="G87" s="101"/>
      <c r="H87" s="101"/>
    </row>
    <row r="88" customFormat="false" ht="15" hidden="false" customHeight="false" outlineLevel="0" collapsed="false">
      <c r="A88" s="101" t="str">
        <f aca="false">IF('Cursos IA'!$B13="","","Cursos IA")</f>
        <v/>
      </c>
      <c r="B88" s="101" t="str">
        <f aca="false">IF('Cursos IA'!$B13="","",'Cursos IA'!$B13)</f>
        <v/>
      </c>
      <c r="C88" s="102" t="str">
        <f aca="false">IF(OR('Cursos IA'!$B13="",'Cursos IA'!$I13=""),"",'Cursos IA'!$I13)</f>
        <v/>
      </c>
      <c r="D88" s="101" t="str">
        <f aca="true">IF(C88="","",C88-TODAY())</f>
        <v/>
      </c>
      <c r="E88" s="101" t="str">
        <f aca="false">IF(C88="","",D88+ROW()/100000)</f>
        <v/>
      </c>
      <c r="F88" s="101"/>
      <c r="G88" s="101"/>
      <c r="H88" s="101"/>
    </row>
    <row r="89" customFormat="false" ht="15" hidden="false" customHeight="false" outlineLevel="0" collapsed="false">
      <c r="A89" s="101" t="str">
        <f aca="false">IF('Cursos IA'!$B14="","","Cursos IA")</f>
        <v/>
      </c>
      <c r="B89" s="101" t="str">
        <f aca="false">IF('Cursos IA'!$B14="","",'Cursos IA'!$B14)</f>
        <v/>
      </c>
      <c r="C89" s="102" t="str">
        <f aca="false">IF(OR('Cursos IA'!$B14="",'Cursos IA'!$I14=""),"",'Cursos IA'!$I14)</f>
        <v/>
      </c>
      <c r="D89" s="101" t="str">
        <f aca="true">IF(C89="","",C89-TODAY())</f>
        <v/>
      </c>
      <c r="E89" s="101" t="str">
        <f aca="false">IF(C89="","",D89+ROW()/100000)</f>
        <v/>
      </c>
      <c r="F89" s="101"/>
      <c r="G89" s="101"/>
      <c r="H89" s="101"/>
    </row>
    <row r="90" customFormat="false" ht="15" hidden="false" customHeight="false" outlineLevel="0" collapsed="false">
      <c r="A90" s="101" t="str">
        <f aca="false">IF('Cursos IA'!$B15="","","Cursos IA")</f>
        <v/>
      </c>
      <c r="B90" s="101" t="str">
        <f aca="false">IF('Cursos IA'!$B15="","",'Cursos IA'!$B15)</f>
        <v/>
      </c>
      <c r="C90" s="102" t="str">
        <f aca="false">IF(OR('Cursos IA'!$B15="",'Cursos IA'!$I15=""),"",'Cursos IA'!$I15)</f>
        <v/>
      </c>
      <c r="D90" s="101" t="str">
        <f aca="true">IF(C90="","",C90-TODAY())</f>
        <v/>
      </c>
      <c r="E90" s="101" t="str">
        <f aca="false">IF(C90="","",D90+ROW()/100000)</f>
        <v/>
      </c>
      <c r="F90" s="101"/>
      <c r="G90" s="101"/>
      <c r="H90" s="101"/>
    </row>
    <row r="91" customFormat="false" ht="15" hidden="false" customHeight="false" outlineLevel="0" collapsed="false">
      <c r="A91" s="101" t="str">
        <f aca="false">IF('Cursos IA'!$B16="","","Cursos IA")</f>
        <v/>
      </c>
      <c r="B91" s="101" t="str">
        <f aca="false">IF('Cursos IA'!$B16="","",'Cursos IA'!$B16)</f>
        <v/>
      </c>
      <c r="C91" s="102" t="str">
        <f aca="false">IF(OR('Cursos IA'!$B16="",'Cursos IA'!$I16=""),"",'Cursos IA'!$I16)</f>
        <v/>
      </c>
      <c r="D91" s="101" t="str">
        <f aca="true">IF(C91="","",C91-TODAY())</f>
        <v/>
      </c>
      <c r="E91" s="101" t="str">
        <f aca="false">IF(C91="","",D91+ROW()/100000)</f>
        <v/>
      </c>
      <c r="F91" s="101"/>
      <c r="G91" s="101"/>
      <c r="H91" s="101"/>
    </row>
    <row r="92" customFormat="false" ht="15" hidden="false" customHeight="false" outlineLevel="0" collapsed="false">
      <c r="A92" s="101" t="str">
        <f aca="false">IF('Cursos IA'!$B17="","","Cursos IA")</f>
        <v/>
      </c>
      <c r="B92" s="101" t="str">
        <f aca="false">IF('Cursos IA'!$B17="","",'Cursos IA'!$B17)</f>
        <v/>
      </c>
      <c r="C92" s="102" t="str">
        <f aca="false">IF(OR('Cursos IA'!$B17="",'Cursos IA'!$I17=""),"",'Cursos IA'!$I17)</f>
        <v/>
      </c>
      <c r="D92" s="101" t="str">
        <f aca="true">IF(C92="","",C92-TODAY())</f>
        <v/>
      </c>
      <c r="E92" s="101" t="str">
        <f aca="false">IF(C92="","",D92+ROW()/100000)</f>
        <v/>
      </c>
      <c r="F92" s="101"/>
      <c r="G92" s="101"/>
      <c r="H92" s="101"/>
    </row>
    <row r="93" customFormat="false" ht="15" hidden="false" customHeight="false" outlineLevel="0" collapsed="false">
      <c r="A93" s="101" t="str">
        <f aca="false">IF('Cursos IA'!$B18="","","Cursos IA")</f>
        <v/>
      </c>
      <c r="B93" s="101" t="str">
        <f aca="false">IF('Cursos IA'!$B18="","",'Cursos IA'!$B18)</f>
        <v/>
      </c>
      <c r="C93" s="102" t="str">
        <f aca="false">IF(OR('Cursos IA'!$B18="",'Cursos IA'!$I18=""),"",'Cursos IA'!$I18)</f>
        <v/>
      </c>
      <c r="D93" s="101" t="str">
        <f aca="true">IF(C93="","",C93-TODAY())</f>
        <v/>
      </c>
      <c r="E93" s="101" t="str">
        <f aca="false">IF(C93="","",D93+ROW()/100000)</f>
        <v/>
      </c>
      <c r="F93" s="101"/>
      <c r="G93" s="101"/>
      <c r="H93" s="101"/>
    </row>
    <row r="94" customFormat="false" ht="15" hidden="false" customHeight="false" outlineLevel="0" collapsed="false">
      <c r="A94" s="101" t="str">
        <f aca="false">IF('Cursos IA'!$B19="","","Cursos IA")</f>
        <v/>
      </c>
      <c r="B94" s="101" t="str">
        <f aca="false">IF('Cursos IA'!$B19="","",'Cursos IA'!$B19)</f>
        <v/>
      </c>
      <c r="C94" s="102" t="str">
        <f aca="false">IF(OR('Cursos IA'!$B19="",'Cursos IA'!$I19=""),"",'Cursos IA'!$I19)</f>
        <v/>
      </c>
      <c r="D94" s="101" t="str">
        <f aca="true">IF(C94="","",C94-TODAY())</f>
        <v/>
      </c>
      <c r="E94" s="101" t="str">
        <f aca="false">IF(C94="","",D94+ROW()/100000)</f>
        <v/>
      </c>
      <c r="F94" s="101"/>
      <c r="G94" s="101"/>
      <c r="H94" s="101"/>
    </row>
    <row r="95" customFormat="false" ht="15" hidden="false" customHeight="false" outlineLevel="0" collapsed="false">
      <c r="A95" s="101" t="str">
        <f aca="false">IF('Cursos IA'!$B20="","","Cursos IA")</f>
        <v/>
      </c>
      <c r="B95" s="101" t="str">
        <f aca="false">IF('Cursos IA'!$B20="","",'Cursos IA'!$B20)</f>
        <v/>
      </c>
      <c r="C95" s="102" t="str">
        <f aca="false">IF(OR('Cursos IA'!$B20="",'Cursos IA'!$I20=""),"",'Cursos IA'!$I20)</f>
        <v/>
      </c>
      <c r="D95" s="101" t="str">
        <f aca="true">IF(C95="","",C95-TODAY())</f>
        <v/>
      </c>
      <c r="E95" s="101" t="str">
        <f aca="false">IF(C95="","",D95+ROW()/100000)</f>
        <v/>
      </c>
      <c r="F95" s="101"/>
      <c r="G95" s="101"/>
      <c r="H95" s="101"/>
    </row>
    <row r="96" customFormat="false" ht="15" hidden="false" customHeight="false" outlineLevel="0" collapsed="false">
      <c r="A96" s="101" t="str">
        <f aca="false">IF('Cursos IA'!$B21="","","Cursos IA")</f>
        <v/>
      </c>
      <c r="B96" s="101" t="str">
        <f aca="false">IF('Cursos IA'!$B21="","",'Cursos IA'!$B21)</f>
        <v/>
      </c>
      <c r="C96" s="102" t="str">
        <f aca="false">IF(OR('Cursos IA'!$B21="",'Cursos IA'!$I21=""),"",'Cursos IA'!$I21)</f>
        <v/>
      </c>
      <c r="D96" s="101" t="str">
        <f aca="true">IF(C96="","",C96-TODAY())</f>
        <v/>
      </c>
      <c r="E96" s="101" t="str">
        <f aca="false">IF(C96="","",D96+ROW()/100000)</f>
        <v/>
      </c>
      <c r="F96" s="101"/>
      <c r="G96" s="101"/>
      <c r="H96" s="101"/>
    </row>
    <row r="97" customFormat="false" ht="15" hidden="false" customHeight="false" outlineLevel="0" collapsed="false">
      <c r="A97" s="101" t="str">
        <f aca="false">IF('Cursos IA'!$B22="","","Cursos IA")</f>
        <v/>
      </c>
      <c r="B97" s="101" t="str">
        <f aca="false">IF('Cursos IA'!$B22="","",'Cursos IA'!$B22)</f>
        <v/>
      </c>
      <c r="C97" s="102" t="str">
        <f aca="false">IF(OR('Cursos IA'!$B22="",'Cursos IA'!$I22=""),"",'Cursos IA'!$I22)</f>
        <v/>
      </c>
      <c r="D97" s="101" t="str">
        <f aca="true">IF(C97="","",C97-TODAY())</f>
        <v/>
      </c>
      <c r="E97" s="101" t="str">
        <f aca="false">IF(C97="","",D97+ROW()/100000)</f>
        <v/>
      </c>
      <c r="F97" s="101"/>
      <c r="G97" s="101"/>
      <c r="H97" s="101"/>
    </row>
    <row r="98" customFormat="false" ht="15" hidden="false" customHeight="false" outlineLevel="0" collapsed="false">
      <c r="A98" s="101" t="str">
        <f aca="false">IF('Cursos IA'!$B23="","","Cursos IA")</f>
        <v/>
      </c>
      <c r="B98" s="101" t="str">
        <f aca="false">IF('Cursos IA'!$B23="","",'Cursos IA'!$B23)</f>
        <v/>
      </c>
      <c r="C98" s="102" t="str">
        <f aca="false">IF(OR('Cursos IA'!$B23="",'Cursos IA'!$I23=""),"",'Cursos IA'!$I23)</f>
        <v/>
      </c>
      <c r="D98" s="101" t="str">
        <f aca="true">IF(C98="","",C98-TODAY())</f>
        <v/>
      </c>
      <c r="E98" s="101" t="str">
        <f aca="false">IF(C98="","",D98+ROW()/100000)</f>
        <v/>
      </c>
      <c r="F98" s="101"/>
      <c r="G98" s="101"/>
      <c r="H98" s="101"/>
    </row>
    <row r="99" customFormat="false" ht="15" hidden="false" customHeight="false" outlineLevel="0" collapsed="false">
      <c r="A99" s="101" t="str">
        <f aca="false">IF('Cursos IA'!$B24="","","Cursos IA")</f>
        <v/>
      </c>
      <c r="B99" s="101" t="str">
        <f aca="false">IF('Cursos IA'!$B24="","",'Cursos IA'!$B24)</f>
        <v/>
      </c>
      <c r="C99" s="102" t="str">
        <f aca="false">IF(OR('Cursos IA'!$B24="",'Cursos IA'!$I24=""),"",'Cursos IA'!$I24)</f>
        <v/>
      </c>
      <c r="D99" s="101" t="str">
        <f aca="true">IF(C99="","",C99-TODAY())</f>
        <v/>
      </c>
      <c r="E99" s="101" t="str">
        <f aca="false">IF(C99="","",D99+ROW()/100000)</f>
        <v/>
      </c>
      <c r="F99" s="101"/>
      <c r="G99" s="101"/>
      <c r="H99" s="101"/>
    </row>
    <row r="100" customFormat="false" ht="15" hidden="false" customHeight="false" outlineLevel="0" collapsed="false">
      <c r="A100" s="101" t="str">
        <f aca="false">IF('Cursos IA'!$B25="","","Cursos IA")</f>
        <v/>
      </c>
      <c r="B100" s="101" t="str">
        <f aca="false">IF('Cursos IA'!$B25="","",'Cursos IA'!$B25)</f>
        <v/>
      </c>
      <c r="C100" s="102" t="str">
        <f aca="false">IF(OR('Cursos IA'!$B25="",'Cursos IA'!$I25=""),"",'Cursos IA'!$I25)</f>
        <v/>
      </c>
      <c r="D100" s="101" t="str">
        <f aca="true">IF(C100="","",C100-TODAY())</f>
        <v/>
      </c>
      <c r="E100" s="101" t="str">
        <f aca="false">IF(C100="","",D100+ROW()/100000)</f>
        <v/>
      </c>
      <c r="F100" s="101"/>
      <c r="G100" s="101"/>
      <c r="H100" s="101"/>
    </row>
    <row r="101" customFormat="false" ht="15" hidden="false" customHeight="false" outlineLevel="0" collapsed="false">
      <c r="A101" s="101" t="str">
        <f aca="false">IF('Cursos IA'!$B26="","","Cursos IA")</f>
        <v/>
      </c>
      <c r="B101" s="101" t="str">
        <f aca="false">IF('Cursos IA'!$B26="","",'Cursos IA'!$B26)</f>
        <v/>
      </c>
      <c r="C101" s="102" t="str">
        <f aca="false">IF(OR('Cursos IA'!$B26="",'Cursos IA'!$I26=""),"",'Cursos IA'!$I26)</f>
        <v/>
      </c>
      <c r="D101" s="101" t="str">
        <f aca="true">IF(C101="","",C101-TODAY())</f>
        <v/>
      </c>
      <c r="E101" s="101" t="str">
        <f aca="false">IF(C101="","",D101+ROW()/100000)</f>
        <v/>
      </c>
      <c r="F101" s="101"/>
      <c r="G101" s="101"/>
      <c r="H101" s="101"/>
    </row>
    <row r="102" customFormat="false" ht="15" hidden="false" customHeight="false" outlineLevel="0" collapsed="false">
      <c r="A102" s="101" t="str">
        <f aca="false">IF('Cursos IA'!$B27="","","Cursos IA")</f>
        <v/>
      </c>
      <c r="B102" s="101" t="str">
        <f aca="false">IF('Cursos IA'!$B27="","",'Cursos IA'!$B27)</f>
        <v/>
      </c>
      <c r="C102" s="102" t="str">
        <f aca="false">IF(OR('Cursos IA'!$B27="",'Cursos IA'!$I27=""),"",'Cursos IA'!$I27)</f>
        <v/>
      </c>
      <c r="D102" s="101" t="str">
        <f aca="true">IF(C102="","",C102-TODAY())</f>
        <v/>
      </c>
      <c r="E102" s="101" t="str">
        <f aca="false">IF(C102="","",D102+ROW()/100000)</f>
        <v/>
      </c>
      <c r="F102" s="101"/>
      <c r="G102" s="101"/>
      <c r="H102" s="101"/>
    </row>
    <row r="103" customFormat="false" ht="15" hidden="false" customHeight="false" outlineLevel="0" collapsed="false">
      <c r="A103" s="101" t="str">
        <f aca="false">IF('Cursos IA'!$B28="","","Cursos IA")</f>
        <v/>
      </c>
      <c r="B103" s="101" t="str">
        <f aca="false">IF('Cursos IA'!$B28="","",'Cursos IA'!$B28)</f>
        <v/>
      </c>
      <c r="C103" s="102" t="str">
        <f aca="false">IF(OR('Cursos IA'!$B28="",'Cursos IA'!$I28=""),"",'Cursos IA'!$I28)</f>
        <v/>
      </c>
      <c r="D103" s="101" t="str">
        <f aca="true">IF(C103="","",C103-TODAY())</f>
        <v/>
      </c>
      <c r="E103" s="101" t="str">
        <f aca="false">IF(C103="","",D103+ROW()/100000)</f>
        <v/>
      </c>
      <c r="F103" s="101"/>
      <c r="G103" s="101"/>
      <c r="H103" s="101"/>
    </row>
    <row r="104" customFormat="false" ht="15" hidden="false" customHeight="false" outlineLevel="0" collapsed="false">
      <c r="A104" s="101" t="str">
        <f aca="false">IF('Cursos IA'!$B29="","","Cursos IA")</f>
        <v/>
      </c>
      <c r="B104" s="101" t="str">
        <f aca="false">IF('Cursos IA'!$B29="","",'Cursos IA'!$B29)</f>
        <v/>
      </c>
      <c r="C104" s="102" t="str">
        <f aca="false">IF(OR('Cursos IA'!$B29="",'Cursos IA'!$I29=""),"",'Cursos IA'!$I29)</f>
        <v/>
      </c>
      <c r="D104" s="101" t="str">
        <f aca="true">IF(C104="","",C104-TODAY())</f>
        <v/>
      </c>
      <c r="E104" s="101" t="str">
        <f aca="false">IF(C104="","",D104+ROW()/100000)</f>
        <v/>
      </c>
      <c r="F104" s="101"/>
      <c r="G104" s="101"/>
      <c r="H104" s="101"/>
    </row>
    <row r="105" customFormat="false" ht="15" hidden="false" customHeight="false" outlineLevel="0" collapsed="false">
      <c r="A105" s="101" t="str">
        <f aca="false">IF('Cursos IA'!$B30="","","Cursos IA")</f>
        <v/>
      </c>
      <c r="B105" s="101" t="str">
        <f aca="false">IF('Cursos IA'!$B30="","",'Cursos IA'!$B30)</f>
        <v/>
      </c>
      <c r="C105" s="102" t="str">
        <f aca="false">IF(OR('Cursos IA'!$B30="",'Cursos IA'!$I30=""),"",'Cursos IA'!$I30)</f>
        <v/>
      </c>
      <c r="D105" s="101" t="str">
        <f aca="true">IF(C105="","",C105-TODAY())</f>
        <v/>
      </c>
      <c r="E105" s="101" t="str">
        <f aca="false">IF(C105="","",D105+ROW()/100000)</f>
        <v/>
      </c>
      <c r="F105" s="101"/>
      <c r="G105" s="101"/>
      <c r="H105" s="101"/>
    </row>
    <row r="106" customFormat="false" ht="15" hidden="false" customHeight="false" outlineLevel="0" collapsed="false">
      <c r="A106" s="101" t="str">
        <f aca="false">IF('Cursos IA'!$B31="","","Cursos IA")</f>
        <v/>
      </c>
      <c r="B106" s="101" t="str">
        <f aca="false">IF('Cursos IA'!$B31="","",'Cursos IA'!$B31)</f>
        <v/>
      </c>
      <c r="C106" s="102" t="str">
        <f aca="false">IF(OR('Cursos IA'!$B31="",'Cursos IA'!$I31=""),"",'Cursos IA'!$I31)</f>
        <v/>
      </c>
      <c r="D106" s="101" t="str">
        <f aca="true">IF(C106="","",C106-TODAY())</f>
        <v/>
      </c>
      <c r="E106" s="101" t="str">
        <f aca="false">IF(C106="","",D106+ROW()/100000)</f>
        <v/>
      </c>
      <c r="F106" s="101"/>
      <c r="G106" s="101"/>
      <c r="H106" s="101"/>
    </row>
    <row r="107" customFormat="false" ht="15" hidden="false" customHeight="false" outlineLevel="0" collapsed="false">
      <c r="A107" s="101" t="str">
        <f aca="false">IF('Cursos IA'!$B32="","","Cursos IA")</f>
        <v/>
      </c>
      <c r="B107" s="101" t="str">
        <f aca="false">IF('Cursos IA'!$B32="","",'Cursos IA'!$B32)</f>
        <v/>
      </c>
      <c r="C107" s="102" t="str">
        <f aca="false">IF(OR('Cursos IA'!$B32="",'Cursos IA'!$I32=""),"",'Cursos IA'!$I32)</f>
        <v/>
      </c>
      <c r="D107" s="101" t="str">
        <f aca="true">IF(C107="","",C107-TODAY())</f>
        <v/>
      </c>
      <c r="E107" s="101" t="str">
        <f aca="false">IF(C107="","",D107+ROW()/100000)</f>
        <v/>
      </c>
      <c r="F107" s="101"/>
      <c r="G107" s="101"/>
      <c r="H107" s="101"/>
    </row>
    <row r="108" customFormat="false" ht="15" hidden="false" customHeight="false" outlineLevel="0" collapsed="false">
      <c r="A108" s="101" t="str">
        <f aca="false">IF('Cursos IA'!$B33="","","Cursos IA")</f>
        <v/>
      </c>
      <c r="B108" s="101" t="str">
        <f aca="false">IF('Cursos IA'!$B33="","",'Cursos IA'!$B33)</f>
        <v/>
      </c>
      <c r="C108" s="102" t="str">
        <f aca="false">IF(OR('Cursos IA'!$B33="",'Cursos IA'!$I33=""),"",'Cursos IA'!$I33)</f>
        <v/>
      </c>
      <c r="D108" s="101" t="str">
        <f aca="true">IF(C108="","",C108-TODAY())</f>
        <v/>
      </c>
      <c r="E108" s="101" t="str">
        <f aca="false">IF(C108="","",D108+ROW()/100000)</f>
        <v/>
      </c>
      <c r="F108" s="101"/>
      <c r="G108" s="101"/>
      <c r="H108" s="101"/>
    </row>
    <row r="109" customFormat="false" ht="15" hidden="false" customHeight="false" outlineLevel="0" collapsed="false">
      <c r="A109" s="101" t="str">
        <f aca="false">IF('Cursos IA'!$B34="","","Cursos IA")</f>
        <v/>
      </c>
      <c r="B109" s="101" t="str">
        <f aca="false">IF('Cursos IA'!$B34="","",'Cursos IA'!$B34)</f>
        <v/>
      </c>
      <c r="C109" s="102" t="str">
        <f aca="false">IF(OR('Cursos IA'!$B34="",'Cursos IA'!$I34=""),"",'Cursos IA'!$I34)</f>
        <v/>
      </c>
      <c r="D109" s="101" t="str">
        <f aca="true">IF(C109="","",C109-TODAY())</f>
        <v/>
      </c>
      <c r="E109" s="101" t="str">
        <f aca="false">IF(C109="","",D109+ROW()/100000)</f>
        <v/>
      </c>
      <c r="F109" s="101"/>
      <c r="G109" s="101"/>
      <c r="H109" s="101"/>
    </row>
    <row r="110" customFormat="false" ht="15" hidden="false" customHeight="false" outlineLevel="0" collapsed="false">
      <c r="A110" s="101" t="str">
        <f aca="false">IF('Cursos IA'!$B35="","","Cursos IA")</f>
        <v/>
      </c>
      <c r="B110" s="101" t="str">
        <f aca="false">IF('Cursos IA'!$B35="","",'Cursos IA'!$B35)</f>
        <v/>
      </c>
      <c r="C110" s="102" t="str">
        <f aca="false">IF(OR('Cursos IA'!$B35="",'Cursos IA'!$I35=""),"",'Cursos IA'!$I35)</f>
        <v/>
      </c>
      <c r="D110" s="101" t="str">
        <f aca="true">IF(C110="","",C110-TODAY())</f>
        <v/>
      </c>
      <c r="E110" s="101" t="str">
        <f aca="false">IF(C110="","",D110+ROW()/100000)</f>
        <v/>
      </c>
      <c r="F110" s="101"/>
      <c r="G110" s="101"/>
      <c r="H110" s="101"/>
    </row>
    <row r="111" customFormat="false" ht="15" hidden="false" customHeight="false" outlineLevel="0" collapsed="false">
      <c r="A111" s="101" t="str">
        <f aca="false">IF('Cursos IA'!$B36="","","Cursos IA")</f>
        <v/>
      </c>
      <c r="B111" s="101" t="str">
        <f aca="false">IF('Cursos IA'!$B36="","",'Cursos IA'!$B36)</f>
        <v/>
      </c>
      <c r="C111" s="102" t="str">
        <f aca="false">IF(OR('Cursos IA'!$B36="",'Cursos IA'!$I36=""),"",'Cursos IA'!$I36)</f>
        <v/>
      </c>
      <c r="D111" s="101" t="str">
        <f aca="true">IF(C111="","",C111-TODAY())</f>
        <v/>
      </c>
      <c r="E111" s="101" t="str">
        <f aca="false">IF(C111="","",D111+ROW()/100000)</f>
        <v/>
      </c>
      <c r="F111" s="101"/>
      <c r="G111" s="101"/>
      <c r="H111" s="101"/>
    </row>
    <row r="112" customFormat="false" ht="15" hidden="false" customHeight="false" outlineLevel="0" collapsed="false">
      <c r="A112" s="101" t="str">
        <f aca="false">IF('Cursos IA'!$B37="","","Cursos IA")</f>
        <v/>
      </c>
      <c r="B112" s="101" t="str">
        <f aca="false">IF('Cursos IA'!$B37="","",'Cursos IA'!$B37)</f>
        <v/>
      </c>
      <c r="C112" s="102" t="str">
        <f aca="false">IF(OR('Cursos IA'!$B37="",'Cursos IA'!$I37=""),"",'Cursos IA'!$I37)</f>
        <v/>
      </c>
      <c r="D112" s="101" t="str">
        <f aca="true">IF(C112="","",C112-TODAY())</f>
        <v/>
      </c>
      <c r="E112" s="101" t="str">
        <f aca="false">IF(C112="","",D112+ROW()/100000)</f>
        <v/>
      </c>
      <c r="F112" s="101"/>
      <c r="G112" s="101"/>
      <c r="H112" s="101"/>
    </row>
    <row r="113" customFormat="false" ht="15" hidden="false" customHeight="false" outlineLevel="0" collapsed="false">
      <c r="A113" s="101" t="str">
        <f aca="false">IF('Cursos IA'!$B38="","","Cursos IA")</f>
        <v/>
      </c>
      <c r="B113" s="101" t="str">
        <f aca="false">IF('Cursos IA'!$B38="","",'Cursos IA'!$B38)</f>
        <v/>
      </c>
      <c r="C113" s="102" t="str">
        <f aca="false">IF(OR('Cursos IA'!$B38="",'Cursos IA'!$I38=""),"",'Cursos IA'!$I38)</f>
        <v/>
      </c>
      <c r="D113" s="101" t="str">
        <f aca="true">IF(C113="","",C113-TODAY())</f>
        <v/>
      </c>
      <c r="E113" s="101" t="str">
        <f aca="false">IF(C113="","",D113+ROW()/100000)</f>
        <v/>
      </c>
      <c r="F113" s="101"/>
      <c r="G113" s="101"/>
      <c r="H113" s="101"/>
    </row>
    <row r="114" customFormat="false" ht="15" hidden="false" customHeight="false" outlineLevel="0" collapsed="false">
      <c r="A114" s="101" t="str">
        <f aca="false">IF('Cursos IA'!$B39="","","Cursos IA")</f>
        <v/>
      </c>
      <c r="B114" s="101" t="str">
        <f aca="false">IF('Cursos IA'!$B39="","",'Cursos IA'!$B39)</f>
        <v/>
      </c>
      <c r="C114" s="102" t="str">
        <f aca="false">IF(OR('Cursos IA'!$B39="",'Cursos IA'!$I39=""),"",'Cursos IA'!$I39)</f>
        <v/>
      </c>
      <c r="D114" s="101" t="str">
        <f aca="true">IF(C114="","",C114-TODAY())</f>
        <v/>
      </c>
      <c r="E114" s="101" t="str">
        <f aca="false">IF(C114="","",D114+ROW()/100000)</f>
        <v/>
      </c>
      <c r="F114" s="101"/>
      <c r="G114" s="101"/>
      <c r="H114" s="101"/>
    </row>
    <row r="115" customFormat="false" ht="15" hidden="false" customHeight="false" outlineLevel="0" collapsed="false">
      <c r="A115" s="101" t="str">
        <f aca="false">IF('Cursos IA'!$B40="","","Cursos IA")</f>
        <v/>
      </c>
      <c r="B115" s="101" t="str">
        <f aca="false">IF('Cursos IA'!$B40="","",'Cursos IA'!$B40)</f>
        <v/>
      </c>
      <c r="C115" s="102" t="str">
        <f aca="false">IF(OR('Cursos IA'!$B40="",'Cursos IA'!$I40=""),"",'Cursos IA'!$I40)</f>
        <v/>
      </c>
      <c r="D115" s="101" t="str">
        <f aca="true">IF(C115="","",C115-TODAY())</f>
        <v/>
      </c>
      <c r="E115" s="101" t="str">
        <f aca="false">IF(C115="","",D115+ROW()/100000)</f>
        <v/>
      </c>
      <c r="F115" s="101"/>
      <c r="G115" s="101"/>
      <c r="H115" s="101"/>
    </row>
    <row r="116" customFormat="false" ht="15" hidden="false" customHeight="false" outlineLevel="0" collapsed="false">
      <c r="A116" s="101" t="str">
        <f aca="false">IF('Cursos IA'!$B41="","","Cursos IA")</f>
        <v/>
      </c>
      <c r="B116" s="101" t="str">
        <f aca="false">IF('Cursos IA'!$B41="","",'Cursos IA'!$B41)</f>
        <v/>
      </c>
      <c r="C116" s="102" t="str">
        <f aca="false">IF(OR('Cursos IA'!$B41="",'Cursos IA'!$I41=""),"",'Cursos IA'!$I41)</f>
        <v/>
      </c>
      <c r="D116" s="101" t="str">
        <f aca="true">IF(C116="","",C116-TODAY())</f>
        <v/>
      </c>
      <c r="E116" s="101" t="str">
        <f aca="false">IF(C116="","",D116+ROW()/100000)</f>
        <v/>
      </c>
      <c r="F116" s="101"/>
      <c r="G116" s="101"/>
      <c r="H116" s="101"/>
    </row>
    <row r="117" customFormat="false" ht="15" hidden="false" customHeight="false" outlineLevel="0" collapsed="false">
      <c r="A117" s="101" t="str">
        <f aca="false">IF('Cursos IA'!$B42="","","Cursos IA")</f>
        <v/>
      </c>
      <c r="B117" s="101" t="str">
        <f aca="false">IF('Cursos IA'!$B42="","",'Cursos IA'!$B42)</f>
        <v/>
      </c>
      <c r="C117" s="102" t="str">
        <f aca="false">IF(OR('Cursos IA'!$B42="",'Cursos IA'!$I42=""),"",'Cursos IA'!$I42)</f>
        <v/>
      </c>
      <c r="D117" s="101" t="str">
        <f aca="true">IF(C117="","",C117-TODAY())</f>
        <v/>
      </c>
      <c r="E117" s="101" t="str">
        <f aca="false">IF(C117="","",D117+ROW()/100000)</f>
        <v/>
      </c>
      <c r="F117" s="101"/>
      <c r="G117" s="101"/>
      <c r="H117" s="101"/>
    </row>
    <row r="118" customFormat="false" ht="15" hidden="false" customHeight="false" outlineLevel="0" collapsed="false">
      <c r="A118" s="101" t="str">
        <f aca="false">IF('Cursos IA'!$B43="","","Cursos IA")</f>
        <v/>
      </c>
      <c r="B118" s="101" t="str">
        <f aca="false">IF('Cursos IA'!$B43="","",'Cursos IA'!$B43)</f>
        <v/>
      </c>
      <c r="C118" s="102" t="str">
        <f aca="false">IF(OR('Cursos IA'!$B43="",'Cursos IA'!$I43=""),"",'Cursos IA'!$I43)</f>
        <v/>
      </c>
      <c r="D118" s="101" t="str">
        <f aca="true">IF(C118="","",C118-TODAY())</f>
        <v/>
      </c>
      <c r="E118" s="101" t="str">
        <f aca="false">IF(C118="","",D118+ROW()/100000)</f>
        <v/>
      </c>
      <c r="F118" s="101"/>
      <c r="G118" s="101"/>
      <c r="H118" s="101"/>
    </row>
    <row r="119" customFormat="false" ht="15" hidden="false" customHeight="false" outlineLevel="0" collapsed="false">
      <c r="A119" s="101" t="str">
        <f aca="false">IF('Cursos IA'!$B44="","","Cursos IA")</f>
        <v/>
      </c>
      <c r="B119" s="101" t="str">
        <f aca="false">IF('Cursos IA'!$B44="","",'Cursos IA'!$B44)</f>
        <v/>
      </c>
      <c r="C119" s="102" t="str">
        <f aca="false">IF(OR('Cursos IA'!$B44="",'Cursos IA'!$I44=""),"",'Cursos IA'!$I44)</f>
        <v/>
      </c>
      <c r="D119" s="101" t="str">
        <f aca="true">IF(C119="","",C119-TODAY())</f>
        <v/>
      </c>
      <c r="E119" s="101" t="str">
        <f aca="false">IF(C119="","",D119+ROW()/100000)</f>
        <v/>
      </c>
      <c r="F119" s="101"/>
      <c r="G119" s="101"/>
      <c r="H119" s="101"/>
    </row>
    <row r="120" customFormat="false" ht="15" hidden="false" customHeight="false" outlineLevel="0" collapsed="false">
      <c r="A120" s="101" t="str">
        <f aca="false">IF('Cursos IA'!$B45="","","Cursos IA")</f>
        <v/>
      </c>
      <c r="B120" s="101" t="str">
        <f aca="false">IF('Cursos IA'!$B45="","",'Cursos IA'!$B45)</f>
        <v/>
      </c>
      <c r="C120" s="102" t="str">
        <f aca="false">IF(OR('Cursos IA'!$B45="",'Cursos IA'!$I45=""),"",'Cursos IA'!$I45)</f>
        <v/>
      </c>
      <c r="D120" s="101" t="str">
        <f aca="true">IF(C120="","",C120-TODAY())</f>
        <v/>
      </c>
      <c r="E120" s="101" t="str">
        <f aca="false">IF(C120="","",D120+ROW()/100000)</f>
        <v/>
      </c>
      <c r="F120" s="101"/>
      <c r="G120" s="101"/>
      <c r="H120" s="101"/>
    </row>
    <row r="121" customFormat="false" ht="15" hidden="false" customHeight="false" outlineLevel="0" collapsed="false">
      <c r="A121" s="101" t="str">
        <f aca="false">IF('Cursos IA'!$B46="","","Cursos IA")</f>
        <v/>
      </c>
      <c r="B121" s="101" t="str">
        <f aca="false">IF('Cursos IA'!$B46="","",'Cursos IA'!$B46)</f>
        <v/>
      </c>
      <c r="C121" s="102" t="str">
        <f aca="false">IF(OR('Cursos IA'!$B46="",'Cursos IA'!$I46=""),"",'Cursos IA'!$I46)</f>
        <v/>
      </c>
      <c r="D121" s="101" t="str">
        <f aca="true">IF(C121="","",C121-TODAY())</f>
        <v/>
      </c>
      <c r="E121" s="101" t="str">
        <f aca="false">IF(C121="","",D121+ROW()/100000)</f>
        <v/>
      </c>
      <c r="F121" s="101"/>
      <c r="G121" s="101"/>
      <c r="H121" s="101"/>
    </row>
    <row r="122" customFormat="false" ht="15" hidden="false" customHeight="false" outlineLevel="0" collapsed="false">
      <c r="A122" s="101" t="str">
        <f aca="false">IF('Cursos IA'!$B47="","","Cursos IA")</f>
        <v/>
      </c>
      <c r="B122" s="101" t="str">
        <f aca="false">IF('Cursos IA'!$B47="","",'Cursos IA'!$B47)</f>
        <v/>
      </c>
      <c r="C122" s="102" t="str">
        <f aca="false">IF(OR('Cursos IA'!$B47="",'Cursos IA'!$I47=""),"",'Cursos IA'!$I47)</f>
        <v/>
      </c>
      <c r="D122" s="101" t="str">
        <f aca="true">IF(C122="","",C122-TODAY())</f>
        <v/>
      </c>
      <c r="E122" s="101" t="str">
        <f aca="false">IF(C122="","",D122+ROW()/100000)</f>
        <v/>
      </c>
      <c r="F122" s="101"/>
      <c r="G122" s="101"/>
      <c r="H122" s="101"/>
    </row>
    <row r="123" customFormat="false" ht="15" hidden="false" customHeight="false" outlineLevel="0" collapsed="false">
      <c r="A123" s="101" t="str">
        <f aca="false">IF('Cursos IA'!$B48="","","Cursos IA")</f>
        <v/>
      </c>
      <c r="B123" s="101" t="str">
        <f aca="false">IF('Cursos IA'!$B48="","",'Cursos IA'!$B48)</f>
        <v/>
      </c>
      <c r="C123" s="102" t="str">
        <f aca="false">IF(OR('Cursos IA'!$B48="",'Cursos IA'!$I48=""),"",'Cursos IA'!$I48)</f>
        <v/>
      </c>
      <c r="D123" s="101" t="str">
        <f aca="true">IF(C123="","",C123-TODAY())</f>
        <v/>
      </c>
      <c r="E123" s="101" t="str">
        <f aca="false">IF(C123="","",D123+ROW()/100000)</f>
        <v/>
      </c>
      <c r="F123" s="101"/>
      <c r="G123" s="101"/>
      <c r="H123" s="101"/>
    </row>
    <row r="124" customFormat="false" ht="15" hidden="false" customHeight="false" outlineLevel="0" collapsed="false">
      <c r="A124" s="101" t="str">
        <f aca="false">IF('Cursos IA'!$B49="","","Cursos IA")</f>
        <v/>
      </c>
      <c r="B124" s="101" t="str">
        <f aca="false">IF('Cursos IA'!$B49="","",'Cursos IA'!$B49)</f>
        <v/>
      </c>
      <c r="C124" s="102" t="str">
        <f aca="false">IF(OR('Cursos IA'!$B49="",'Cursos IA'!$I49=""),"",'Cursos IA'!$I49)</f>
        <v/>
      </c>
      <c r="D124" s="101" t="str">
        <f aca="true">IF(C124="","",C124-TODAY())</f>
        <v/>
      </c>
      <c r="E124" s="101" t="str">
        <f aca="false">IF(C124="","",D124+ROW()/100000)</f>
        <v/>
      </c>
      <c r="F124" s="101"/>
      <c r="G124" s="101"/>
      <c r="H124" s="101"/>
    </row>
    <row r="125" customFormat="false" ht="15" hidden="false" customHeight="false" outlineLevel="0" collapsed="false">
      <c r="A125" s="101" t="str">
        <f aca="false">IF('Renda Extra'!$B10="","","Renda Extra")</f>
        <v>Renda Extra</v>
      </c>
      <c r="B125" s="101" t="str">
        <f aca="false">IF('Renda Extra'!$B10="","",'Renda Extra'!$B10)</f>
        <v>Marketing de Afiliados do Zero (exemplo)</v>
      </c>
      <c r="C125" s="102" t="n">
        <f aca="false">IF(OR('Renda Extra'!$B10="",'Renda Extra'!$I10=""),"",'Renda Extra'!$I10)</f>
        <v>46631</v>
      </c>
      <c r="D125" s="101" t="n">
        <f aca="true">IF(C125="","",C125-TODAY())</f>
        <v>333</v>
      </c>
      <c r="E125" s="101" t="n">
        <f aca="false">IF(C125="","",D125+ROW()/100000)</f>
        <v>333.00125</v>
      </c>
      <c r="F125" s="101"/>
      <c r="G125" s="101"/>
      <c r="H125" s="101"/>
    </row>
    <row r="126" customFormat="false" ht="15" hidden="false" customHeight="false" outlineLevel="0" collapsed="false">
      <c r="A126" s="101" t="str">
        <f aca="false">IF('Renda Extra'!$B11="","","Renda Extra")</f>
        <v/>
      </c>
      <c r="B126" s="101" t="str">
        <f aca="false">IF('Renda Extra'!$B11="","",'Renda Extra'!$B11)</f>
        <v/>
      </c>
      <c r="C126" s="102" t="str">
        <f aca="false">IF(OR('Renda Extra'!$B11="",'Renda Extra'!$I11=""),"",'Renda Extra'!$I11)</f>
        <v/>
      </c>
      <c r="D126" s="101" t="str">
        <f aca="true">IF(C126="","",C126-TODAY())</f>
        <v/>
      </c>
      <c r="E126" s="101" t="str">
        <f aca="false">IF(C126="","",D126+ROW()/100000)</f>
        <v/>
      </c>
      <c r="F126" s="101"/>
      <c r="G126" s="101"/>
      <c r="H126" s="101"/>
    </row>
    <row r="127" customFormat="false" ht="15" hidden="false" customHeight="false" outlineLevel="0" collapsed="false">
      <c r="A127" s="101" t="str">
        <f aca="false">IF('Renda Extra'!$B12="","","Renda Extra")</f>
        <v/>
      </c>
      <c r="B127" s="101" t="str">
        <f aca="false">IF('Renda Extra'!$B12="","",'Renda Extra'!$B12)</f>
        <v/>
      </c>
      <c r="C127" s="102" t="str">
        <f aca="false">IF(OR('Renda Extra'!$B12="",'Renda Extra'!$I12=""),"",'Renda Extra'!$I12)</f>
        <v/>
      </c>
      <c r="D127" s="101" t="str">
        <f aca="true">IF(C127="","",C127-TODAY())</f>
        <v/>
      </c>
      <c r="E127" s="101" t="str">
        <f aca="false">IF(C127="","",D127+ROW()/100000)</f>
        <v/>
      </c>
      <c r="F127" s="101"/>
      <c r="G127" s="101"/>
      <c r="H127" s="101"/>
    </row>
    <row r="128" customFormat="false" ht="15" hidden="false" customHeight="false" outlineLevel="0" collapsed="false">
      <c r="A128" s="101" t="str">
        <f aca="false">IF('Renda Extra'!$B13="","","Renda Extra")</f>
        <v/>
      </c>
      <c r="B128" s="101" t="str">
        <f aca="false">IF('Renda Extra'!$B13="","",'Renda Extra'!$B13)</f>
        <v/>
      </c>
      <c r="C128" s="102" t="str">
        <f aca="false">IF(OR('Renda Extra'!$B13="",'Renda Extra'!$I13=""),"",'Renda Extra'!$I13)</f>
        <v/>
      </c>
      <c r="D128" s="101" t="str">
        <f aca="true">IF(C128="","",C128-TODAY())</f>
        <v/>
      </c>
      <c r="E128" s="101" t="str">
        <f aca="false">IF(C128="","",D128+ROW()/100000)</f>
        <v/>
      </c>
      <c r="F128" s="101"/>
      <c r="G128" s="101"/>
      <c r="H128" s="101"/>
    </row>
    <row r="129" customFormat="false" ht="15" hidden="false" customHeight="false" outlineLevel="0" collapsed="false">
      <c r="A129" s="101" t="str">
        <f aca="false">IF('Renda Extra'!$B14="","","Renda Extra")</f>
        <v/>
      </c>
      <c r="B129" s="101" t="str">
        <f aca="false">IF('Renda Extra'!$B14="","",'Renda Extra'!$B14)</f>
        <v/>
      </c>
      <c r="C129" s="102" t="str">
        <f aca="false">IF(OR('Renda Extra'!$B14="",'Renda Extra'!$I14=""),"",'Renda Extra'!$I14)</f>
        <v/>
      </c>
      <c r="D129" s="101" t="str">
        <f aca="true">IF(C129="","",C129-TODAY())</f>
        <v/>
      </c>
      <c r="E129" s="101" t="str">
        <f aca="false">IF(C129="","",D129+ROW()/100000)</f>
        <v/>
      </c>
      <c r="F129" s="101"/>
      <c r="G129" s="101"/>
      <c r="H129" s="101"/>
    </row>
    <row r="130" customFormat="false" ht="15" hidden="false" customHeight="false" outlineLevel="0" collapsed="false">
      <c r="A130" s="101" t="str">
        <f aca="false">IF('Renda Extra'!$B15="","","Renda Extra")</f>
        <v/>
      </c>
      <c r="B130" s="101" t="str">
        <f aca="false">IF('Renda Extra'!$B15="","",'Renda Extra'!$B15)</f>
        <v/>
      </c>
      <c r="C130" s="102" t="str">
        <f aca="false">IF(OR('Renda Extra'!$B15="",'Renda Extra'!$I15=""),"",'Renda Extra'!$I15)</f>
        <v/>
      </c>
      <c r="D130" s="101" t="str">
        <f aca="true">IF(C130="","",C130-TODAY())</f>
        <v/>
      </c>
      <c r="E130" s="101" t="str">
        <f aca="false">IF(C130="","",D130+ROW()/100000)</f>
        <v/>
      </c>
      <c r="F130" s="101"/>
      <c r="G130" s="101"/>
      <c r="H130" s="101"/>
    </row>
    <row r="131" customFormat="false" ht="15" hidden="false" customHeight="false" outlineLevel="0" collapsed="false">
      <c r="A131" s="101" t="str">
        <f aca="false">IF('Renda Extra'!$B16="","","Renda Extra")</f>
        <v/>
      </c>
      <c r="B131" s="101" t="str">
        <f aca="false">IF('Renda Extra'!$B16="","",'Renda Extra'!$B16)</f>
        <v/>
      </c>
      <c r="C131" s="102" t="str">
        <f aca="false">IF(OR('Renda Extra'!$B16="",'Renda Extra'!$I16=""),"",'Renda Extra'!$I16)</f>
        <v/>
      </c>
      <c r="D131" s="101" t="str">
        <f aca="true">IF(C131="","",C131-TODAY())</f>
        <v/>
      </c>
      <c r="E131" s="101" t="str">
        <f aca="false">IF(C131="","",D131+ROW()/100000)</f>
        <v/>
      </c>
      <c r="F131" s="101"/>
      <c r="G131" s="101"/>
      <c r="H131" s="101"/>
    </row>
    <row r="132" customFormat="false" ht="15" hidden="false" customHeight="false" outlineLevel="0" collapsed="false">
      <c r="A132" s="101" t="str">
        <f aca="false">IF('Renda Extra'!$B17="","","Renda Extra")</f>
        <v/>
      </c>
      <c r="B132" s="101" t="str">
        <f aca="false">IF('Renda Extra'!$B17="","",'Renda Extra'!$B17)</f>
        <v/>
      </c>
      <c r="C132" s="102" t="str">
        <f aca="false">IF(OR('Renda Extra'!$B17="",'Renda Extra'!$I17=""),"",'Renda Extra'!$I17)</f>
        <v/>
      </c>
      <c r="D132" s="101" t="str">
        <f aca="true">IF(C132="","",C132-TODAY())</f>
        <v/>
      </c>
      <c r="E132" s="101" t="str">
        <f aca="false">IF(C132="","",D132+ROW()/100000)</f>
        <v/>
      </c>
      <c r="F132" s="101"/>
      <c r="G132" s="101"/>
      <c r="H132" s="101"/>
    </row>
    <row r="133" customFormat="false" ht="15" hidden="false" customHeight="false" outlineLevel="0" collapsed="false">
      <c r="A133" s="101" t="str">
        <f aca="false">IF('Renda Extra'!$B18="","","Renda Extra")</f>
        <v/>
      </c>
      <c r="B133" s="101" t="str">
        <f aca="false">IF('Renda Extra'!$B18="","",'Renda Extra'!$B18)</f>
        <v/>
      </c>
      <c r="C133" s="102" t="str">
        <f aca="false">IF(OR('Renda Extra'!$B18="",'Renda Extra'!$I18=""),"",'Renda Extra'!$I18)</f>
        <v/>
      </c>
      <c r="D133" s="101" t="str">
        <f aca="true">IF(C133="","",C133-TODAY())</f>
        <v/>
      </c>
      <c r="E133" s="101" t="str">
        <f aca="false">IF(C133="","",D133+ROW()/100000)</f>
        <v/>
      </c>
      <c r="F133" s="101"/>
      <c r="G133" s="101"/>
      <c r="H133" s="101"/>
    </row>
    <row r="134" customFormat="false" ht="15" hidden="false" customHeight="false" outlineLevel="0" collapsed="false">
      <c r="A134" s="101" t="str">
        <f aca="false">IF('Renda Extra'!$B19="","","Renda Extra")</f>
        <v/>
      </c>
      <c r="B134" s="101" t="str">
        <f aca="false">IF('Renda Extra'!$B19="","",'Renda Extra'!$B19)</f>
        <v/>
      </c>
      <c r="C134" s="102" t="str">
        <f aca="false">IF(OR('Renda Extra'!$B19="",'Renda Extra'!$I19=""),"",'Renda Extra'!$I19)</f>
        <v/>
      </c>
      <c r="D134" s="101" t="str">
        <f aca="true">IF(C134="","",C134-TODAY())</f>
        <v/>
      </c>
      <c r="E134" s="101" t="str">
        <f aca="false">IF(C134="","",D134+ROW()/100000)</f>
        <v/>
      </c>
      <c r="F134" s="101"/>
      <c r="G134" s="101"/>
      <c r="H134" s="101"/>
    </row>
    <row r="135" customFormat="false" ht="15" hidden="false" customHeight="false" outlineLevel="0" collapsed="false">
      <c r="A135" s="101" t="str">
        <f aca="false">IF('Renda Extra'!$B20="","","Renda Extra")</f>
        <v/>
      </c>
      <c r="B135" s="101" t="str">
        <f aca="false">IF('Renda Extra'!$B20="","",'Renda Extra'!$B20)</f>
        <v/>
      </c>
      <c r="C135" s="102" t="str">
        <f aca="false">IF(OR('Renda Extra'!$B20="",'Renda Extra'!$I20=""),"",'Renda Extra'!$I20)</f>
        <v/>
      </c>
      <c r="D135" s="101" t="str">
        <f aca="true">IF(C135="","",C135-TODAY())</f>
        <v/>
      </c>
      <c r="E135" s="101" t="str">
        <f aca="false">IF(C135="","",D135+ROW()/100000)</f>
        <v/>
      </c>
      <c r="F135" s="101"/>
      <c r="G135" s="101"/>
      <c r="H135" s="101"/>
    </row>
    <row r="136" customFormat="false" ht="15" hidden="false" customHeight="false" outlineLevel="0" collapsed="false">
      <c r="A136" s="101" t="str">
        <f aca="false">IF('Renda Extra'!$B21="","","Renda Extra")</f>
        <v/>
      </c>
      <c r="B136" s="101" t="str">
        <f aca="false">IF('Renda Extra'!$B21="","",'Renda Extra'!$B21)</f>
        <v/>
      </c>
      <c r="C136" s="102" t="str">
        <f aca="false">IF(OR('Renda Extra'!$B21="",'Renda Extra'!$I21=""),"",'Renda Extra'!$I21)</f>
        <v/>
      </c>
      <c r="D136" s="101" t="str">
        <f aca="true">IF(C136="","",C136-TODAY())</f>
        <v/>
      </c>
      <c r="E136" s="101" t="str">
        <f aca="false">IF(C136="","",D136+ROW()/100000)</f>
        <v/>
      </c>
      <c r="F136" s="101"/>
      <c r="G136" s="101"/>
      <c r="H136" s="101"/>
    </row>
    <row r="137" customFormat="false" ht="15" hidden="false" customHeight="false" outlineLevel="0" collapsed="false">
      <c r="A137" s="101" t="str">
        <f aca="false">IF('Renda Extra'!$B22="","","Renda Extra")</f>
        <v/>
      </c>
      <c r="B137" s="101" t="str">
        <f aca="false">IF('Renda Extra'!$B22="","",'Renda Extra'!$B22)</f>
        <v/>
      </c>
      <c r="C137" s="102" t="str">
        <f aca="false">IF(OR('Renda Extra'!$B22="",'Renda Extra'!$I22=""),"",'Renda Extra'!$I22)</f>
        <v/>
      </c>
      <c r="D137" s="101" t="str">
        <f aca="true">IF(C137="","",C137-TODAY())</f>
        <v/>
      </c>
      <c r="E137" s="101" t="str">
        <f aca="false">IF(C137="","",D137+ROW()/100000)</f>
        <v/>
      </c>
      <c r="F137" s="101"/>
      <c r="G137" s="101"/>
      <c r="H137" s="101"/>
    </row>
    <row r="138" customFormat="false" ht="15" hidden="false" customHeight="false" outlineLevel="0" collapsed="false">
      <c r="A138" s="101" t="str">
        <f aca="false">IF('Renda Extra'!$B23="","","Renda Extra")</f>
        <v/>
      </c>
      <c r="B138" s="101" t="str">
        <f aca="false">IF('Renda Extra'!$B23="","",'Renda Extra'!$B23)</f>
        <v/>
      </c>
      <c r="C138" s="102" t="str">
        <f aca="false">IF(OR('Renda Extra'!$B23="",'Renda Extra'!$I23=""),"",'Renda Extra'!$I23)</f>
        <v/>
      </c>
      <c r="D138" s="101" t="str">
        <f aca="true">IF(C138="","",C138-TODAY())</f>
        <v/>
      </c>
      <c r="E138" s="101" t="str">
        <f aca="false">IF(C138="","",D138+ROW()/100000)</f>
        <v/>
      </c>
      <c r="F138" s="101"/>
      <c r="G138" s="101"/>
      <c r="H138" s="101"/>
    </row>
    <row r="139" customFormat="false" ht="15" hidden="false" customHeight="false" outlineLevel="0" collapsed="false">
      <c r="A139" s="101" t="str">
        <f aca="false">IF('Renda Extra'!$B24="","","Renda Extra")</f>
        <v/>
      </c>
      <c r="B139" s="101" t="str">
        <f aca="false">IF('Renda Extra'!$B24="","",'Renda Extra'!$B24)</f>
        <v/>
      </c>
      <c r="C139" s="102" t="str">
        <f aca="false">IF(OR('Renda Extra'!$B24="",'Renda Extra'!$I24=""),"",'Renda Extra'!$I24)</f>
        <v/>
      </c>
      <c r="D139" s="101" t="str">
        <f aca="true">IF(C139="","",C139-TODAY())</f>
        <v/>
      </c>
      <c r="E139" s="101" t="str">
        <f aca="false">IF(C139="","",D139+ROW()/100000)</f>
        <v/>
      </c>
      <c r="F139" s="101"/>
      <c r="G139" s="101"/>
      <c r="H139" s="101"/>
    </row>
    <row r="140" customFormat="false" ht="15" hidden="false" customHeight="false" outlineLevel="0" collapsed="false">
      <c r="A140" s="101" t="str">
        <f aca="false">IF('Renda Extra'!$B25="","","Renda Extra")</f>
        <v/>
      </c>
      <c r="B140" s="101" t="str">
        <f aca="false">IF('Renda Extra'!$B25="","",'Renda Extra'!$B25)</f>
        <v/>
      </c>
      <c r="C140" s="102" t="str">
        <f aca="false">IF(OR('Renda Extra'!$B25="",'Renda Extra'!$I25=""),"",'Renda Extra'!$I25)</f>
        <v/>
      </c>
      <c r="D140" s="101" t="str">
        <f aca="true">IF(C140="","",C140-TODAY())</f>
        <v/>
      </c>
      <c r="E140" s="101" t="str">
        <f aca="false">IF(C140="","",D140+ROW()/100000)</f>
        <v/>
      </c>
      <c r="F140" s="101"/>
      <c r="G140" s="101"/>
      <c r="H140" s="101"/>
    </row>
    <row r="141" customFormat="false" ht="15" hidden="false" customHeight="false" outlineLevel="0" collapsed="false">
      <c r="A141" s="101" t="str">
        <f aca="false">IF('Renda Extra'!$B26="","","Renda Extra")</f>
        <v/>
      </c>
      <c r="B141" s="101" t="str">
        <f aca="false">IF('Renda Extra'!$B26="","",'Renda Extra'!$B26)</f>
        <v/>
      </c>
      <c r="C141" s="102" t="str">
        <f aca="false">IF(OR('Renda Extra'!$B26="",'Renda Extra'!$I26=""),"",'Renda Extra'!$I26)</f>
        <v/>
      </c>
      <c r="D141" s="101" t="str">
        <f aca="true">IF(C141="","",C141-TODAY())</f>
        <v/>
      </c>
      <c r="E141" s="101" t="str">
        <f aca="false">IF(C141="","",D141+ROW()/100000)</f>
        <v/>
      </c>
      <c r="F141" s="101"/>
      <c r="G141" s="101"/>
      <c r="H141" s="101"/>
    </row>
    <row r="142" customFormat="false" ht="15" hidden="false" customHeight="false" outlineLevel="0" collapsed="false">
      <c r="A142" s="101" t="str">
        <f aca="false">IF('Renda Extra'!$B27="","","Renda Extra")</f>
        <v/>
      </c>
      <c r="B142" s="101" t="str">
        <f aca="false">IF('Renda Extra'!$B27="","",'Renda Extra'!$B27)</f>
        <v/>
      </c>
      <c r="C142" s="102" t="str">
        <f aca="false">IF(OR('Renda Extra'!$B27="",'Renda Extra'!$I27=""),"",'Renda Extra'!$I27)</f>
        <v/>
      </c>
      <c r="D142" s="101" t="str">
        <f aca="true">IF(C142="","",C142-TODAY())</f>
        <v/>
      </c>
      <c r="E142" s="101" t="str">
        <f aca="false">IF(C142="","",D142+ROW()/100000)</f>
        <v/>
      </c>
      <c r="F142" s="101"/>
      <c r="G142" s="101"/>
      <c r="H142" s="101"/>
    </row>
    <row r="143" customFormat="false" ht="15" hidden="false" customHeight="false" outlineLevel="0" collapsed="false">
      <c r="A143" s="101" t="str">
        <f aca="false">IF('Renda Extra'!$B28="","","Renda Extra")</f>
        <v/>
      </c>
      <c r="B143" s="101" t="str">
        <f aca="false">IF('Renda Extra'!$B28="","",'Renda Extra'!$B28)</f>
        <v/>
      </c>
      <c r="C143" s="102" t="str">
        <f aca="false">IF(OR('Renda Extra'!$B28="",'Renda Extra'!$I28=""),"",'Renda Extra'!$I28)</f>
        <v/>
      </c>
      <c r="D143" s="101" t="str">
        <f aca="true">IF(C143="","",C143-TODAY())</f>
        <v/>
      </c>
      <c r="E143" s="101" t="str">
        <f aca="false">IF(C143="","",D143+ROW()/100000)</f>
        <v/>
      </c>
      <c r="F143" s="101"/>
      <c r="G143" s="101"/>
      <c r="H143" s="101"/>
    </row>
    <row r="144" customFormat="false" ht="15" hidden="false" customHeight="false" outlineLevel="0" collapsed="false">
      <c r="A144" s="101" t="str">
        <f aca="false">IF('Renda Extra'!$B29="","","Renda Extra")</f>
        <v/>
      </c>
      <c r="B144" s="101" t="str">
        <f aca="false">IF('Renda Extra'!$B29="","",'Renda Extra'!$B29)</f>
        <v/>
      </c>
      <c r="C144" s="102" t="str">
        <f aca="false">IF(OR('Renda Extra'!$B29="",'Renda Extra'!$I29=""),"",'Renda Extra'!$I29)</f>
        <v/>
      </c>
      <c r="D144" s="101" t="str">
        <f aca="true">IF(C144="","",C144-TODAY())</f>
        <v/>
      </c>
      <c r="E144" s="101" t="str">
        <f aca="false">IF(C144="","",D144+ROW()/100000)</f>
        <v/>
      </c>
      <c r="F144" s="101"/>
      <c r="G144" s="101"/>
      <c r="H144" s="101"/>
    </row>
    <row r="145" customFormat="false" ht="15" hidden="false" customHeight="false" outlineLevel="0" collapsed="false">
      <c r="A145" s="101" t="str">
        <f aca="false">IF('Renda Extra'!$B30="","","Renda Extra")</f>
        <v/>
      </c>
      <c r="B145" s="101" t="str">
        <f aca="false">IF('Renda Extra'!$B30="","",'Renda Extra'!$B30)</f>
        <v/>
      </c>
      <c r="C145" s="102" t="str">
        <f aca="false">IF(OR('Renda Extra'!$B30="",'Renda Extra'!$I30=""),"",'Renda Extra'!$I30)</f>
        <v/>
      </c>
      <c r="D145" s="101" t="str">
        <f aca="true">IF(C145="","",C145-TODAY())</f>
        <v/>
      </c>
      <c r="E145" s="101" t="str">
        <f aca="false">IF(C145="","",D145+ROW()/100000)</f>
        <v/>
      </c>
      <c r="F145" s="101"/>
      <c r="G145" s="101"/>
      <c r="H145" s="101"/>
    </row>
    <row r="146" customFormat="false" ht="15" hidden="false" customHeight="false" outlineLevel="0" collapsed="false">
      <c r="A146" s="101" t="str">
        <f aca="false">IF('Renda Extra'!$B31="","","Renda Extra")</f>
        <v/>
      </c>
      <c r="B146" s="101" t="str">
        <f aca="false">IF('Renda Extra'!$B31="","",'Renda Extra'!$B31)</f>
        <v/>
      </c>
      <c r="C146" s="102" t="str">
        <f aca="false">IF(OR('Renda Extra'!$B31="",'Renda Extra'!$I31=""),"",'Renda Extra'!$I31)</f>
        <v/>
      </c>
      <c r="D146" s="101" t="str">
        <f aca="true">IF(C146="","",C146-TODAY())</f>
        <v/>
      </c>
      <c r="E146" s="101" t="str">
        <f aca="false">IF(C146="","",D146+ROW()/100000)</f>
        <v/>
      </c>
      <c r="F146" s="101"/>
      <c r="G146" s="101"/>
      <c r="H146" s="101"/>
    </row>
    <row r="147" customFormat="false" ht="15" hidden="false" customHeight="false" outlineLevel="0" collapsed="false">
      <c r="A147" s="101" t="str">
        <f aca="false">IF('Renda Extra'!$B32="","","Renda Extra")</f>
        <v/>
      </c>
      <c r="B147" s="101" t="str">
        <f aca="false">IF('Renda Extra'!$B32="","",'Renda Extra'!$B32)</f>
        <v/>
      </c>
      <c r="C147" s="102" t="str">
        <f aca="false">IF(OR('Renda Extra'!$B32="",'Renda Extra'!$I32=""),"",'Renda Extra'!$I32)</f>
        <v/>
      </c>
      <c r="D147" s="101" t="str">
        <f aca="true">IF(C147="","",C147-TODAY())</f>
        <v/>
      </c>
      <c r="E147" s="101" t="str">
        <f aca="false">IF(C147="","",D147+ROW()/100000)</f>
        <v/>
      </c>
      <c r="F147" s="101"/>
      <c r="G147" s="101"/>
      <c r="H147" s="101"/>
    </row>
    <row r="148" customFormat="false" ht="15" hidden="false" customHeight="false" outlineLevel="0" collapsed="false">
      <c r="A148" s="101" t="str">
        <f aca="false">IF('Renda Extra'!$B33="","","Renda Extra")</f>
        <v/>
      </c>
      <c r="B148" s="101" t="str">
        <f aca="false">IF('Renda Extra'!$B33="","",'Renda Extra'!$B33)</f>
        <v/>
      </c>
      <c r="C148" s="102" t="str">
        <f aca="false">IF(OR('Renda Extra'!$B33="",'Renda Extra'!$I33=""),"",'Renda Extra'!$I33)</f>
        <v/>
      </c>
      <c r="D148" s="101" t="str">
        <f aca="true">IF(C148="","",C148-TODAY())</f>
        <v/>
      </c>
      <c r="E148" s="101" t="str">
        <f aca="false">IF(C148="","",D148+ROW()/100000)</f>
        <v/>
      </c>
      <c r="F148" s="101"/>
      <c r="G148" s="101"/>
      <c r="H148" s="101"/>
    </row>
    <row r="149" customFormat="false" ht="15" hidden="false" customHeight="false" outlineLevel="0" collapsed="false">
      <c r="A149" s="101" t="str">
        <f aca="false">IF('Renda Extra'!$B34="","","Renda Extra")</f>
        <v/>
      </c>
      <c r="B149" s="101" t="str">
        <f aca="false">IF('Renda Extra'!$B34="","",'Renda Extra'!$B34)</f>
        <v/>
      </c>
      <c r="C149" s="102" t="str">
        <f aca="false">IF(OR('Renda Extra'!$B34="",'Renda Extra'!$I34=""),"",'Renda Extra'!$I34)</f>
        <v/>
      </c>
      <c r="D149" s="101" t="str">
        <f aca="true">IF(C149="","",C149-TODAY())</f>
        <v/>
      </c>
      <c r="E149" s="101" t="str">
        <f aca="false">IF(C149="","",D149+ROW()/100000)</f>
        <v/>
      </c>
      <c r="F149" s="101"/>
      <c r="G149" s="101"/>
      <c r="H149" s="101"/>
    </row>
    <row r="150" customFormat="false" ht="15" hidden="false" customHeight="false" outlineLevel="0" collapsed="false">
      <c r="A150" s="101" t="str">
        <f aca="false">IF('Renda Extra'!$B35="","","Renda Extra")</f>
        <v/>
      </c>
      <c r="B150" s="101" t="str">
        <f aca="false">IF('Renda Extra'!$B35="","",'Renda Extra'!$B35)</f>
        <v/>
      </c>
      <c r="C150" s="102" t="str">
        <f aca="false">IF(OR('Renda Extra'!$B35="",'Renda Extra'!$I35=""),"",'Renda Extra'!$I35)</f>
        <v/>
      </c>
      <c r="D150" s="101" t="str">
        <f aca="true">IF(C150="","",C150-TODAY())</f>
        <v/>
      </c>
      <c r="E150" s="101" t="str">
        <f aca="false">IF(C150="","",D150+ROW()/100000)</f>
        <v/>
      </c>
      <c r="F150" s="101"/>
      <c r="G150" s="101"/>
      <c r="H150" s="101"/>
    </row>
    <row r="151" customFormat="false" ht="15" hidden="false" customHeight="false" outlineLevel="0" collapsed="false">
      <c r="A151" s="101" t="str">
        <f aca="false">IF('Renda Extra'!$B36="","","Renda Extra")</f>
        <v/>
      </c>
      <c r="B151" s="101" t="str">
        <f aca="false">IF('Renda Extra'!$B36="","",'Renda Extra'!$B36)</f>
        <v/>
      </c>
      <c r="C151" s="102" t="str">
        <f aca="false">IF(OR('Renda Extra'!$B36="",'Renda Extra'!$I36=""),"",'Renda Extra'!$I36)</f>
        <v/>
      </c>
      <c r="D151" s="101" t="str">
        <f aca="true">IF(C151="","",C151-TODAY())</f>
        <v/>
      </c>
      <c r="E151" s="101" t="str">
        <f aca="false">IF(C151="","",D151+ROW()/100000)</f>
        <v/>
      </c>
      <c r="F151" s="101"/>
      <c r="G151" s="101"/>
      <c r="H151" s="101"/>
    </row>
    <row r="152" customFormat="false" ht="15" hidden="false" customHeight="false" outlineLevel="0" collapsed="false">
      <c r="A152" s="101" t="str">
        <f aca="false">IF('Renda Extra'!$B37="","","Renda Extra")</f>
        <v/>
      </c>
      <c r="B152" s="101" t="str">
        <f aca="false">IF('Renda Extra'!$B37="","",'Renda Extra'!$B37)</f>
        <v/>
      </c>
      <c r="C152" s="102" t="str">
        <f aca="false">IF(OR('Renda Extra'!$B37="",'Renda Extra'!$I37=""),"",'Renda Extra'!$I37)</f>
        <v/>
      </c>
      <c r="D152" s="101" t="str">
        <f aca="true">IF(C152="","",C152-TODAY())</f>
        <v/>
      </c>
      <c r="E152" s="101" t="str">
        <f aca="false">IF(C152="","",D152+ROW()/100000)</f>
        <v/>
      </c>
      <c r="F152" s="101"/>
      <c r="G152" s="101"/>
      <c r="H152" s="101"/>
    </row>
    <row r="153" customFormat="false" ht="15" hidden="false" customHeight="false" outlineLevel="0" collapsed="false">
      <c r="A153" s="101" t="str">
        <f aca="false">IF('Renda Extra'!$B38="","","Renda Extra")</f>
        <v/>
      </c>
      <c r="B153" s="101" t="str">
        <f aca="false">IF('Renda Extra'!$B38="","",'Renda Extra'!$B38)</f>
        <v/>
      </c>
      <c r="C153" s="102" t="str">
        <f aca="false">IF(OR('Renda Extra'!$B38="",'Renda Extra'!$I38=""),"",'Renda Extra'!$I38)</f>
        <v/>
      </c>
      <c r="D153" s="101" t="str">
        <f aca="true">IF(C153="","",C153-TODAY())</f>
        <v/>
      </c>
      <c r="E153" s="101" t="str">
        <f aca="false">IF(C153="","",D153+ROW()/100000)</f>
        <v/>
      </c>
      <c r="F153" s="101"/>
      <c r="G153" s="101"/>
      <c r="H153" s="101"/>
    </row>
    <row r="154" customFormat="false" ht="15" hidden="false" customHeight="false" outlineLevel="0" collapsed="false">
      <c r="A154" s="101" t="str">
        <f aca="false">IF('Renda Extra'!$B39="","","Renda Extra")</f>
        <v/>
      </c>
      <c r="B154" s="101" t="str">
        <f aca="false">IF('Renda Extra'!$B39="","",'Renda Extra'!$B39)</f>
        <v/>
      </c>
      <c r="C154" s="102" t="str">
        <f aca="false">IF(OR('Renda Extra'!$B39="",'Renda Extra'!$I39=""),"",'Renda Extra'!$I39)</f>
        <v/>
      </c>
      <c r="D154" s="101" t="str">
        <f aca="true">IF(C154="","",C154-TODAY())</f>
        <v/>
      </c>
      <c r="E154" s="101" t="str">
        <f aca="false">IF(C154="","",D154+ROW()/100000)</f>
        <v/>
      </c>
      <c r="F154" s="101"/>
      <c r="G154" s="101"/>
      <c r="H154" s="101"/>
    </row>
    <row r="155" customFormat="false" ht="15" hidden="false" customHeight="false" outlineLevel="0" collapsed="false">
      <c r="A155" s="101" t="str">
        <f aca="false">IF('Renda Extra'!$B40="","","Renda Extra")</f>
        <v/>
      </c>
      <c r="B155" s="101" t="str">
        <f aca="false">IF('Renda Extra'!$B40="","",'Renda Extra'!$B40)</f>
        <v/>
      </c>
      <c r="C155" s="102" t="str">
        <f aca="false">IF(OR('Renda Extra'!$B40="",'Renda Extra'!$I40=""),"",'Renda Extra'!$I40)</f>
        <v/>
      </c>
      <c r="D155" s="101" t="str">
        <f aca="true">IF(C155="","",C155-TODAY())</f>
        <v/>
      </c>
      <c r="E155" s="101" t="str">
        <f aca="false">IF(C155="","",D155+ROW()/100000)</f>
        <v/>
      </c>
      <c r="F155" s="101"/>
      <c r="G155" s="101"/>
      <c r="H155" s="101"/>
    </row>
    <row r="156" customFormat="false" ht="15" hidden="false" customHeight="false" outlineLevel="0" collapsed="false">
      <c r="A156" s="101" t="str">
        <f aca="false">IF('Renda Extra'!$B41="","","Renda Extra")</f>
        <v/>
      </c>
      <c r="B156" s="101" t="str">
        <f aca="false">IF('Renda Extra'!$B41="","",'Renda Extra'!$B41)</f>
        <v/>
      </c>
      <c r="C156" s="102" t="str">
        <f aca="false">IF(OR('Renda Extra'!$B41="",'Renda Extra'!$I41=""),"",'Renda Extra'!$I41)</f>
        <v/>
      </c>
      <c r="D156" s="101" t="str">
        <f aca="true">IF(C156="","",C156-TODAY())</f>
        <v/>
      </c>
      <c r="E156" s="101" t="str">
        <f aca="false">IF(C156="","",D156+ROW()/100000)</f>
        <v/>
      </c>
      <c r="F156" s="101"/>
      <c r="G156" s="101"/>
      <c r="H156" s="101"/>
    </row>
    <row r="157" customFormat="false" ht="15" hidden="false" customHeight="false" outlineLevel="0" collapsed="false">
      <c r="A157" s="101" t="str">
        <f aca="false">IF('Renda Extra'!$B42="","","Renda Extra")</f>
        <v/>
      </c>
      <c r="B157" s="101" t="str">
        <f aca="false">IF('Renda Extra'!$B42="","",'Renda Extra'!$B42)</f>
        <v/>
      </c>
      <c r="C157" s="102" t="str">
        <f aca="false">IF(OR('Renda Extra'!$B42="",'Renda Extra'!$I42=""),"",'Renda Extra'!$I42)</f>
        <v/>
      </c>
      <c r="D157" s="101" t="str">
        <f aca="true">IF(C157="","",C157-TODAY())</f>
        <v/>
      </c>
      <c r="E157" s="101" t="str">
        <f aca="false">IF(C157="","",D157+ROW()/100000)</f>
        <v/>
      </c>
      <c r="F157" s="101"/>
      <c r="G157" s="101"/>
      <c r="H157" s="101"/>
    </row>
    <row r="158" customFormat="false" ht="15" hidden="false" customHeight="false" outlineLevel="0" collapsed="false">
      <c r="A158" s="101" t="str">
        <f aca="false">IF('Renda Extra'!$B43="","","Renda Extra")</f>
        <v/>
      </c>
      <c r="B158" s="101" t="str">
        <f aca="false">IF('Renda Extra'!$B43="","",'Renda Extra'!$B43)</f>
        <v/>
      </c>
      <c r="C158" s="102" t="str">
        <f aca="false">IF(OR('Renda Extra'!$B43="",'Renda Extra'!$I43=""),"",'Renda Extra'!$I43)</f>
        <v/>
      </c>
      <c r="D158" s="101" t="str">
        <f aca="true">IF(C158="","",C158-TODAY())</f>
        <v/>
      </c>
      <c r="E158" s="101" t="str">
        <f aca="false">IF(C158="","",D158+ROW()/100000)</f>
        <v/>
      </c>
      <c r="F158" s="101"/>
      <c r="G158" s="101"/>
      <c r="H158" s="101"/>
    </row>
    <row r="159" customFormat="false" ht="15" hidden="false" customHeight="false" outlineLevel="0" collapsed="false">
      <c r="A159" s="101" t="str">
        <f aca="false">IF('Renda Extra'!$B44="","","Renda Extra")</f>
        <v/>
      </c>
      <c r="B159" s="101" t="str">
        <f aca="false">IF('Renda Extra'!$B44="","",'Renda Extra'!$B44)</f>
        <v/>
      </c>
      <c r="C159" s="102" t="str">
        <f aca="false">IF(OR('Renda Extra'!$B44="",'Renda Extra'!$I44=""),"",'Renda Extra'!$I44)</f>
        <v/>
      </c>
      <c r="D159" s="101" t="str">
        <f aca="true">IF(C159="","",C159-TODAY())</f>
        <v/>
      </c>
      <c r="E159" s="101" t="str">
        <f aca="false">IF(C159="","",D159+ROW()/100000)</f>
        <v/>
      </c>
      <c r="F159" s="101"/>
      <c r="G159" s="101"/>
      <c r="H159" s="101"/>
    </row>
    <row r="160" customFormat="false" ht="15" hidden="false" customHeight="false" outlineLevel="0" collapsed="false">
      <c r="A160" s="101" t="str">
        <f aca="false">IF('Renda Extra'!$B45="","","Renda Extra")</f>
        <v/>
      </c>
      <c r="B160" s="101" t="str">
        <f aca="false">IF('Renda Extra'!$B45="","",'Renda Extra'!$B45)</f>
        <v/>
      </c>
      <c r="C160" s="102" t="str">
        <f aca="false">IF(OR('Renda Extra'!$B45="",'Renda Extra'!$I45=""),"",'Renda Extra'!$I45)</f>
        <v/>
      </c>
      <c r="D160" s="101" t="str">
        <f aca="true">IF(C160="","",C160-TODAY())</f>
        <v/>
      </c>
      <c r="E160" s="101" t="str">
        <f aca="false">IF(C160="","",D160+ROW()/100000)</f>
        <v/>
      </c>
      <c r="F160" s="101"/>
      <c r="G160" s="101"/>
      <c r="H160" s="101"/>
    </row>
    <row r="161" customFormat="false" ht="15" hidden="false" customHeight="false" outlineLevel="0" collapsed="false">
      <c r="A161" s="101" t="str">
        <f aca="false">IF('Renda Extra'!$B46="","","Renda Extra")</f>
        <v/>
      </c>
      <c r="B161" s="101" t="str">
        <f aca="false">IF('Renda Extra'!$B46="","",'Renda Extra'!$B46)</f>
        <v/>
      </c>
      <c r="C161" s="102" t="str">
        <f aca="false">IF(OR('Renda Extra'!$B46="",'Renda Extra'!$I46=""),"",'Renda Extra'!$I46)</f>
        <v/>
      </c>
      <c r="D161" s="101" t="str">
        <f aca="true">IF(C161="","",C161-TODAY())</f>
        <v/>
      </c>
      <c r="E161" s="101" t="str">
        <f aca="false">IF(C161="","",D161+ROW()/100000)</f>
        <v/>
      </c>
      <c r="F161" s="101"/>
      <c r="G161" s="101"/>
      <c r="H161" s="101"/>
    </row>
    <row r="162" customFormat="false" ht="15" hidden="false" customHeight="false" outlineLevel="0" collapsed="false">
      <c r="A162" s="101" t="str">
        <f aca="false">IF('Renda Extra'!$B47="","","Renda Extra")</f>
        <v/>
      </c>
      <c r="B162" s="101" t="str">
        <f aca="false">IF('Renda Extra'!$B47="","",'Renda Extra'!$B47)</f>
        <v/>
      </c>
      <c r="C162" s="102" t="str">
        <f aca="false">IF(OR('Renda Extra'!$B47="",'Renda Extra'!$I47=""),"",'Renda Extra'!$I47)</f>
        <v/>
      </c>
      <c r="D162" s="101" t="str">
        <f aca="true">IF(C162="","",C162-TODAY())</f>
        <v/>
      </c>
      <c r="E162" s="101" t="str">
        <f aca="false">IF(C162="","",D162+ROW()/100000)</f>
        <v/>
      </c>
      <c r="F162" s="101"/>
      <c r="G162" s="101"/>
      <c r="H162" s="101"/>
    </row>
    <row r="163" customFormat="false" ht="15" hidden="false" customHeight="false" outlineLevel="0" collapsed="false">
      <c r="A163" s="101" t="str">
        <f aca="false">IF('Renda Extra'!$B48="","","Renda Extra")</f>
        <v/>
      </c>
      <c r="B163" s="101" t="str">
        <f aca="false">IF('Renda Extra'!$B48="","",'Renda Extra'!$B48)</f>
        <v/>
      </c>
      <c r="C163" s="102" t="str">
        <f aca="false">IF(OR('Renda Extra'!$B48="",'Renda Extra'!$I48=""),"",'Renda Extra'!$I48)</f>
        <v/>
      </c>
      <c r="D163" s="101" t="str">
        <f aca="true">IF(C163="","",C163-TODAY())</f>
        <v/>
      </c>
      <c r="E163" s="101" t="str">
        <f aca="false">IF(C163="","",D163+ROW()/100000)</f>
        <v/>
      </c>
      <c r="F163" s="101"/>
      <c r="G163" s="101"/>
      <c r="H163" s="101"/>
    </row>
    <row r="164" customFormat="false" ht="15" hidden="false" customHeight="false" outlineLevel="0" collapsed="false">
      <c r="A164" s="101" t="str">
        <f aca="false">IF('Renda Extra'!$B49="","","Renda Extra")</f>
        <v/>
      </c>
      <c r="B164" s="101" t="str">
        <f aca="false">IF('Renda Extra'!$B49="","",'Renda Extra'!$B49)</f>
        <v/>
      </c>
      <c r="C164" s="102" t="str">
        <f aca="false">IF(OR('Renda Extra'!$B49="",'Renda Extra'!$I49=""),"",'Renda Extra'!$I49)</f>
        <v/>
      </c>
      <c r="D164" s="101" t="str">
        <f aca="true">IF(C164="","",C164-TODAY())</f>
        <v/>
      </c>
      <c r="E164" s="101" t="str">
        <f aca="false">IF(C164="","",D164+ROW()/100000)</f>
        <v/>
      </c>
      <c r="F164" s="101"/>
      <c r="G164" s="101"/>
      <c r="H164" s="101"/>
    </row>
  </sheetData>
  <mergeCells count="3">
    <mergeCell ref="A1:H1"/>
    <mergeCell ref="A2:E2"/>
    <mergeCell ref="F2:H2"/>
  </mergeCells>
  <hyperlinks>
    <hyperlink ref="F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2026-10-03T14:31:27Z</dcterms:created>
  <dc:creator>openpyxl</dc:creator>
  <dc:description/>
  <dc:language>en-US</dc:language>
  <cp:lastModifiedBy/>
  <dcterms:modified xsi:type="dcterms:W3CDTF">2026-10-03T14:31:30Z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