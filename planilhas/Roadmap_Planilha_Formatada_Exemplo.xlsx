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Leia-me" state="visible" r:id="rId4"/>
    <sheet sheetId="3" name="Resumo" state="visible" r:id="rId5"/>
    <sheet sheetId="4" name="Pós-graduação" state="visible" r:id="rId6"/>
    <sheet sheetId="5" name="Concurso" state="visible" r:id="rId7"/>
    <sheet sheetId="6" name="Livros" state="visible" r:id="rId8"/>
    <sheet sheetId="7" name="Cursos IA" state="visible" r:id="rId9"/>
    <sheet sheetId="8" name="Renda Extra" state="visible" r:id="rId10"/>
    <sheet sheetId="9" name="Radar de Aquisições" state="visible" r:id="rId11"/>
    <sheet sheetId="10" name="Diário de Estudo" state="visible" r:id="rId12"/>
    <sheet sheetId="11" name="Plano de Estudos" state="visible" r:id="rId13"/>
    <sheet sheetId="12" name="Metas" state="visible" r:id="rId14"/>
    <sheet sheetId="13" name="Configurações" state="visible" r:id="rId15"/>
    <sheet sheetId="1" name="Listas" state="visible" r:id="rId16"/>
  </sheets>
  <definedNames>
    <definedName name="_xlnm.Print_Titles" localSheetId="2">'Pós-graduação'!$1:$1</definedName>
    <definedName name="_xlnm.Print_Titles" localSheetId="3">'Concurso'!$1:$1</definedName>
    <definedName name="_xlnm.Print_Titles" localSheetId="4">'Livros'!$1:$1</definedName>
    <definedName name="_xlnm.Print_Titles" localSheetId="5">'Cursos IA'!$1:$1</definedName>
    <definedName name="_xlnm.Print_Titles" localSheetId="6">'Renda Extra'!$1:$1</definedName>
    <definedName name="_xlnm.Print_Titles" localSheetId="7">'Radar de Aquisições'!$1:$1</definedName>
    <definedName name="_xlnm.Print_Titles" localSheetId="8">'Diário de Estudo'!$1:$1</definedName>
    <definedName name="_xlnm.Print_Titles" localSheetId="9">'Plano de Estudos'!$1:$1</definedName>
    <definedName name="_xlnm.Print_Titles" localSheetId="10">'Metas'!$1:$1</definedName>
    <definedName name="_xlnm.Print_Titles" localSheetId="11">'Configurações'!$1:$1</definedName>
  </definedNames>
  <calcPr calcId="171027"/>
</workbook>
</file>

<file path=xl/sharedStrings.xml><?xml version="1.0" encoding="utf-8"?>
<sst xmlns="http://schemas.openxmlformats.org/spreadsheetml/2006/main" count="378" uniqueCount="215">
  <si>
    <t>ROADMAP DE CURSOS &amp; APRENDIZADO</t>
  </si>
  <si>
    <t>Planilha dos seus dados · gerada em 03/10/2026, 23:55:56</t>
  </si>
  <si>
    <t>Como usar</t>
  </si>
  <si>
    <t>1) Edite as linhas das abas de categoria (Pós-graduação, Concurso, Livros, Cursos IA e Renda Extra), do Radar de Aquisições, do Diário de Estudo e do Plano de Estudos. Cada aba já tem linhas em branco formatadas para você acrescentar itens.</t>
  </si>
  <si>
    <t>2) Use as listas suspensas (setinha na célula) para Status, Prioridade, Certificado, Formato, Categoria do livro, Gênero, Repetição e Dia da semana. Datas no formato dd/mm/aaaa.</t>
  </si>
  <si>
    <t>3) As colunas cinza-claro (Saldo a pagar e % andamento) são calculadas sozinhas: não precisa digitar nada nelas.</t>
  </si>
  <si>
    <t>4) Não apague a coluna “ID interno” das linhas que já existem: é ela que permite atualizar em vez de duplicar. Em linhas novas, deixe em branco.</t>
  </si>
  <si>
    <t>5) Para atualizar o app: no app, toque em “⬆ Enviar planilha” e escolha este arquivo. Você escolhe entre mesclar (mantém tudo e atualiza) ou substituir.</t>
  </si>
  <si>
    <t>6) A aba “Resumo” mostra os totais por categoria. A aba “Listas” alimenta as listas suspensas: não altere. Senhas e chaves não são exportadas.</t>
  </si>
  <si>
    <t>RESUMO POR CATEGORIA</t>
  </si>
  <si>
    <t>Categoria</t>
  </si>
  <si>
    <t>Itens</t>
  </si>
  <si>
    <t>Valor total (R$)</t>
  </si>
  <si>
    <t>Já pago (R$)</t>
  </si>
  <si>
    <t>Saldo a pagar (R$)</t>
  </si>
  <si>
    <t>Progresso médio</t>
  </si>
  <si>
    <t>Pós-graduação</t>
  </si>
  <si>
    <t>Concurso</t>
  </si>
  <si>
    <t>Livros</t>
  </si>
  <si>
    <t>Cursos IA</t>
  </si>
  <si>
    <t>Renda Extra</t>
  </si>
  <si>
    <t>TOTAL</t>
  </si>
  <si>
    <t>Os números desta aba se atualizam sozinhos quando você edita as outras abas.</t>
  </si>
  <si>
    <t>Curso / Pós-graduação</t>
  </si>
  <si>
    <t>Instituição</t>
  </si>
  <si>
    <t>Modalidade</t>
  </si>
  <si>
    <t>Data da compra</t>
  </si>
  <si>
    <t>Quantidade de parcelas</t>
  </si>
  <si>
    <t>Parcelas pagas</t>
  </si>
  <si>
    <t>Data de início</t>
  </si>
  <si>
    <t>Término previsto</t>
  </si>
  <si>
    <t>Vencimento do acesso</t>
  </si>
  <si>
    <t>Disciplinas (total)</t>
  </si>
  <si>
    <t>Disciplinas concluídas</t>
  </si>
  <si>
    <t>% andamento</t>
  </si>
  <si>
    <t>Status</t>
  </si>
  <si>
    <t>Prioridade</t>
  </si>
  <si>
    <t>Certificado</t>
  </si>
  <si>
    <t>Login</t>
  </si>
  <si>
    <t>Link de acesso</t>
  </si>
  <si>
    <t>Observações</t>
  </si>
  <si>
    <t>ID interno</t>
  </si>
  <si>
    <t>MBA em Inteligência Artificial (exemplo)</t>
  </si>
  <si>
    <t>Universidade Exemplo</t>
  </si>
  <si>
    <t>EAD</t>
  </si>
  <si>
    <t>Em andamento</t>
  </si>
  <si>
    <t>Alta</t>
  </si>
  <si>
    <t>Não emitido</t>
  </si>
  <si>
    <t>seu.email@exemplo.com</t>
  </si>
  <si>
    <t>https://portal.exemplo.com</t>
  </si>
  <si>
    <t>yzz4hc2</t>
  </si>
  <si>
    <t>Curso / Material</t>
  </si>
  <si>
    <t>Plataforma / Instituição</t>
  </si>
  <si>
    <t>Concurso / Cargo alvo</t>
  </si>
  <si>
    <t>Banca</t>
  </si>
  <si>
    <t>Data da prova</t>
  </si>
  <si>
    <t>Aulas / tópicos (total)</t>
  </si>
  <si>
    <t>Aulas / Tópicos concluídos</t>
  </si>
  <si>
    <t>Curso Preparatório Completo (exemplo)</t>
  </si>
  <si>
    <t>Plataforma Exemplo</t>
  </si>
  <si>
    <t>Analista — Órgão Exemplo</t>
  </si>
  <si>
    <t>CEBRASPE</t>
  </si>
  <si>
    <t>Não se aplica</t>
  </si>
  <si>
    <t>kooutn6</t>
  </si>
  <si>
    <t>Título</t>
  </si>
  <si>
    <t>Autor(a)</t>
  </si>
  <si>
    <t>Edição (nº ou ano)</t>
  </si>
  <si>
    <t>Editora</t>
  </si>
  <si>
    <t>Categoria do livro</t>
  </si>
  <si>
    <t>Gênero</t>
  </si>
  <si>
    <t>Tema / assunto</t>
  </si>
  <si>
    <t>Formato</t>
  </si>
  <si>
    <t>Nota (1–5)</t>
  </si>
  <si>
    <t>Páginas (total)</t>
  </si>
  <si>
    <t>Páginas lidas</t>
  </si>
  <si>
    <t>Hábitos Atômicos (exemplo)</t>
  </si>
  <si>
    <t>James Clear</t>
  </si>
  <si>
    <t>1</t>
  </si>
  <si>
    <t>Editora Exemplo</t>
  </si>
  <si>
    <t>Não ficção</t>
  </si>
  <si>
    <t>Desenvolvimento pessoal</t>
  </si>
  <si>
    <t>Produtividade</t>
  </si>
  <si>
    <t>Físico</t>
  </si>
  <si>
    <t>Média</t>
  </si>
  <si>
    <t>9u2ne8g</t>
  </si>
  <si>
    <t>Curso</t>
  </si>
  <si>
    <t>Instituição / Plataforma</t>
  </si>
  <si>
    <t>Foco / Ferramenta</t>
  </si>
  <si>
    <t>Aulas (total)</t>
  </si>
  <si>
    <t>Aulas concluídas</t>
  </si>
  <si>
    <t>Agentes de IA na Prática (exemplo)</t>
  </si>
  <si>
    <t>Agentes · automação</t>
  </si>
  <si>
    <t>fopz0ig</t>
  </si>
  <si>
    <t>Modelo de renda</t>
  </si>
  <si>
    <t>Meta de ganho/mês (R$)</t>
  </si>
  <si>
    <t>Resultado atual/mês (R$)</t>
  </si>
  <si>
    <t>Receita acumulada (R$)</t>
  </si>
  <si>
    <t>Marketing de Afiliados do Zero (exemplo)</t>
  </si>
  <si>
    <t>Afiliados</t>
  </si>
  <si>
    <t>f334ans</t>
  </si>
  <si>
    <t>Item</t>
  </si>
  <si>
    <t>Instituição / Editora / Loja</t>
  </si>
  <si>
    <t>Edição</t>
  </si>
  <si>
    <t>Valor estimado (R$)</t>
  </si>
  <si>
    <t>Previsão de compra</t>
  </si>
  <si>
    <t>Link</t>
  </si>
  <si>
    <t>Por que está no radar?</t>
  </si>
  <si>
    <t>Automação com n8n (exemplo)</t>
  </si>
  <si>
    <t>Complementa o curso de agentes</t>
  </si>
  <si>
    <t>bhp3dmg</t>
  </si>
  <si>
    <t>Essencialismo (exemplo)</t>
  </si>
  <si>
    <t>Greg McKeown</t>
  </si>
  <si>
    <t>Para foco e prioridades</t>
  </si>
  <si>
    <t>2cz3bvb</t>
  </si>
  <si>
    <t>Especialização em Data Analytics (exemplo)</t>
  </si>
  <si>
    <t>Baixa</t>
  </si>
  <si>
    <t>Avaliar depois de concluir o MBA</t>
  </si>
  <si>
    <t>3su0vur</t>
  </si>
  <si>
    <t>Data</t>
  </si>
  <si>
    <t>Curso / Livro</t>
  </si>
  <si>
    <t>Horas</t>
  </si>
  <si>
    <t>Tema estudado</t>
  </si>
  <si>
    <t>Foco (1–5)</t>
  </si>
  <si>
    <t>Introdução a machine learning</t>
  </si>
  <si>
    <t>7rnhezl</t>
  </si>
  <si>
    <t>Fluxos de automação</t>
  </si>
  <si>
    <t>tmfhjjm</t>
  </si>
  <si>
    <t>Capítulos 5 a 7</t>
  </si>
  <si>
    <t>h4skb1d</t>
  </si>
  <si>
    <t>Dia da semana</t>
  </si>
  <si>
    <t>Horário</t>
  </si>
  <si>
    <t>Duração (min)</t>
  </si>
  <si>
    <t>Tarefa</t>
  </si>
  <si>
    <t>Meta (unidades)</t>
  </si>
  <si>
    <t>Repetição</t>
  </si>
  <si>
    <t>A partir de</t>
  </si>
  <si>
    <t>Até</t>
  </si>
  <si>
    <t>Seg</t>
  </si>
  <si>
    <t>19:00</t>
  </si>
  <si>
    <t>Assistir a aula da disciplina atual</t>
  </si>
  <si>
    <t>Semanal</t>
  </si>
  <si>
    <t>fzcdwfb</t>
  </si>
  <si>
    <t>Ter</t>
  </si>
  <si>
    <t>Meta: ~2 aulas</t>
  </si>
  <si>
    <t>d6x9sqn</t>
  </si>
  <si>
    <t>Qua</t>
  </si>
  <si>
    <t>u64nf6q</t>
  </si>
  <si>
    <t>Qui</t>
  </si>
  <si>
    <t>Leitura e exercícios</t>
  </si>
  <si>
    <t>qk4unhz</t>
  </si>
  <si>
    <t>Sex</t>
  </si>
  <si>
    <t>Meta: ~1 aula</t>
  </si>
  <si>
    <t>8zmu4rq</t>
  </si>
  <si>
    <t>Sáb</t>
  </si>
  <si>
    <t>09:00</t>
  </si>
  <si>
    <t>Questões da banca</t>
  </si>
  <si>
    <t>m0eep5i</t>
  </si>
  <si>
    <t>Dom</t>
  </si>
  <si>
    <t>17:00</t>
  </si>
  <si>
    <t>Ler ~20 páginas</t>
  </si>
  <si>
    <t>30bsaci</t>
  </si>
  <si>
    <t>Meta mensal (h)</t>
  </si>
  <si>
    <t>Configuração</t>
  </si>
  <si>
    <t>Valor</t>
  </si>
  <si>
    <t>Prazo de alerta de vencimento (dias)</t>
  </si>
  <si>
    <t>Cidade (previsão do tempo)</t>
  </si>
  <si>
    <t>Porto Alegre, RS</t>
  </si>
  <si>
    <t>Não iniciado</t>
  </si>
  <si>
    <t>Ficção</t>
  </si>
  <si>
    <t>Romance</t>
  </si>
  <si>
    <t>Em emissão</t>
  </si>
  <si>
    <t>E-book</t>
  </si>
  <si>
    <t>Fantasia</t>
  </si>
  <si>
    <t>Diário</t>
  </si>
  <si>
    <t>Concluído</t>
  </si>
  <si>
    <t>Emitido</t>
  </si>
  <si>
    <t>Audiobook</t>
  </si>
  <si>
    <t>Literatura infantil e juvenil</t>
  </si>
  <si>
    <t>Ficção científica</t>
  </si>
  <si>
    <t>Quinzenal</t>
  </si>
  <si>
    <t>Pausado</t>
  </si>
  <si>
    <t>PDF</t>
  </si>
  <si>
    <t>Outros formatos/gêneros</t>
  </si>
  <si>
    <t>Terror</t>
  </si>
  <si>
    <t>Mensal</t>
  </si>
  <si>
    <t>Suspense/Thriller</t>
  </si>
  <si>
    <t>Única</t>
  </si>
  <si>
    <t>Mistério</t>
  </si>
  <si>
    <t>Aventura</t>
  </si>
  <si>
    <t>Policial</t>
  </si>
  <si>
    <t>Ficção histórica</t>
  </si>
  <si>
    <t>Distopia</t>
  </si>
  <si>
    <t>Romance romântico</t>
  </si>
  <si>
    <t>Humor</t>
  </si>
  <si>
    <t>Biografia/Autobiografia</t>
  </si>
  <si>
    <t>História</t>
  </si>
  <si>
    <t>Filosofia</t>
  </si>
  <si>
    <t>Psicologia</t>
  </si>
  <si>
    <t>Ciência</t>
  </si>
  <si>
    <t>Política</t>
  </si>
  <si>
    <t>Negócios</t>
  </si>
  <si>
    <t>Economia</t>
  </si>
  <si>
    <t>Religião/Espiritualidade</t>
  </si>
  <si>
    <t>Saúde</t>
  </si>
  <si>
    <t>Educação</t>
  </si>
  <si>
    <t>Infantil</t>
  </si>
  <si>
    <t>Infantojuvenil</t>
  </si>
  <si>
    <t>Jovem adulto (YA)</t>
  </si>
  <si>
    <t>Poesia</t>
  </si>
  <si>
    <t>Contos</t>
  </si>
  <si>
    <t>Crônicas</t>
  </si>
  <si>
    <t>Ensaios</t>
  </si>
  <si>
    <t>Quadrinhos/Mangás</t>
  </si>
  <si>
    <t>Peças de teatro</t>
  </si>
  <si>
    <t>Livros didáticos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</si>
</sst>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 #,##0.00"/>
    <numFmt numFmtId="165" formatCode="dd/mm/yyyy"/>
    <numFmt numFmtId="166" formatCode="0.0"/>
  </numFmts>
  <fonts count="13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8A8A84"/>
    </font>
    <font>
      <b/>
      <color rgb="FF29362A"/>
      <sz val="13"/>
    </font>
    <font>
      <sz val="11"/>
    </font>
    <font>
      <b/>
      <color rgb="FFFFFFFF"/>
      <sz val="16"/>
    </font>
    <font>
      <b/>
      <color rgb="FF29362A"/>
    </font>
    <font>
      <b/>
    </font>
    <font>
      <b/>
      <color rgb="FFFFFFFF"/>
      <sz val="11"/>
    </font>
    <font>
      <b/>
      <color rgb="FF29362A"/>
      <sz val="11"/>
    </font>
    <font>
      <color rgb="FF29362A"/>
    </font>
    <font>
      <i/>
      <color rgb="FF8A8A84"/>
      <sz val="9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6B8E6E"/>
      </patternFill>
    </fill>
    <fill>
      <patternFill patternType="solid">
        <fgColor rgb="FFB7C9A0"/>
      </patternFill>
    </fill>
    <fill>
      <patternFill patternType="solid">
        <fgColor rgb="FFDCE5D4"/>
      </patternFill>
    </fill>
    <fill>
      <patternFill patternType="solid">
        <fgColor rgb="FFF7F6F1"/>
      </patternFill>
    </fill>
    <fill>
      <patternFill patternType="solid">
        <fgColor rgb="FFF1F0EB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 indent="1"/>
    </xf>
    <xf numFmtId="0" fontId="5" fillId="2" borderId="0" xfId="0" applyFont="1" applyFill="1" applyAlignment="1">
      <alignment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6" fillId="4" borderId="1" xfId="0" applyFont="1" applyFill="1" applyBorder="1"/>
    <xf numFmtId="1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9" fontId="10" fillId="5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39">
    <dxf>
      <font>
        <b/>
        <color rgb="FF1E5B2B"/>
      </font>
      <fill>
        <patternFill patternType="solid">
          <bgColor rgb="FFD7ECD9"/>
        </patternFill>
      </fill>
    </dxf>
    <dxf>
      <font>
        <b/>
        <color rgb="FF1F4E79"/>
      </font>
      <fill>
        <patternFill patternType="solid">
          <bgColor rgb="FFDCE9F5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555555"/>
      </font>
      <fill>
        <patternFill patternType="solid">
          <bgColor rgb="FFECEBE7"/>
        </patternFill>
      </fill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B3261E"/>
      </font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1E5B2B"/>
      </font>
      <fill>
        <patternFill patternType="solid">
          <bgColor rgb="FFD7ECD9"/>
        </patternFill>
      </fill>
    </dxf>
    <dxf>
      <font>
        <b/>
        <color rgb="FF1F4E79"/>
      </font>
      <fill>
        <patternFill patternType="solid">
          <bgColor rgb="FFDCE9F5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555555"/>
      </font>
      <fill>
        <patternFill patternType="solid">
          <bgColor rgb="FFECEBE7"/>
        </patternFill>
      </fill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B3261E"/>
      </font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1E5B2B"/>
      </font>
      <fill>
        <patternFill patternType="solid">
          <bgColor rgb="FFD7ECD9"/>
        </patternFill>
      </fill>
    </dxf>
    <dxf>
      <font>
        <b/>
        <color rgb="FF1F4E79"/>
      </font>
      <fill>
        <patternFill patternType="solid">
          <bgColor rgb="FFDCE9F5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555555"/>
      </font>
      <fill>
        <patternFill patternType="solid">
          <bgColor rgb="FFECEBE7"/>
        </patternFill>
      </fill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B3261E"/>
      </font>
    </dxf>
    <dxf>
      <font>
        <b/>
        <color rgb="FF1E5B2B"/>
      </font>
      <fill>
        <patternFill patternType="solid">
          <bgColor rgb="FFD7ECD9"/>
        </patternFill>
      </fill>
    </dxf>
    <dxf>
      <font>
        <b/>
        <color rgb="FF1F4E79"/>
      </font>
      <fill>
        <patternFill patternType="solid">
          <bgColor rgb="FFDCE9F5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555555"/>
      </font>
      <fill>
        <patternFill patternType="solid">
          <bgColor rgb="FFECEBE7"/>
        </patternFill>
      </fill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B3261E"/>
      </font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1E5B2B"/>
      </font>
      <fill>
        <patternFill patternType="solid">
          <bgColor rgb="FFD7ECD9"/>
        </patternFill>
      </fill>
    </dxf>
    <dxf>
      <font>
        <b/>
        <color rgb="FF1F4E79"/>
      </font>
      <fill>
        <patternFill patternType="solid">
          <bgColor rgb="FFDCE9F5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555555"/>
      </font>
      <fill>
        <patternFill patternType="solid">
          <bgColor rgb="FFECEBE7"/>
        </patternFill>
      </fill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B3261E"/>
      </font>
    </dxf>
    <dxf>
      <font>
        <b/>
        <color rgb="FF9C1C0E"/>
      </font>
      <fill>
        <patternFill patternType="solid">
          <bgColor rgb="FFFBE0DC"/>
        </patternFill>
      </fill>
    </dxf>
    <dxf>
      <font>
        <b/>
        <color rgb="FF7A5200"/>
      </font>
      <fill>
        <patternFill patternType="solid">
          <bgColor rgb="FFFBEBC8"/>
        </patternFill>
      </fill>
    </dxf>
    <dxf>
      <font>
        <b/>
        <color rgb="FF9C1C0E"/>
      </font>
      <fill>
        <patternFill patternType="solid">
          <bgColor rgb="FFFBE0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8A84"/>
  </sheetPr>
  <dimension ref="A1:I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2" customWidth="1"/>
    <col min="6" max="7" width="16" customWidth="1"/>
    <col min="8" max="8" width="17" customWidth="1"/>
    <col min="9" max="9" width="16" customWidth="1"/>
  </cols>
  <sheetData>
    <row r="1" spans="1:9" x14ac:dyDescent="0.25">
      <c r="A1" s="27" t="s">
        <v>35</v>
      </c>
      <c r="B1" s="27" t="s">
        <v>36</v>
      </c>
      <c r="C1" s="27" t="s">
        <v>37</v>
      </c>
      <c r="D1" s="27" t="s">
        <v>71</v>
      </c>
      <c r="E1" s="27" t="s">
        <v>68</v>
      </c>
      <c r="F1" s="27" t="s">
        <v>69</v>
      </c>
      <c r="G1" s="27" t="s">
        <v>134</v>
      </c>
      <c r="H1" s="27" t="s">
        <v>129</v>
      </c>
      <c r="I1" s="27" t="s">
        <v>10</v>
      </c>
    </row>
    <row r="2" spans="1:9" x14ac:dyDescent="0.25">
      <c r="A2" s="28" t="s">
        <v>167</v>
      </c>
      <c r="B2" s="28" t="s">
        <v>46</v>
      </c>
      <c r="C2" s="28" t="s">
        <v>47</v>
      </c>
      <c r="D2" s="28" t="s">
        <v>82</v>
      </c>
      <c r="E2" s="28" t="s">
        <v>168</v>
      </c>
      <c r="F2" s="28" t="s">
        <v>169</v>
      </c>
      <c r="G2" s="28" t="s">
        <v>140</v>
      </c>
      <c r="H2" s="28" t="s">
        <v>137</v>
      </c>
      <c r="I2" s="28" t="s">
        <v>16</v>
      </c>
    </row>
    <row r="3" spans="1:9" x14ac:dyDescent="0.25">
      <c r="A3" s="28" t="s">
        <v>45</v>
      </c>
      <c r="B3" s="28" t="s">
        <v>83</v>
      </c>
      <c r="C3" s="28" t="s">
        <v>170</v>
      </c>
      <c r="D3" s="28" t="s">
        <v>171</v>
      </c>
      <c r="E3" s="28" t="s">
        <v>79</v>
      </c>
      <c r="F3" s="28" t="s">
        <v>172</v>
      </c>
      <c r="G3" s="28" t="s">
        <v>173</v>
      </c>
      <c r="H3" s="28" t="s">
        <v>142</v>
      </c>
      <c r="I3" s="28" t="s">
        <v>17</v>
      </c>
    </row>
    <row r="4" spans="1:9" x14ac:dyDescent="0.25">
      <c r="A4" s="28" t="s">
        <v>174</v>
      </c>
      <c r="B4" s="28" t="s">
        <v>115</v>
      </c>
      <c r="C4" s="28" t="s">
        <v>175</v>
      </c>
      <c r="D4" s="28" t="s">
        <v>176</v>
      </c>
      <c r="E4" s="28" t="s">
        <v>177</v>
      </c>
      <c r="F4" s="28" t="s">
        <v>178</v>
      </c>
      <c r="G4" s="28" t="s">
        <v>179</v>
      </c>
      <c r="H4" s="28" t="s">
        <v>145</v>
      </c>
      <c r="I4" s="28" t="s">
        <v>18</v>
      </c>
    </row>
    <row r="5" spans="1:9" x14ac:dyDescent="0.25">
      <c r="A5" s="28" t="s">
        <v>180</v>
      </c>
      <c r="C5" s="28" t="s">
        <v>62</v>
      </c>
      <c r="D5" s="28" t="s">
        <v>181</v>
      </c>
      <c r="E5" s="28" t="s">
        <v>182</v>
      </c>
      <c r="F5" s="28" t="s">
        <v>183</v>
      </c>
      <c r="G5" s="28" t="s">
        <v>184</v>
      </c>
      <c r="H5" s="28" t="s">
        <v>147</v>
      </c>
      <c r="I5" s="28" t="s">
        <v>19</v>
      </c>
    </row>
    <row r="6" spans="6:9" x14ac:dyDescent="0.25">
      <c r="F6" s="28" t="s">
        <v>185</v>
      </c>
      <c r="G6" s="28" t="s">
        <v>186</v>
      </c>
      <c r="H6" s="28" t="s">
        <v>150</v>
      </c>
      <c r="I6" s="28" t="s">
        <v>20</v>
      </c>
    </row>
    <row r="7" spans="6:8" x14ac:dyDescent="0.25">
      <c r="F7" s="28" t="s">
        <v>187</v>
      </c>
      <c r="H7" s="28" t="s">
        <v>153</v>
      </c>
    </row>
    <row r="8" spans="6:8" x14ac:dyDescent="0.25">
      <c r="F8" s="28" t="s">
        <v>188</v>
      </c>
      <c r="H8" s="28" t="s">
        <v>157</v>
      </c>
    </row>
    <row r="9" spans="6:6" x14ac:dyDescent="0.25">
      <c r="F9" s="28" t="s">
        <v>189</v>
      </c>
    </row>
    <row r="10" spans="6:6" x14ac:dyDescent="0.25">
      <c r="F10" s="28" t="s">
        <v>190</v>
      </c>
    </row>
    <row r="11" spans="6:6" x14ac:dyDescent="0.25">
      <c r="F11" s="28" t="s">
        <v>191</v>
      </c>
    </row>
    <row r="12" spans="6:6" x14ac:dyDescent="0.25">
      <c r="F12" s="28" t="s">
        <v>192</v>
      </c>
    </row>
    <row r="13" spans="6:6" x14ac:dyDescent="0.25">
      <c r="F13" s="28" t="s">
        <v>193</v>
      </c>
    </row>
    <row r="14" spans="6:6" x14ac:dyDescent="0.25">
      <c r="F14" s="28" t="s">
        <v>194</v>
      </c>
    </row>
    <row r="15" spans="6:6" x14ac:dyDescent="0.25">
      <c r="F15" s="28" t="s">
        <v>195</v>
      </c>
    </row>
    <row r="16" spans="6:6" x14ac:dyDescent="0.25">
      <c r="F16" s="28" t="s">
        <v>196</v>
      </c>
    </row>
    <row r="17" spans="6:6" x14ac:dyDescent="0.25">
      <c r="F17" s="28" t="s">
        <v>197</v>
      </c>
    </row>
    <row r="18" spans="6:6" x14ac:dyDescent="0.25">
      <c r="F18" s="28" t="s">
        <v>198</v>
      </c>
    </row>
    <row r="19" spans="6:6" x14ac:dyDescent="0.25">
      <c r="F19" s="28" t="s">
        <v>199</v>
      </c>
    </row>
    <row r="20" spans="6:6" x14ac:dyDescent="0.25">
      <c r="F20" s="28" t="s">
        <v>200</v>
      </c>
    </row>
    <row r="21" spans="6:6" x14ac:dyDescent="0.25">
      <c r="F21" s="28" t="s">
        <v>201</v>
      </c>
    </row>
    <row r="22" spans="6:6" x14ac:dyDescent="0.25">
      <c r="F22" s="28" t="s">
        <v>80</v>
      </c>
    </row>
    <row r="23" spans="6:6" x14ac:dyDescent="0.25">
      <c r="F23" s="28" t="s">
        <v>202</v>
      </c>
    </row>
    <row r="24" spans="6:6" x14ac:dyDescent="0.25">
      <c r="F24" s="28" t="s">
        <v>203</v>
      </c>
    </row>
    <row r="25" spans="6:6" x14ac:dyDescent="0.25">
      <c r="F25" s="28" t="s">
        <v>204</v>
      </c>
    </row>
    <row r="26" spans="6:6" x14ac:dyDescent="0.25">
      <c r="F26" s="28" t="s">
        <v>205</v>
      </c>
    </row>
    <row r="27" spans="6:6" x14ac:dyDescent="0.25">
      <c r="F27" s="28" t="s">
        <v>206</v>
      </c>
    </row>
    <row r="28" spans="6:6" x14ac:dyDescent="0.25">
      <c r="F28" s="28" t="s">
        <v>207</v>
      </c>
    </row>
    <row r="29" spans="6:6" x14ac:dyDescent="0.25">
      <c r="F29" s="28" t="s">
        <v>208</v>
      </c>
    </row>
    <row r="30" spans="6:6" x14ac:dyDescent="0.25">
      <c r="F30" s="28" t="s">
        <v>209</v>
      </c>
    </row>
    <row r="31" spans="6:6" x14ac:dyDescent="0.25">
      <c r="F31" s="28" t="s">
        <v>210</v>
      </c>
    </row>
    <row r="32" spans="6:6" x14ac:dyDescent="0.25">
      <c r="F32" s="28" t="s">
        <v>211</v>
      </c>
    </row>
    <row r="33" spans="6:6" x14ac:dyDescent="0.25">
      <c r="F33" s="28" t="s">
        <v>212</v>
      </c>
    </row>
    <row r="34" spans="6:6" x14ac:dyDescent="0.25">
      <c r="F34" s="28" t="s">
        <v>213</v>
      </c>
    </row>
    <row r="35" spans="6:6" x14ac:dyDescent="0.25">
      <c r="F35" s="28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362A"/>
    <pageSetUpPr fitToPage="1"/>
  </sheetPr>
  <dimension ref="B2:B1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12" customWidth="1"/>
  </cols>
  <sheetData>
    <row r="2" spans="2:2" x14ac:dyDescent="0.25">
      <c r="B2" s="1" t="s">
        <v>0</v>
      </c>
    </row>
    <row r="3" spans="2:2" x14ac:dyDescent="0.25">
      <c r="B3" s="1"/>
    </row>
    <row r="4" spans="2:2" x14ac:dyDescent="0.25">
      <c r="B4" s="2" t="s">
        <v>1</v>
      </c>
    </row>
    <row r="6" spans="2:2" x14ac:dyDescent="0.25">
      <c r="B6" s="3" t="s">
        <v>2</v>
      </c>
    </row>
    <row r="7" ht="34" customHeight="1" spans="2:2" x14ac:dyDescent="0.25">
      <c r="B7" s="4" t="s">
        <v>3</v>
      </c>
    </row>
    <row r="8" ht="34" customHeight="1" spans="2:2" x14ac:dyDescent="0.25">
      <c r="B8" s="4" t="s">
        <v>4</v>
      </c>
    </row>
    <row r="9" ht="34" customHeight="1" spans="2:2" x14ac:dyDescent="0.25">
      <c r="B9" s="4" t="s">
        <v>5</v>
      </c>
    </row>
    <row r="10" ht="34" customHeight="1" spans="2:2" x14ac:dyDescent="0.25">
      <c r="B10" s="4" t="s">
        <v>6</v>
      </c>
    </row>
    <row r="11" ht="34" customHeight="1" spans="2:2" x14ac:dyDescent="0.25">
      <c r="B11" s="4" t="s">
        <v>7</v>
      </c>
    </row>
    <row r="12" ht="34" customHeight="1" spans="2:2" x14ac:dyDescent="0.25">
      <c r="B12" s="4" t="s">
        <v>8</v>
      </c>
    </row>
  </sheetData>
  <mergeCells count="1">
    <mergeCell ref="B2:B3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362A"/>
    <pageSetUpPr fitToPage="1"/>
  </sheetPr>
  <dimension ref="B2:G1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3" width="12" customWidth="1"/>
    <col min="4" max="6" width="20" customWidth="1"/>
    <col min="7" max="7" width="18" customWidth="1"/>
  </cols>
  <sheetData>
    <row r="2" ht="30" customHeight="1" spans="2:7" x14ac:dyDescent="0.25">
      <c r="B2" s="5" t="s">
        <v>9</v>
      </c>
      <c r="C2" s="5"/>
      <c r="D2" s="5"/>
      <c r="E2" s="5"/>
      <c r="F2" s="5"/>
      <c r="G2" s="5"/>
    </row>
    <row r="4" ht="30" customHeight="1" spans="2:7" x14ac:dyDescent="0.25"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spans="2:7" x14ac:dyDescent="0.25">
      <c r="B5" s="7" t="s">
        <v>16</v>
      </c>
      <c r="C5" s="8">
        <f>COUNTA('Pós-graduação'!$A$2:$A$42)</f>
        <v>1</v>
      </c>
      <c r="D5" s="9">
        <f>SUM('Pós-graduação'!$E$2:$E$42)</f>
        <v>12600</v>
      </c>
      <c r="E5" s="9">
        <f>C5-E5</f>
        <v>1400</v>
      </c>
      <c r="F5" s="9">
        <f>SUM('Pós-graduação'!$H$2:$H$42)</f>
        <v>11200</v>
      </c>
      <c r="G5" s="10">
        <f>IFERROR(AVERAGE('Pós-graduação'!$N$2:$N$42),"")</f>
        <v>0.1</v>
      </c>
    </row>
    <row r="6" spans="2:7" x14ac:dyDescent="0.25">
      <c r="B6" s="7" t="s">
        <v>17</v>
      </c>
      <c r="C6" s="8">
        <f>COUNTA('Concurso'!$A$2:$A$42)</f>
        <v>1</v>
      </c>
      <c r="D6" s="9">
        <f>SUM('Concurso'!$G$2:$G$42)</f>
        <v>1490</v>
      </c>
      <c r="E6" s="9">
        <f>C6-E6</f>
        <v>149</v>
      </c>
      <c r="F6" s="9">
        <f>SUM('Concurso'!$J$2:$J$42)</f>
        <v>1341</v>
      </c>
      <c r="G6" s="10">
        <f>IFERROR(AVERAGE('Concurso'!$P$2:$P$42),"")</f>
        <v>0.25</v>
      </c>
    </row>
    <row r="7" spans="2:7" x14ac:dyDescent="0.25">
      <c r="B7" s="7" t="s">
        <v>18</v>
      </c>
      <c r="C7" s="8">
        <f>COUNTA('Livros'!$A$2:$A$42)</f>
        <v>1</v>
      </c>
      <c r="D7" s="9">
        <f>SUM('Livros'!$K$2:$K$42)</f>
        <v>49.9</v>
      </c>
      <c r="E7" s="9">
        <f>C7-E7</f>
        <v>49.9</v>
      </c>
      <c r="F7" s="9">
        <f>SUM('Livros'!$N$2:$N$42)</f>
        <v>0</v>
      </c>
      <c r="G7" s="10">
        <f>IFERROR(AVERAGE('Livros'!$S$2:$S$42),"")</f>
        <v>0.375</v>
      </c>
    </row>
    <row r="8" spans="2:7" x14ac:dyDescent="0.25">
      <c r="B8" s="7" t="s">
        <v>19</v>
      </c>
      <c r="C8" s="8">
        <f>COUNTA('Cursos IA'!$A$2:$A$42)</f>
        <v>1</v>
      </c>
      <c r="D8" s="9">
        <f>SUM('Cursos IA'!$E$2:$E$42)</f>
        <v>497</v>
      </c>
      <c r="E8" s="9">
        <f>C8-E8</f>
        <v>41.420000000000016</v>
      </c>
      <c r="F8" s="9">
        <f>SUM('Cursos IA'!$H$2:$H$42)</f>
        <v>455.58</v>
      </c>
      <c r="G8" s="10">
        <f>IFERROR(AVERAGE('Cursos IA'!$N$2:$N$42),"")</f>
        <v>0.3</v>
      </c>
    </row>
    <row r="9" spans="2:7" x14ac:dyDescent="0.25">
      <c r="B9" s="7" t="s">
        <v>20</v>
      </c>
      <c r="C9" s="8">
        <f>COUNTA('Renda Extra'!$A$2:$A$42)</f>
        <v>1</v>
      </c>
      <c r="D9" s="9">
        <f>SUM('Renda Extra'!$H$2:$H$42)</f>
        <v>297</v>
      </c>
      <c r="E9" s="9">
        <f>C9-E9</f>
        <v>99</v>
      </c>
      <c r="F9" s="9">
        <f>SUM('Renda Extra'!$K$2:$K$42)</f>
        <v>198</v>
      </c>
      <c r="G9" s="10">
        <f>IFERROR(AVERAGE('Renda Extra'!$Q$2:$Q$42),"")</f>
        <v>0.2222222222222222</v>
      </c>
    </row>
    <row r="10" spans="2:6" x14ac:dyDescent="0.25">
      <c r="B10" s="11" t="s">
        <v>21</v>
      </c>
      <c r="C10" s="12">
        <f>SUM(C5:C9)</f>
        <v>5</v>
      </c>
      <c r="D10" s="13">
        <f>SUM(D5:D9)</f>
        <v>14933.9</v>
      </c>
      <c r="E10" s="13">
        <f>SUM(E5:E9)</f>
        <v>1739.3199999999997</v>
      </c>
      <c r="F10" s="13">
        <f>SUM(F5:F9)</f>
        <v>13194.58</v>
      </c>
    </row>
    <row r="12" spans="2:2" x14ac:dyDescent="0.25">
      <c r="B12" s="2" t="s">
        <v>22</v>
      </c>
    </row>
  </sheetData>
  <mergeCells count="1">
    <mergeCell ref="B2:G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5D4"/>
    <pageSetUpPr fitToPage="1"/>
  </sheetPr>
  <dimension ref="A1:U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3" width="24" customWidth="1"/>
    <col min="4" max="4" width="15" customWidth="1"/>
    <col min="5" max="5" width="18" customWidth="1"/>
    <col min="6" max="7" width="14" customWidth="1"/>
    <col min="8" max="8" width="18" customWidth="1"/>
    <col min="9" max="11" width="15" customWidth="1"/>
    <col min="12" max="13" width="14" customWidth="1"/>
    <col min="14" max="17" width="16" customWidth="1"/>
    <col min="18" max="18" width="22" customWidth="1"/>
    <col min="19" max="19" width="30" customWidth="1"/>
    <col min="20" max="20" width="34" customWidth="1"/>
    <col min="21" max="21" width="12" customWidth="1"/>
  </cols>
  <sheetData>
    <row r="1" ht="34" customHeight="1" spans="1:21" x14ac:dyDescent="0.25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12</v>
      </c>
      <c r="F1" s="14" t="s">
        <v>27</v>
      </c>
      <c r="G1" s="14" t="s">
        <v>28</v>
      </c>
      <c r="H1" s="15" t="s">
        <v>14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5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14" t="s">
        <v>41</v>
      </c>
    </row>
    <row r="2" ht="24" customHeight="1" spans="1:21" x14ac:dyDescent="0.25">
      <c r="A2" s="16" t="s">
        <v>42</v>
      </c>
      <c r="B2" s="17" t="s">
        <v>43</v>
      </c>
      <c r="C2" s="17" t="s">
        <v>44</v>
      </c>
      <c r="D2" s="18">
        <v>46244</v>
      </c>
      <c r="E2" s="19">
        <v>12600</v>
      </c>
      <c r="F2" s="20">
        <v>18</v>
      </c>
      <c r="G2" s="20">
        <v>2</v>
      </c>
      <c r="H2" s="21">
        <f>IF(N(E2)&gt;0,ROUND(E2-IF(N(F2)&gt;0,ROUND(E2*MIN(N(G2),N(F2))/N(F2),2),E2),2),"")</f>
        <v>11200</v>
      </c>
      <c r="I2" s="18">
        <v>46266</v>
      </c>
      <c r="J2" s="18">
        <v>46818</v>
      </c>
      <c r="K2" s="18">
        <v>46998</v>
      </c>
      <c r="L2" s="20">
        <v>20</v>
      </c>
      <c r="M2" s="20">
        <v>2</v>
      </c>
      <c r="N2" s="22">
        <f>IF(N(L2)&gt;0,MIN(1,N(M2)/N(L2)),"")</f>
        <v>0.1</v>
      </c>
      <c r="O2" s="17" t="s">
        <v>45</v>
      </c>
      <c r="P2" s="17" t="s">
        <v>46</v>
      </c>
      <c r="Q2" s="17" t="s">
        <v>47</v>
      </c>
      <c r="R2" s="17" t="s">
        <v>48</v>
      </c>
      <c r="S2" s="17" t="s">
        <v>49</v>
      </c>
      <c r="T2" s="23"/>
      <c r="U2" s="24" t="s">
        <v>50</v>
      </c>
    </row>
    <row r="3" ht="24" customHeight="1" spans="1:21" x14ac:dyDescent="0.25">
      <c r="A3" s="23"/>
      <c r="B3" s="17"/>
      <c r="C3" s="17"/>
      <c r="D3" s="18"/>
      <c r="E3" s="19"/>
      <c r="F3" s="20"/>
      <c r="G3" s="20"/>
      <c r="H3" s="21" t="str">
        <f>IF(N(E3)&gt;0,ROUND(E3-IF(N(F3)&gt;0,ROUND(E3*MIN(N(G3),N(F3))/N(F3),2),E3),2),"")</f>
        <v/>
      </c>
      <c r="I3" s="18"/>
      <c r="J3" s="18"/>
      <c r="K3" s="18"/>
      <c r="L3" s="20"/>
      <c r="M3" s="20"/>
      <c r="N3" s="22" t="str">
        <f>IF(N(L3)&gt;0,MIN(1,N(M3)/N(L3)),"")</f>
        <v/>
      </c>
      <c r="O3" s="17"/>
      <c r="P3" s="17"/>
      <c r="Q3" s="17"/>
      <c r="R3" s="17"/>
      <c r="S3" s="17"/>
      <c r="T3" s="23"/>
      <c r="U3" s="24"/>
    </row>
    <row r="4" ht="24" customHeight="1" spans="1:21" x14ac:dyDescent="0.25">
      <c r="A4" s="23"/>
      <c r="B4" s="17"/>
      <c r="C4" s="17"/>
      <c r="D4" s="18"/>
      <c r="E4" s="19"/>
      <c r="F4" s="20"/>
      <c r="G4" s="20"/>
      <c r="H4" s="21" t="str">
        <f>IF(N(E4)&gt;0,ROUND(E4-IF(N(F4)&gt;0,ROUND(E4*MIN(N(G4),N(F4))/N(F4),2),E4),2),"")</f>
        <v/>
      </c>
      <c r="I4" s="18"/>
      <c r="J4" s="18"/>
      <c r="K4" s="18"/>
      <c r="L4" s="20"/>
      <c r="M4" s="20"/>
      <c r="N4" s="22" t="str">
        <f>IF(N(L4)&gt;0,MIN(1,N(M4)/N(L4)),"")</f>
        <v/>
      </c>
      <c r="O4" s="17"/>
      <c r="P4" s="17"/>
      <c r="Q4" s="17"/>
      <c r="R4" s="17"/>
      <c r="S4" s="17"/>
      <c r="T4" s="23"/>
      <c r="U4" s="24"/>
    </row>
    <row r="5" ht="24" customHeight="1" spans="1:21" x14ac:dyDescent="0.25">
      <c r="A5" s="23"/>
      <c r="B5" s="17"/>
      <c r="C5" s="17"/>
      <c r="D5" s="18"/>
      <c r="E5" s="19"/>
      <c r="F5" s="20"/>
      <c r="G5" s="20"/>
      <c r="H5" s="21" t="str">
        <f>IF(N(E5)&gt;0,ROUND(E5-IF(N(F5)&gt;0,ROUND(E5*MIN(N(G5),N(F5))/N(F5),2),E5),2),"")</f>
        <v/>
      </c>
      <c r="I5" s="18"/>
      <c r="J5" s="18"/>
      <c r="K5" s="18"/>
      <c r="L5" s="20"/>
      <c r="M5" s="20"/>
      <c r="N5" s="22" t="str">
        <f>IF(N(L5)&gt;0,MIN(1,N(M5)/N(L5)),"")</f>
        <v/>
      </c>
      <c r="O5" s="17"/>
      <c r="P5" s="17"/>
      <c r="Q5" s="17"/>
      <c r="R5" s="17"/>
      <c r="S5" s="17"/>
      <c r="T5" s="23"/>
      <c r="U5" s="24"/>
    </row>
    <row r="6" ht="24" customHeight="1" spans="1:21" x14ac:dyDescent="0.25">
      <c r="A6" s="23"/>
      <c r="B6" s="17"/>
      <c r="C6" s="17"/>
      <c r="D6" s="18"/>
      <c r="E6" s="19"/>
      <c r="F6" s="20"/>
      <c r="G6" s="20"/>
      <c r="H6" s="21" t="str">
        <f>IF(N(E6)&gt;0,ROUND(E6-IF(N(F6)&gt;0,ROUND(E6*MIN(N(G6),N(F6))/N(F6),2),E6),2),"")</f>
        <v/>
      </c>
      <c r="I6" s="18"/>
      <c r="J6" s="18"/>
      <c r="K6" s="18"/>
      <c r="L6" s="20"/>
      <c r="M6" s="20"/>
      <c r="N6" s="22" t="str">
        <f>IF(N(L6)&gt;0,MIN(1,N(M6)/N(L6)),"")</f>
        <v/>
      </c>
      <c r="O6" s="17"/>
      <c r="P6" s="17"/>
      <c r="Q6" s="17"/>
      <c r="R6" s="17"/>
      <c r="S6" s="17"/>
      <c r="T6" s="23"/>
      <c r="U6" s="24"/>
    </row>
    <row r="7" ht="24" customHeight="1" spans="1:21" x14ac:dyDescent="0.25">
      <c r="A7" s="23"/>
      <c r="B7" s="17"/>
      <c r="C7" s="17"/>
      <c r="D7" s="18"/>
      <c r="E7" s="19"/>
      <c r="F7" s="20"/>
      <c r="G7" s="20"/>
      <c r="H7" s="21" t="str">
        <f>IF(N(E7)&gt;0,ROUND(E7-IF(N(F7)&gt;0,ROUND(E7*MIN(N(G7),N(F7))/N(F7),2),E7),2),"")</f>
        <v/>
      </c>
      <c r="I7" s="18"/>
      <c r="J7" s="18"/>
      <c r="K7" s="18"/>
      <c r="L7" s="20"/>
      <c r="M7" s="20"/>
      <c r="N7" s="22" t="str">
        <f>IF(N(L7)&gt;0,MIN(1,N(M7)/N(L7)),"")</f>
        <v/>
      </c>
      <c r="O7" s="17"/>
      <c r="P7" s="17"/>
      <c r="Q7" s="17"/>
      <c r="R7" s="17"/>
      <c r="S7" s="17"/>
      <c r="T7" s="23"/>
      <c r="U7" s="24"/>
    </row>
    <row r="8" ht="24" customHeight="1" spans="1:21" x14ac:dyDescent="0.25">
      <c r="A8" s="23"/>
      <c r="B8" s="17"/>
      <c r="C8" s="17"/>
      <c r="D8" s="18"/>
      <c r="E8" s="19"/>
      <c r="F8" s="20"/>
      <c r="G8" s="20"/>
      <c r="H8" s="21" t="str">
        <f>IF(N(E8)&gt;0,ROUND(E8-IF(N(F8)&gt;0,ROUND(E8*MIN(N(G8),N(F8))/N(F8),2),E8),2),"")</f>
        <v/>
      </c>
      <c r="I8" s="18"/>
      <c r="J8" s="18"/>
      <c r="K8" s="18"/>
      <c r="L8" s="20"/>
      <c r="M8" s="20"/>
      <c r="N8" s="22" t="str">
        <f>IF(N(L8)&gt;0,MIN(1,N(M8)/N(L8)),"")</f>
        <v/>
      </c>
      <c r="O8" s="17"/>
      <c r="P8" s="17"/>
      <c r="Q8" s="17"/>
      <c r="R8" s="17"/>
      <c r="S8" s="17"/>
      <c r="T8" s="23"/>
      <c r="U8" s="24"/>
    </row>
    <row r="9" ht="24" customHeight="1" spans="1:21" x14ac:dyDescent="0.25">
      <c r="A9" s="23"/>
      <c r="B9" s="17"/>
      <c r="C9" s="17"/>
      <c r="D9" s="18"/>
      <c r="E9" s="19"/>
      <c r="F9" s="20"/>
      <c r="G9" s="20"/>
      <c r="H9" s="21" t="str">
        <f>IF(N(E9)&gt;0,ROUND(E9-IF(N(F9)&gt;0,ROUND(E9*MIN(N(G9),N(F9))/N(F9),2),E9),2),"")</f>
        <v/>
      </c>
      <c r="I9" s="18"/>
      <c r="J9" s="18"/>
      <c r="K9" s="18"/>
      <c r="L9" s="20"/>
      <c r="M9" s="20"/>
      <c r="N9" s="22" t="str">
        <f>IF(N(L9)&gt;0,MIN(1,N(M9)/N(L9)),"")</f>
        <v/>
      </c>
      <c r="O9" s="17"/>
      <c r="P9" s="17"/>
      <c r="Q9" s="17"/>
      <c r="R9" s="17"/>
      <c r="S9" s="17"/>
      <c r="T9" s="23"/>
      <c r="U9" s="24"/>
    </row>
    <row r="10" ht="24" customHeight="1" spans="1:21" x14ac:dyDescent="0.25">
      <c r="A10" s="23"/>
      <c r="B10" s="17"/>
      <c r="C10" s="17"/>
      <c r="D10" s="18"/>
      <c r="E10" s="19"/>
      <c r="F10" s="20"/>
      <c r="G10" s="20"/>
      <c r="H10" s="21" t="str">
        <f>IF(N(E10)&gt;0,ROUND(E10-IF(N(F10)&gt;0,ROUND(E10*MIN(N(G10),N(F10))/N(F10),2),E10),2),"")</f>
        <v/>
      </c>
      <c r="I10" s="18"/>
      <c r="J10" s="18"/>
      <c r="K10" s="18"/>
      <c r="L10" s="20"/>
      <c r="M10" s="20"/>
      <c r="N10" s="22" t="str">
        <f>IF(N(L10)&gt;0,MIN(1,N(M10)/N(L10)),"")</f>
        <v/>
      </c>
      <c r="O10" s="17"/>
      <c r="P10" s="17"/>
      <c r="Q10" s="17"/>
      <c r="R10" s="17"/>
      <c r="S10" s="17"/>
      <c r="T10" s="23"/>
      <c r="U10" s="24"/>
    </row>
    <row r="11" ht="24" customHeight="1" spans="1:21" x14ac:dyDescent="0.25">
      <c r="A11" s="23"/>
      <c r="B11" s="17"/>
      <c r="C11" s="17"/>
      <c r="D11" s="18"/>
      <c r="E11" s="19"/>
      <c r="F11" s="20"/>
      <c r="G11" s="20"/>
      <c r="H11" s="21" t="str">
        <f>IF(N(E11)&gt;0,ROUND(E11-IF(N(F11)&gt;0,ROUND(E11*MIN(N(G11),N(F11))/N(F11),2),E11),2),"")</f>
        <v/>
      </c>
      <c r="I11" s="18"/>
      <c r="J11" s="18"/>
      <c r="K11" s="18"/>
      <c r="L11" s="20"/>
      <c r="M11" s="20"/>
      <c r="N11" s="22" t="str">
        <f>IF(N(L11)&gt;0,MIN(1,N(M11)/N(L11)),"")</f>
        <v/>
      </c>
      <c r="O11" s="17"/>
      <c r="P11" s="17"/>
      <c r="Q11" s="17"/>
      <c r="R11" s="17"/>
      <c r="S11" s="17"/>
      <c r="T11" s="23"/>
      <c r="U11" s="24"/>
    </row>
    <row r="12" ht="24" customHeight="1" spans="1:21" x14ac:dyDescent="0.25">
      <c r="A12" s="23"/>
      <c r="B12" s="17"/>
      <c r="C12" s="17"/>
      <c r="D12" s="18"/>
      <c r="E12" s="19"/>
      <c r="F12" s="20"/>
      <c r="G12" s="20"/>
      <c r="H12" s="21" t="str">
        <f>IF(N(E12)&gt;0,ROUND(E12-IF(N(F12)&gt;0,ROUND(E12*MIN(N(G12),N(F12))/N(F12),2),E12),2),"")</f>
        <v/>
      </c>
      <c r="I12" s="18"/>
      <c r="J12" s="18"/>
      <c r="K12" s="18"/>
      <c r="L12" s="20"/>
      <c r="M12" s="20"/>
      <c r="N12" s="22" t="str">
        <f>IF(N(L12)&gt;0,MIN(1,N(M12)/N(L12)),"")</f>
        <v/>
      </c>
      <c r="O12" s="17"/>
      <c r="P12" s="17"/>
      <c r="Q12" s="17"/>
      <c r="R12" s="17"/>
      <c r="S12" s="17"/>
      <c r="T12" s="23"/>
      <c r="U12" s="24"/>
    </row>
    <row r="13" ht="24" customHeight="1" spans="1:21" x14ac:dyDescent="0.25">
      <c r="A13" s="23"/>
      <c r="B13" s="17"/>
      <c r="C13" s="17"/>
      <c r="D13" s="18"/>
      <c r="E13" s="19"/>
      <c r="F13" s="20"/>
      <c r="G13" s="20"/>
      <c r="H13" s="21" t="str">
        <f>IF(N(E13)&gt;0,ROUND(E13-IF(N(F13)&gt;0,ROUND(E13*MIN(N(G13),N(F13))/N(F13),2),E13),2),"")</f>
        <v/>
      </c>
      <c r="I13" s="18"/>
      <c r="J13" s="18"/>
      <c r="K13" s="18"/>
      <c r="L13" s="20"/>
      <c r="M13" s="20"/>
      <c r="N13" s="22" t="str">
        <f>IF(N(L13)&gt;0,MIN(1,N(M13)/N(L13)),"")</f>
        <v/>
      </c>
      <c r="O13" s="17"/>
      <c r="P13" s="17"/>
      <c r="Q13" s="17"/>
      <c r="R13" s="17"/>
      <c r="S13" s="17"/>
      <c r="T13" s="23"/>
      <c r="U13" s="24"/>
    </row>
    <row r="14" ht="24" customHeight="1" spans="1:21" x14ac:dyDescent="0.25">
      <c r="A14" s="23"/>
      <c r="B14" s="17"/>
      <c r="C14" s="17"/>
      <c r="D14" s="18"/>
      <c r="E14" s="19"/>
      <c r="F14" s="20"/>
      <c r="G14" s="20"/>
      <c r="H14" s="21" t="str">
        <f>IF(N(E14)&gt;0,ROUND(E14-IF(N(F14)&gt;0,ROUND(E14*MIN(N(G14),N(F14))/N(F14),2),E14),2),"")</f>
        <v/>
      </c>
      <c r="I14" s="18"/>
      <c r="J14" s="18"/>
      <c r="K14" s="18"/>
      <c r="L14" s="20"/>
      <c r="M14" s="20"/>
      <c r="N14" s="22" t="str">
        <f>IF(N(L14)&gt;0,MIN(1,N(M14)/N(L14)),"")</f>
        <v/>
      </c>
      <c r="O14" s="17"/>
      <c r="P14" s="17"/>
      <c r="Q14" s="17"/>
      <c r="R14" s="17"/>
      <c r="S14" s="17"/>
      <c r="T14" s="23"/>
      <c r="U14" s="24"/>
    </row>
    <row r="15" ht="24" customHeight="1" spans="1:21" x14ac:dyDescent="0.25">
      <c r="A15" s="23"/>
      <c r="B15" s="17"/>
      <c r="C15" s="17"/>
      <c r="D15" s="18"/>
      <c r="E15" s="19"/>
      <c r="F15" s="20"/>
      <c r="G15" s="20"/>
      <c r="H15" s="21" t="str">
        <f>IF(N(E15)&gt;0,ROUND(E15-IF(N(F15)&gt;0,ROUND(E15*MIN(N(G15),N(F15))/N(F15),2),E15),2),"")</f>
        <v/>
      </c>
      <c r="I15" s="18"/>
      <c r="J15" s="18"/>
      <c r="K15" s="18"/>
      <c r="L15" s="20"/>
      <c r="M15" s="20"/>
      <c r="N15" s="22" t="str">
        <f>IF(N(L15)&gt;0,MIN(1,N(M15)/N(L15)),"")</f>
        <v/>
      </c>
      <c r="O15" s="17"/>
      <c r="P15" s="17"/>
      <c r="Q15" s="17"/>
      <c r="R15" s="17"/>
      <c r="S15" s="17"/>
      <c r="T15" s="23"/>
      <c r="U15" s="24"/>
    </row>
    <row r="16" ht="24" customHeight="1" spans="1:21" x14ac:dyDescent="0.25">
      <c r="A16" s="23"/>
      <c r="B16" s="17"/>
      <c r="C16" s="17"/>
      <c r="D16" s="18"/>
      <c r="E16" s="19"/>
      <c r="F16" s="20"/>
      <c r="G16" s="20"/>
      <c r="H16" s="21" t="str">
        <f>IF(N(E16)&gt;0,ROUND(E16-IF(N(F16)&gt;0,ROUND(E16*MIN(N(G16),N(F16))/N(F16),2),E16),2),"")</f>
        <v/>
      </c>
      <c r="I16" s="18"/>
      <c r="J16" s="18"/>
      <c r="K16" s="18"/>
      <c r="L16" s="20"/>
      <c r="M16" s="20"/>
      <c r="N16" s="22" t="str">
        <f>IF(N(L16)&gt;0,MIN(1,N(M16)/N(L16)),"")</f>
        <v/>
      </c>
      <c r="O16" s="17"/>
      <c r="P16" s="17"/>
      <c r="Q16" s="17"/>
      <c r="R16" s="17"/>
      <c r="S16" s="17"/>
      <c r="T16" s="23"/>
      <c r="U16" s="24"/>
    </row>
    <row r="17" ht="24" customHeight="1" spans="1:21" x14ac:dyDescent="0.25">
      <c r="A17" s="23"/>
      <c r="B17" s="17"/>
      <c r="C17" s="17"/>
      <c r="D17" s="18"/>
      <c r="E17" s="19"/>
      <c r="F17" s="20"/>
      <c r="G17" s="20"/>
      <c r="H17" s="21" t="str">
        <f>IF(N(E17)&gt;0,ROUND(E17-IF(N(F17)&gt;0,ROUND(E17*MIN(N(G17),N(F17))/N(F17),2),E17),2),"")</f>
        <v/>
      </c>
      <c r="I17" s="18"/>
      <c r="J17" s="18"/>
      <c r="K17" s="18"/>
      <c r="L17" s="20"/>
      <c r="M17" s="20"/>
      <c r="N17" s="22" t="str">
        <f>IF(N(L17)&gt;0,MIN(1,N(M17)/N(L17)),"")</f>
        <v/>
      </c>
      <c r="O17" s="17"/>
      <c r="P17" s="17"/>
      <c r="Q17" s="17"/>
      <c r="R17" s="17"/>
      <c r="S17" s="17"/>
      <c r="T17" s="23"/>
      <c r="U17" s="24"/>
    </row>
    <row r="18" ht="24" customHeight="1" spans="1:21" x14ac:dyDescent="0.25">
      <c r="A18" s="23"/>
      <c r="B18" s="17"/>
      <c r="C18" s="17"/>
      <c r="D18" s="18"/>
      <c r="E18" s="19"/>
      <c r="F18" s="20"/>
      <c r="G18" s="20"/>
      <c r="H18" s="21" t="str">
        <f>IF(N(E18)&gt;0,ROUND(E18-IF(N(F18)&gt;0,ROUND(E18*MIN(N(G18),N(F18))/N(F18),2),E18),2),"")</f>
        <v/>
      </c>
      <c r="I18" s="18"/>
      <c r="J18" s="18"/>
      <c r="K18" s="18"/>
      <c r="L18" s="20"/>
      <c r="M18" s="20"/>
      <c r="N18" s="22" t="str">
        <f>IF(N(L18)&gt;0,MIN(1,N(M18)/N(L18)),"")</f>
        <v/>
      </c>
      <c r="O18" s="17"/>
      <c r="P18" s="17"/>
      <c r="Q18" s="17"/>
      <c r="R18" s="17"/>
      <c r="S18" s="17"/>
      <c r="T18" s="23"/>
      <c r="U18" s="24"/>
    </row>
    <row r="19" ht="24" customHeight="1" spans="1:21" x14ac:dyDescent="0.25">
      <c r="A19" s="23"/>
      <c r="B19" s="17"/>
      <c r="C19" s="17"/>
      <c r="D19" s="18"/>
      <c r="E19" s="19"/>
      <c r="F19" s="20"/>
      <c r="G19" s="20"/>
      <c r="H19" s="21" t="str">
        <f>IF(N(E19)&gt;0,ROUND(E19-IF(N(F19)&gt;0,ROUND(E19*MIN(N(G19),N(F19))/N(F19),2),E19),2),"")</f>
        <v/>
      </c>
      <c r="I19" s="18"/>
      <c r="J19" s="18"/>
      <c r="K19" s="18"/>
      <c r="L19" s="20"/>
      <c r="M19" s="20"/>
      <c r="N19" s="22" t="str">
        <f>IF(N(L19)&gt;0,MIN(1,N(M19)/N(L19)),"")</f>
        <v/>
      </c>
      <c r="O19" s="17"/>
      <c r="P19" s="17"/>
      <c r="Q19" s="17"/>
      <c r="R19" s="17"/>
      <c r="S19" s="17"/>
      <c r="T19" s="23"/>
      <c r="U19" s="24"/>
    </row>
    <row r="20" ht="24" customHeight="1" spans="1:21" x14ac:dyDescent="0.25">
      <c r="A20" s="23"/>
      <c r="B20" s="17"/>
      <c r="C20" s="17"/>
      <c r="D20" s="18"/>
      <c r="E20" s="19"/>
      <c r="F20" s="20"/>
      <c r="G20" s="20"/>
      <c r="H20" s="21" t="str">
        <f>IF(N(E20)&gt;0,ROUND(E20-IF(N(F20)&gt;0,ROUND(E20*MIN(N(G20),N(F20))/N(F20),2),E20),2),"")</f>
        <v/>
      </c>
      <c r="I20" s="18"/>
      <c r="J20" s="18"/>
      <c r="K20" s="18"/>
      <c r="L20" s="20"/>
      <c r="M20" s="20"/>
      <c r="N20" s="22" t="str">
        <f>IF(N(L20)&gt;0,MIN(1,N(M20)/N(L20)),"")</f>
        <v/>
      </c>
      <c r="O20" s="17"/>
      <c r="P20" s="17"/>
      <c r="Q20" s="17"/>
      <c r="R20" s="17"/>
      <c r="S20" s="17"/>
      <c r="T20" s="23"/>
      <c r="U20" s="24"/>
    </row>
    <row r="21" ht="24" customHeight="1" spans="1:21" x14ac:dyDescent="0.25">
      <c r="A21" s="23"/>
      <c r="B21" s="17"/>
      <c r="C21" s="17"/>
      <c r="D21" s="18"/>
      <c r="E21" s="19"/>
      <c r="F21" s="20"/>
      <c r="G21" s="20"/>
      <c r="H21" s="21" t="str">
        <f>IF(N(E21)&gt;0,ROUND(E21-IF(N(F21)&gt;0,ROUND(E21*MIN(N(G21),N(F21))/N(F21),2),E21),2),"")</f>
        <v/>
      </c>
      <c r="I21" s="18"/>
      <c r="J21" s="18"/>
      <c r="K21" s="18"/>
      <c r="L21" s="20"/>
      <c r="M21" s="20"/>
      <c r="N21" s="22" t="str">
        <f>IF(N(L21)&gt;0,MIN(1,N(M21)/N(L21)),"")</f>
        <v/>
      </c>
      <c r="O21" s="17"/>
      <c r="P21" s="17"/>
      <c r="Q21" s="17"/>
      <c r="R21" s="17"/>
      <c r="S21" s="17"/>
      <c r="T21" s="23"/>
      <c r="U21" s="24"/>
    </row>
    <row r="22" ht="24" customHeight="1" spans="1:21" x14ac:dyDescent="0.25">
      <c r="A22" s="23"/>
      <c r="B22" s="17"/>
      <c r="C22" s="17"/>
      <c r="D22" s="18"/>
      <c r="E22" s="19"/>
      <c r="F22" s="20"/>
      <c r="G22" s="20"/>
      <c r="H22" s="21" t="str">
        <f>IF(N(E22)&gt;0,ROUND(E22-IF(N(F22)&gt;0,ROUND(E22*MIN(N(G22),N(F22))/N(F22),2),E22),2),"")</f>
        <v/>
      </c>
      <c r="I22" s="18"/>
      <c r="J22" s="18"/>
      <c r="K22" s="18"/>
      <c r="L22" s="20"/>
      <c r="M22" s="20"/>
      <c r="N22" s="22" t="str">
        <f>IF(N(L22)&gt;0,MIN(1,N(M22)/N(L22)),"")</f>
        <v/>
      </c>
      <c r="O22" s="17"/>
      <c r="P22" s="17"/>
      <c r="Q22" s="17"/>
      <c r="R22" s="17"/>
      <c r="S22" s="17"/>
      <c r="T22" s="23"/>
      <c r="U22" s="24"/>
    </row>
    <row r="23" ht="24" customHeight="1" spans="1:21" x14ac:dyDescent="0.25">
      <c r="A23" s="23"/>
      <c r="B23" s="17"/>
      <c r="C23" s="17"/>
      <c r="D23" s="18"/>
      <c r="E23" s="19"/>
      <c r="F23" s="20"/>
      <c r="G23" s="20"/>
      <c r="H23" s="21" t="str">
        <f>IF(N(E23)&gt;0,ROUND(E23-IF(N(F23)&gt;0,ROUND(E23*MIN(N(G23),N(F23))/N(F23),2),E23),2),"")</f>
        <v/>
      </c>
      <c r="I23" s="18"/>
      <c r="J23" s="18"/>
      <c r="K23" s="18"/>
      <c r="L23" s="20"/>
      <c r="M23" s="20"/>
      <c r="N23" s="22" t="str">
        <f>IF(N(L23)&gt;0,MIN(1,N(M23)/N(L23)),"")</f>
        <v/>
      </c>
      <c r="O23" s="17"/>
      <c r="P23" s="17"/>
      <c r="Q23" s="17"/>
      <c r="R23" s="17"/>
      <c r="S23" s="17"/>
      <c r="T23" s="23"/>
      <c r="U23" s="24"/>
    </row>
    <row r="24" ht="24" customHeight="1" spans="1:21" x14ac:dyDescent="0.25">
      <c r="A24" s="23"/>
      <c r="B24" s="17"/>
      <c r="C24" s="17"/>
      <c r="D24" s="18"/>
      <c r="E24" s="19"/>
      <c r="F24" s="20"/>
      <c r="G24" s="20"/>
      <c r="H24" s="21" t="str">
        <f>IF(N(E24)&gt;0,ROUND(E24-IF(N(F24)&gt;0,ROUND(E24*MIN(N(G24),N(F24))/N(F24),2),E24),2),"")</f>
        <v/>
      </c>
      <c r="I24" s="18"/>
      <c r="J24" s="18"/>
      <c r="K24" s="18"/>
      <c r="L24" s="20"/>
      <c r="M24" s="20"/>
      <c r="N24" s="22" t="str">
        <f>IF(N(L24)&gt;0,MIN(1,N(M24)/N(L24)),"")</f>
        <v/>
      </c>
      <c r="O24" s="17"/>
      <c r="P24" s="17"/>
      <c r="Q24" s="17"/>
      <c r="R24" s="17"/>
      <c r="S24" s="17"/>
      <c r="T24" s="23"/>
      <c r="U24" s="24"/>
    </row>
    <row r="25" ht="24" customHeight="1" spans="1:21" x14ac:dyDescent="0.25">
      <c r="A25" s="23"/>
      <c r="B25" s="17"/>
      <c r="C25" s="17"/>
      <c r="D25" s="18"/>
      <c r="E25" s="19"/>
      <c r="F25" s="20"/>
      <c r="G25" s="20"/>
      <c r="H25" s="21" t="str">
        <f>IF(N(E25)&gt;0,ROUND(E25-IF(N(F25)&gt;0,ROUND(E25*MIN(N(G25),N(F25))/N(F25),2),E25),2),"")</f>
        <v/>
      </c>
      <c r="I25" s="18"/>
      <c r="J25" s="18"/>
      <c r="K25" s="18"/>
      <c r="L25" s="20"/>
      <c r="M25" s="20"/>
      <c r="N25" s="22" t="str">
        <f>IF(N(L25)&gt;0,MIN(1,N(M25)/N(L25)),"")</f>
        <v/>
      </c>
      <c r="O25" s="17"/>
      <c r="P25" s="17"/>
      <c r="Q25" s="17"/>
      <c r="R25" s="17"/>
      <c r="S25" s="17"/>
      <c r="T25" s="23"/>
      <c r="U25" s="24"/>
    </row>
    <row r="26" ht="24" customHeight="1" spans="1:21" x14ac:dyDescent="0.25">
      <c r="A26" s="23"/>
      <c r="B26" s="17"/>
      <c r="C26" s="17"/>
      <c r="D26" s="18"/>
      <c r="E26" s="19"/>
      <c r="F26" s="20"/>
      <c r="G26" s="20"/>
      <c r="H26" s="21" t="str">
        <f>IF(N(E26)&gt;0,ROUND(E26-IF(N(F26)&gt;0,ROUND(E26*MIN(N(G26),N(F26))/N(F26),2),E26),2),"")</f>
        <v/>
      </c>
      <c r="I26" s="18"/>
      <c r="J26" s="18"/>
      <c r="K26" s="18"/>
      <c r="L26" s="20"/>
      <c r="M26" s="20"/>
      <c r="N26" s="22" t="str">
        <f>IF(N(L26)&gt;0,MIN(1,N(M26)/N(L26)),"")</f>
        <v/>
      </c>
      <c r="O26" s="17"/>
      <c r="P26" s="17"/>
      <c r="Q26" s="17"/>
      <c r="R26" s="17"/>
      <c r="S26" s="17"/>
      <c r="T26" s="23"/>
      <c r="U26" s="24"/>
    </row>
    <row r="27" ht="24" customHeight="1" spans="1:21" x14ac:dyDescent="0.25">
      <c r="A27" s="23"/>
      <c r="B27" s="17"/>
      <c r="C27" s="17"/>
      <c r="D27" s="18"/>
      <c r="E27" s="19"/>
      <c r="F27" s="20"/>
      <c r="G27" s="20"/>
      <c r="H27" s="21" t="str">
        <f>IF(N(E27)&gt;0,ROUND(E27-IF(N(F27)&gt;0,ROUND(E27*MIN(N(G27),N(F27))/N(F27),2),E27),2),"")</f>
        <v/>
      </c>
      <c r="I27" s="18"/>
      <c r="J27" s="18"/>
      <c r="K27" s="18"/>
      <c r="L27" s="20"/>
      <c r="M27" s="20"/>
      <c r="N27" s="22" t="str">
        <f>IF(N(L27)&gt;0,MIN(1,N(M27)/N(L27)),"")</f>
        <v/>
      </c>
      <c r="O27" s="17"/>
      <c r="P27" s="17"/>
      <c r="Q27" s="17"/>
      <c r="R27" s="17"/>
      <c r="S27" s="17"/>
      <c r="T27" s="23"/>
      <c r="U27" s="24"/>
    </row>
    <row r="28" ht="24" customHeight="1" spans="1:21" x14ac:dyDescent="0.25">
      <c r="A28" s="23"/>
      <c r="B28" s="17"/>
      <c r="C28" s="17"/>
      <c r="D28" s="18"/>
      <c r="E28" s="19"/>
      <c r="F28" s="20"/>
      <c r="G28" s="20"/>
      <c r="H28" s="21" t="str">
        <f>IF(N(E28)&gt;0,ROUND(E28-IF(N(F28)&gt;0,ROUND(E28*MIN(N(G28),N(F28))/N(F28),2),E28),2),"")</f>
        <v/>
      </c>
      <c r="I28" s="18"/>
      <c r="J28" s="18"/>
      <c r="K28" s="18"/>
      <c r="L28" s="20"/>
      <c r="M28" s="20"/>
      <c r="N28" s="22" t="str">
        <f>IF(N(L28)&gt;0,MIN(1,N(M28)/N(L28)),"")</f>
        <v/>
      </c>
      <c r="O28" s="17"/>
      <c r="P28" s="17"/>
      <c r="Q28" s="17"/>
      <c r="R28" s="17"/>
      <c r="S28" s="17"/>
      <c r="T28" s="23"/>
      <c r="U28" s="24"/>
    </row>
    <row r="29" ht="24" customHeight="1" spans="1:21" x14ac:dyDescent="0.25">
      <c r="A29" s="23"/>
      <c r="B29" s="17"/>
      <c r="C29" s="17"/>
      <c r="D29" s="18"/>
      <c r="E29" s="19"/>
      <c r="F29" s="20"/>
      <c r="G29" s="20"/>
      <c r="H29" s="21" t="str">
        <f>IF(N(E29)&gt;0,ROUND(E29-IF(N(F29)&gt;0,ROUND(E29*MIN(N(G29),N(F29))/N(F29),2),E29),2),"")</f>
        <v/>
      </c>
      <c r="I29" s="18"/>
      <c r="J29" s="18"/>
      <c r="K29" s="18"/>
      <c r="L29" s="20"/>
      <c r="M29" s="20"/>
      <c r="N29" s="22" t="str">
        <f>IF(N(L29)&gt;0,MIN(1,N(M29)/N(L29)),"")</f>
        <v/>
      </c>
      <c r="O29" s="17"/>
      <c r="P29" s="17"/>
      <c r="Q29" s="17"/>
      <c r="R29" s="17"/>
      <c r="S29" s="17"/>
      <c r="T29" s="23"/>
      <c r="U29" s="24"/>
    </row>
    <row r="30" ht="24" customHeight="1" spans="1:21" x14ac:dyDescent="0.25">
      <c r="A30" s="23"/>
      <c r="B30" s="17"/>
      <c r="C30" s="17"/>
      <c r="D30" s="18"/>
      <c r="E30" s="19"/>
      <c r="F30" s="20"/>
      <c r="G30" s="20"/>
      <c r="H30" s="21" t="str">
        <f>IF(N(E30)&gt;0,ROUND(E30-IF(N(F30)&gt;0,ROUND(E30*MIN(N(G30),N(F30))/N(F30),2),E30),2),"")</f>
        <v/>
      </c>
      <c r="I30" s="18"/>
      <c r="J30" s="18"/>
      <c r="K30" s="18"/>
      <c r="L30" s="20"/>
      <c r="M30" s="20"/>
      <c r="N30" s="22" t="str">
        <f>IF(N(L30)&gt;0,MIN(1,N(M30)/N(L30)),"")</f>
        <v/>
      </c>
      <c r="O30" s="17"/>
      <c r="P30" s="17"/>
      <c r="Q30" s="17"/>
      <c r="R30" s="17"/>
      <c r="S30" s="17"/>
      <c r="T30" s="23"/>
      <c r="U30" s="24"/>
    </row>
    <row r="31" ht="24" customHeight="1" spans="1:21" x14ac:dyDescent="0.25">
      <c r="A31" s="23"/>
      <c r="B31" s="17"/>
      <c r="C31" s="17"/>
      <c r="D31" s="18"/>
      <c r="E31" s="19"/>
      <c r="F31" s="20"/>
      <c r="G31" s="20"/>
      <c r="H31" s="21" t="str">
        <f>IF(N(E31)&gt;0,ROUND(E31-IF(N(F31)&gt;0,ROUND(E31*MIN(N(G31),N(F31))/N(F31),2),E31),2),"")</f>
        <v/>
      </c>
      <c r="I31" s="18"/>
      <c r="J31" s="18"/>
      <c r="K31" s="18"/>
      <c r="L31" s="20"/>
      <c r="M31" s="20"/>
      <c r="N31" s="22" t="str">
        <f>IF(N(L31)&gt;0,MIN(1,N(M31)/N(L31)),"")</f>
        <v/>
      </c>
      <c r="O31" s="17"/>
      <c r="P31" s="17"/>
      <c r="Q31" s="17"/>
      <c r="R31" s="17"/>
      <c r="S31" s="17"/>
      <c r="T31" s="23"/>
      <c r="U31" s="24"/>
    </row>
    <row r="32" ht="24" customHeight="1" spans="1:21" x14ac:dyDescent="0.25">
      <c r="A32" s="23"/>
      <c r="B32" s="17"/>
      <c r="C32" s="17"/>
      <c r="D32" s="18"/>
      <c r="E32" s="19"/>
      <c r="F32" s="20"/>
      <c r="G32" s="20"/>
      <c r="H32" s="21" t="str">
        <f>IF(N(E32)&gt;0,ROUND(E32-IF(N(F32)&gt;0,ROUND(E32*MIN(N(G32),N(F32))/N(F32),2),E32),2),"")</f>
        <v/>
      </c>
      <c r="I32" s="18"/>
      <c r="J32" s="18"/>
      <c r="K32" s="18"/>
      <c r="L32" s="20"/>
      <c r="M32" s="20"/>
      <c r="N32" s="22" t="str">
        <f>IF(N(L32)&gt;0,MIN(1,N(M32)/N(L32)),"")</f>
        <v/>
      </c>
      <c r="O32" s="17"/>
      <c r="P32" s="17"/>
      <c r="Q32" s="17"/>
      <c r="R32" s="17"/>
      <c r="S32" s="17"/>
      <c r="T32" s="23"/>
      <c r="U32" s="24"/>
    </row>
    <row r="33" ht="24" customHeight="1" spans="1:21" x14ac:dyDescent="0.25">
      <c r="A33" s="23"/>
      <c r="B33" s="17"/>
      <c r="C33" s="17"/>
      <c r="D33" s="18"/>
      <c r="E33" s="19"/>
      <c r="F33" s="20"/>
      <c r="G33" s="20"/>
      <c r="H33" s="21" t="str">
        <f>IF(N(E33)&gt;0,ROUND(E33-IF(N(F33)&gt;0,ROUND(E33*MIN(N(G33),N(F33))/N(F33),2),E33),2),"")</f>
        <v/>
      </c>
      <c r="I33" s="18"/>
      <c r="J33" s="18"/>
      <c r="K33" s="18"/>
      <c r="L33" s="20"/>
      <c r="M33" s="20"/>
      <c r="N33" s="22" t="str">
        <f>IF(N(L33)&gt;0,MIN(1,N(M33)/N(L33)),"")</f>
        <v/>
      </c>
      <c r="O33" s="17"/>
      <c r="P33" s="17"/>
      <c r="Q33" s="17"/>
      <c r="R33" s="17"/>
      <c r="S33" s="17"/>
      <c r="T33" s="23"/>
      <c r="U33" s="24"/>
    </row>
    <row r="34" ht="24" customHeight="1" spans="1:21" x14ac:dyDescent="0.25">
      <c r="A34" s="23"/>
      <c r="B34" s="17"/>
      <c r="C34" s="17"/>
      <c r="D34" s="18"/>
      <c r="E34" s="19"/>
      <c r="F34" s="20"/>
      <c r="G34" s="20"/>
      <c r="H34" s="21" t="str">
        <f>IF(N(E34)&gt;0,ROUND(E34-IF(N(F34)&gt;0,ROUND(E34*MIN(N(G34),N(F34))/N(F34),2),E34),2),"")</f>
        <v/>
      </c>
      <c r="I34" s="18"/>
      <c r="J34" s="18"/>
      <c r="K34" s="18"/>
      <c r="L34" s="20"/>
      <c r="M34" s="20"/>
      <c r="N34" s="22" t="str">
        <f>IF(N(L34)&gt;0,MIN(1,N(M34)/N(L34)),"")</f>
        <v/>
      </c>
      <c r="O34" s="17"/>
      <c r="P34" s="17"/>
      <c r="Q34" s="17"/>
      <c r="R34" s="17"/>
      <c r="S34" s="17"/>
      <c r="T34" s="23"/>
      <c r="U34" s="24"/>
    </row>
    <row r="35" ht="24" customHeight="1" spans="1:21" x14ac:dyDescent="0.25">
      <c r="A35" s="23"/>
      <c r="B35" s="17"/>
      <c r="C35" s="17"/>
      <c r="D35" s="18"/>
      <c r="E35" s="19"/>
      <c r="F35" s="20"/>
      <c r="G35" s="20"/>
      <c r="H35" s="21" t="str">
        <f>IF(N(E35)&gt;0,ROUND(E35-IF(N(F35)&gt;0,ROUND(E35*MIN(N(G35),N(F35))/N(F35),2),E35),2),"")</f>
        <v/>
      </c>
      <c r="I35" s="18"/>
      <c r="J35" s="18"/>
      <c r="K35" s="18"/>
      <c r="L35" s="20"/>
      <c r="M35" s="20"/>
      <c r="N35" s="22" t="str">
        <f>IF(N(L35)&gt;0,MIN(1,N(M35)/N(L35)),"")</f>
        <v/>
      </c>
      <c r="O35" s="17"/>
      <c r="P35" s="17"/>
      <c r="Q35" s="17"/>
      <c r="R35" s="17"/>
      <c r="S35" s="17"/>
      <c r="T35" s="23"/>
      <c r="U35" s="24"/>
    </row>
    <row r="36" ht="24" customHeight="1" spans="1:21" x14ac:dyDescent="0.25">
      <c r="A36" s="23"/>
      <c r="B36" s="17"/>
      <c r="C36" s="17"/>
      <c r="D36" s="18"/>
      <c r="E36" s="19"/>
      <c r="F36" s="20"/>
      <c r="G36" s="20"/>
      <c r="H36" s="21" t="str">
        <f>IF(N(E36)&gt;0,ROUND(E36-IF(N(F36)&gt;0,ROUND(E36*MIN(N(G36),N(F36))/N(F36),2),E36),2),"")</f>
        <v/>
      </c>
      <c r="I36" s="18"/>
      <c r="J36" s="18"/>
      <c r="K36" s="18"/>
      <c r="L36" s="20"/>
      <c r="M36" s="20"/>
      <c r="N36" s="22" t="str">
        <f>IF(N(L36)&gt;0,MIN(1,N(M36)/N(L36)),"")</f>
        <v/>
      </c>
      <c r="O36" s="17"/>
      <c r="P36" s="17"/>
      <c r="Q36" s="17"/>
      <c r="R36" s="17"/>
      <c r="S36" s="17"/>
      <c r="T36" s="23"/>
      <c r="U36" s="24"/>
    </row>
    <row r="37" ht="24" customHeight="1" spans="1:21" x14ac:dyDescent="0.25">
      <c r="A37" s="23"/>
      <c r="B37" s="17"/>
      <c r="C37" s="17"/>
      <c r="D37" s="18"/>
      <c r="E37" s="19"/>
      <c r="F37" s="20"/>
      <c r="G37" s="20"/>
      <c r="H37" s="21" t="str">
        <f>IF(N(E37)&gt;0,ROUND(E37-IF(N(F37)&gt;0,ROUND(E37*MIN(N(G37),N(F37))/N(F37),2),E37),2),"")</f>
        <v/>
      </c>
      <c r="I37" s="18"/>
      <c r="J37" s="18"/>
      <c r="K37" s="18"/>
      <c r="L37" s="20"/>
      <c r="M37" s="20"/>
      <c r="N37" s="22" t="str">
        <f>IF(N(L37)&gt;0,MIN(1,N(M37)/N(L37)),"")</f>
        <v/>
      </c>
      <c r="O37" s="17"/>
      <c r="P37" s="17"/>
      <c r="Q37" s="17"/>
      <c r="R37" s="17"/>
      <c r="S37" s="17"/>
      <c r="T37" s="23"/>
      <c r="U37" s="24"/>
    </row>
    <row r="38" ht="24" customHeight="1" spans="1:21" x14ac:dyDescent="0.25">
      <c r="A38" s="23"/>
      <c r="B38" s="17"/>
      <c r="C38" s="17"/>
      <c r="D38" s="18"/>
      <c r="E38" s="19"/>
      <c r="F38" s="20"/>
      <c r="G38" s="20"/>
      <c r="H38" s="21" t="str">
        <f>IF(N(E38)&gt;0,ROUND(E38-IF(N(F38)&gt;0,ROUND(E38*MIN(N(G38),N(F38))/N(F38),2),E38),2),"")</f>
        <v/>
      </c>
      <c r="I38" s="18"/>
      <c r="J38" s="18"/>
      <c r="K38" s="18"/>
      <c r="L38" s="20"/>
      <c r="M38" s="20"/>
      <c r="N38" s="22" t="str">
        <f>IF(N(L38)&gt;0,MIN(1,N(M38)/N(L38)),"")</f>
        <v/>
      </c>
      <c r="O38" s="17"/>
      <c r="P38" s="17"/>
      <c r="Q38" s="17"/>
      <c r="R38" s="17"/>
      <c r="S38" s="17"/>
      <c r="T38" s="23"/>
      <c r="U38" s="24"/>
    </row>
    <row r="39" ht="24" customHeight="1" spans="1:21" x14ac:dyDescent="0.25">
      <c r="A39" s="23"/>
      <c r="B39" s="17"/>
      <c r="C39" s="17"/>
      <c r="D39" s="18"/>
      <c r="E39" s="19"/>
      <c r="F39" s="20"/>
      <c r="G39" s="20"/>
      <c r="H39" s="21" t="str">
        <f>IF(N(E39)&gt;0,ROUND(E39-IF(N(F39)&gt;0,ROUND(E39*MIN(N(G39),N(F39))/N(F39),2),E39),2),"")</f>
        <v/>
      </c>
      <c r="I39" s="18"/>
      <c r="J39" s="18"/>
      <c r="K39" s="18"/>
      <c r="L39" s="20"/>
      <c r="M39" s="20"/>
      <c r="N39" s="22" t="str">
        <f>IF(N(L39)&gt;0,MIN(1,N(M39)/N(L39)),"")</f>
        <v/>
      </c>
      <c r="O39" s="17"/>
      <c r="P39" s="17"/>
      <c r="Q39" s="17"/>
      <c r="R39" s="17"/>
      <c r="S39" s="17"/>
      <c r="T39" s="23"/>
      <c r="U39" s="24"/>
    </row>
    <row r="40" ht="24" customHeight="1" spans="1:21" x14ac:dyDescent="0.25">
      <c r="A40" s="23"/>
      <c r="B40" s="17"/>
      <c r="C40" s="17"/>
      <c r="D40" s="18"/>
      <c r="E40" s="19"/>
      <c r="F40" s="20"/>
      <c r="G40" s="20"/>
      <c r="H40" s="21" t="str">
        <f>IF(N(E40)&gt;0,ROUND(E40-IF(N(F40)&gt;0,ROUND(E40*MIN(N(G40),N(F40))/N(F40),2),E40),2),"")</f>
        <v/>
      </c>
      <c r="I40" s="18"/>
      <c r="J40" s="18"/>
      <c r="K40" s="18"/>
      <c r="L40" s="20"/>
      <c r="M40" s="20"/>
      <c r="N40" s="22" t="str">
        <f>IF(N(L40)&gt;0,MIN(1,N(M40)/N(L40)),"")</f>
        <v/>
      </c>
      <c r="O40" s="17"/>
      <c r="P40" s="17"/>
      <c r="Q40" s="17"/>
      <c r="R40" s="17"/>
      <c r="S40" s="17"/>
      <c r="T40" s="23"/>
      <c r="U40" s="24"/>
    </row>
    <row r="41" ht="24" customHeight="1" spans="1:21" x14ac:dyDescent="0.25">
      <c r="A41" s="23"/>
      <c r="B41" s="17"/>
      <c r="C41" s="17"/>
      <c r="D41" s="18"/>
      <c r="E41" s="19"/>
      <c r="F41" s="20"/>
      <c r="G41" s="20"/>
      <c r="H41" s="21" t="str">
        <f>IF(N(E41)&gt;0,ROUND(E41-IF(N(F41)&gt;0,ROUND(E41*MIN(N(G41),N(F41))/N(F41),2),E41),2),"")</f>
        <v/>
      </c>
      <c r="I41" s="18"/>
      <c r="J41" s="18"/>
      <c r="K41" s="18"/>
      <c r="L41" s="20"/>
      <c r="M41" s="20"/>
      <c r="N41" s="22" t="str">
        <f>IF(N(L41)&gt;0,MIN(1,N(M41)/N(L41)),"")</f>
        <v/>
      </c>
      <c r="O41" s="17"/>
      <c r="P41" s="17"/>
      <c r="Q41" s="17"/>
      <c r="R41" s="17"/>
      <c r="S41" s="17"/>
      <c r="T41" s="23"/>
      <c r="U41" s="24"/>
    </row>
    <row r="42" ht="24" customHeight="1" spans="1:21" x14ac:dyDescent="0.25">
      <c r="A42" s="23"/>
      <c r="B42" s="17"/>
      <c r="C42" s="17"/>
      <c r="D42" s="18"/>
      <c r="E42" s="19"/>
      <c r="F42" s="20"/>
      <c r="G42" s="20"/>
      <c r="H42" s="21" t="str">
        <f>IF(N(E42)&gt;0,ROUND(E42-IF(N(F42)&gt;0,ROUND(E42*MIN(N(G42),N(F42))/N(F42),2),E42),2),"")</f>
        <v/>
      </c>
      <c r="I42" s="18"/>
      <c r="J42" s="18"/>
      <c r="K42" s="18"/>
      <c r="L42" s="20"/>
      <c r="M42" s="20"/>
      <c r="N42" s="22" t="str">
        <f>IF(N(L42)&gt;0,MIN(1,N(M42)/N(L42)),"")</f>
        <v/>
      </c>
      <c r="O42" s="17"/>
      <c r="P42" s="17"/>
      <c r="Q42" s="17"/>
      <c r="R42" s="17"/>
      <c r="S42" s="17"/>
      <c r="T42" s="23"/>
      <c r="U42" s="24"/>
    </row>
  </sheetData>
  <autoFilter ref="A1:U1"/>
  <conditionalFormatting sqref="O2:O42">
    <cfRule type="cellIs" dxfId="0" priority="1" operator="equal">
      <formula>"Concluído"</formula>
    </cfRule>
    <cfRule type="cellIs" dxfId="1" priority="2" operator="equal">
      <formula>"Em andamento"</formula>
    </cfRule>
    <cfRule type="cellIs" dxfId="2" priority="3" operator="equal">
      <formula>"Pausado"</formula>
    </cfRule>
    <cfRule type="cellIs" dxfId="3" priority="4" operator="equal">
      <formula>"Não iniciado"</formula>
    </cfRule>
  </conditionalFormatting>
  <conditionalFormatting sqref="P2:P42">
    <cfRule type="cellIs" dxfId="4" priority="10" operator="equal">
      <formula>"Alta"</formula>
    </cfRule>
  </conditionalFormatting>
  <conditionalFormatting sqref="H2:H42">
    <cfRule type="cellIs" dxfId="5" priority="11" operator="greaterThan">
      <formula>0</formula>
    </cfRule>
  </conditionalFormatting>
  <conditionalFormatting sqref="K2:K42">
    <cfRule type="expression" dxfId="6" priority="12">
      <formula>AND(ISNUMBER(K2),K2&lt;TODAY())</formula>
    </cfRule>
    <cfRule type="expression" dxfId="7" priority="13">
      <formula>AND(ISNUMBER(K2),K2&gt;=TODAY(),K2&lt;=TODAY()+30)</formula>
    </cfRule>
  </conditionalFormatting>
  <conditionalFormatting sqref="N2:N42">
    <cfRule type="dataBar" priority="14">
      <dataBar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{CF8F8B1A-C215-4C90-BCBD-0EEA4ABB2CBE}</x14:id>
        </ext>
      </extLst>
    </cfRule>
  </conditionalFormatting>
  <dataValidations count="16">
    <dataValidation type="date" operator="greaterThan" allowBlank="1" showErrorMessage="1" errorStyle="stop" errorTitle="Data inválida" error="Use uma data no formato dd/mm/aaaa." sqref="D10:D42">
      <formula1>25569.00042275463</formula1>
    </dataValidation>
    <dataValidation type="date" operator="greaterThan" allowBlank="1" showErrorMessage="1" errorStyle="stop" errorTitle="Data inválida" error="Use uma data no formato dd/mm/aaaa." sqref="D2:D42">
      <formula1>25569.00042275463</formula1>
    </dataValidation>
    <dataValidation type="decimal" operator="greaterThanOrEqual" allowBlank="1" showErrorMessage="1" errorStyle="stop" errorTitle="Valor inválido" error="Informe um valor numérico maior ou igual a zero." sqref="E10:E42">
      <formula1>0</formula1>
    </dataValidation>
    <dataValidation type="decimal" operator="greaterThanOrEqual" allowBlank="1" showErrorMessage="1" errorStyle="stop" errorTitle="Valor inválido" error="Informe um valor numérico maior ou igual a zero." sqref="E2:E42">
      <formula1>0</formula1>
    </dataValidation>
    <dataValidation type="whole" operator="greaterThanOrEqual" allowBlank="1" showErrorMessage="1" errorStyle="stop" errorTitle="Número inválido" error="Informe um número inteiro maior ou igual a zero." sqref="F10:G42">
      <formula1>0</formula1>
    </dataValidation>
    <dataValidation type="whole" operator="greaterThanOrEqual" allowBlank="1" showErrorMessage="1" errorStyle="stop" errorTitle="Número inválido" error="Informe um número inteiro maior ou igual a zero." sqref="F2:G42">
      <formula1>0</formula1>
    </dataValidation>
    <dataValidation type="date" operator="greaterThan" allowBlank="1" showErrorMessage="1" errorStyle="stop" errorTitle="Data inválida" error="Use uma data no formato dd/mm/aaaa." sqref="I10:K42">
      <formula1>25569.00042275463</formula1>
    </dataValidation>
    <dataValidation type="date" operator="greaterThan" allowBlank="1" showErrorMessage="1" errorStyle="stop" errorTitle="Data inválida" error="Use uma data no formato dd/mm/aaaa." sqref="I2:K42">
      <formula1>25569.00042275463</formula1>
    </dataValidation>
    <dataValidation type="whole" operator="greaterThanOrEqual" allowBlank="1" showErrorMessage="1" errorStyle="stop" errorTitle="Número inválido" error="Informe um número inteiro maior ou igual a zero." sqref="L10:M42">
      <formula1>0</formula1>
    </dataValidation>
    <dataValidation type="whole" operator="greaterThanOrEqual" allowBlank="1" showErrorMessage="1" errorStyle="stop" errorTitle="Número inválido" error="Informe um número inteiro maior ou igual a zero." sqref="L2:M42">
      <formula1>0</formula1>
    </dataValidation>
    <dataValidation type="list" allowBlank="1" showErrorMessage="1" errorStyle="warning" errorTitle="Valor fora da lista" error="Escolha um valor da lista." sqref="O10:O42">
      <formula1>Listas!$A$2:$A$5</formula1>
    </dataValidation>
    <dataValidation type="list" allowBlank="1" showErrorMessage="1" errorStyle="warning" errorTitle="Valor fora da lista" error="Escolha um valor da lista." sqref="O2:O42">
      <formula1>Listas!$A$2:$A$5</formula1>
    </dataValidation>
    <dataValidation type="list" allowBlank="1" showErrorMessage="1" errorStyle="warning" errorTitle="Valor fora da lista" error="Escolha um valor da lista." sqref="P10:P42">
      <formula1>Listas!$B$2:$B$4</formula1>
    </dataValidation>
    <dataValidation type="list" allowBlank="1" showErrorMessage="1" errorStyle="warning" errorTitle="Valor fora da lista" error="Escolha um valor da lista." sqref="P2:P42">
      <formula1>Listas!$B$2:$B$4</formula1>
    </dataValidation>
    <dataValidation type="list" allowBlank="1" showErrorMessage="1" errorStyle="warning" errorTitle="Valor fora da lista" error="Escolha um valor da lista." sqref="Q10:Q42">
      <formula1>Listas!$C$2:$C$5</formula1>
    </dataValidation>
    <dataValidation type="list" allowBlank="1" showErrorMessage="1" errorStyle="warning" errorTitle="Valor fora da lista" error="Escolha um valor da lista." sqref="Q2:Q42">
      <formula1>Listas!$C$2:$C$5</formula1>
    </dataValidation>
  </dataValidations>
  <pageSetup paperSize="9" orientation="landscape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8F8B1A-C215-4C90-BCBD-0EEA4ABB2CBE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N2:N42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W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4" width="24" customWidth="1"/>
    <col min="5" max="6" width="15" customWidth="1"/>
    <col min="7" max="7" width="18" customWidth="1"/>
    <col min="8" max="9" width="14" customWidth="1"/>
    <col min="10" max="10" width="18" customWidth="1"/>
    <col min="11" max="13" width="15" customWidth="1"/>
    <col min="14" max="15" width="14" customWidth="1"/>
    <col min="16" max="19" width="16" customWidth="1"/>
    <col min="20" max="20" width="22" customWidth="1"/>
    <col min="21" max="21" width="30" customWidth="1"/>
    <col min="22" max="22" width="34" customWidth="1"/>
    <col min="23" max="23" width="12" customWidth="1"/>
  </cols>
  <sheetData>
    <row r="1" ht="34" customHeight="1" spans="1:23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26</v>
      </c>
      <c r="G1" s="14" t="s">
        <v>12</v>
      </c>
      <c r="H1" s="14" t="s">
        <v>27</v>
      </c>
      <c r="I1" s="14" t="s">
        <v>28</v>
      </c>
      <c r="J1" s="15" t="s">
        <v>14</v>
      </c>
      <c r="K1" s="14" t="s">
        <v>29</v>
      </c>
      <c r="L1" s="14" t="s">
        <v>30</v>
      </c>
      <c r="M1" s="14" t="s">
        <v>31</v>
      </c>
      <c r="N1" s="14" t="s">
        <v>56</v>
      </c>
      <c r="O1" s="14" t="s">
        <v>57</v>
      </c>
      <c r="P1" s="15" t="s">
        <v>34</v>
      </c>
      <c r="Q1" s="14" t="s">
        <v>35</v>
      </c>
      <c r="R1" s="14" t="s">
        <v>36</v>
      </c>
      <c r="S1" s="14" t="s">
        <v>37</v>
      </c>
      <c r="T1" s="14" t="s">
        <v>38</v>
      </c>
      <c r="U1" s="14" t="s">
        <v>39</v>
      </c>
      <c r="V1" s="14" t="s">
        <v>40</v>
      </c>
      <c r="W1" s="14" t="s">
        <v>41</v>
      </c>
    </row>
    <row r="2" ht="24" customHeight="1" spans="1:23" x14ac:dyDescent="0.25">
      <c r="A2" s="16" t="s">
        <v>58</v>
      </c>
      <c r="B2" s="17" t="s">
        <v>59</v>
      </c>
      <c r="C2" s="17" t="s">
        <v>60</v>
      </c>
      <c r="D2" s="17" t="s">
        <v>61</v>
      </c>
      <c r="E2" s="18">
        <v>46458</v>
      </c>
      <c r="F2" s="18">
        <v>46270</v>
      </c>
      <c r="G2" s="19">
        <v>1490</v>
      </c>
      <c r="H2" s="20">
        <v>10</v>
      </c>
      <c r="I2" s="20">
        <v>1</v>
      </c>
      <c r="J2" s="21">
        <f>IF(N(G2)&gt;0,ROUND(G2-IF(N(H2)&gt;0,ROUND(G2*MIN(N(I2),N(H2))/N(H2),2),G2),2),"")</f>
        <v>1341</v>
      </c>
      <c r="K2" s="18">
        <v>46280</v>
      </c>
      <c r="L2" s="18">
        <v>46448</v>
      </c>
      <c r="M2" s="18">
        <v>46568</v>
      </c>
      <c r="N2" s="20">
        <v>180</v>
      </c>
      <c r="O2" s="20">
        <v>45</v>
      </c>
      <c r="P2" s="22">
        <f>IF(N(N2)&gt;0,MIN(1,N(O2)/N(N2)),"")</f>
        <v>0.25</v>
      </c>
      <c r="Q2" s="17" t="s">
        <v>45</v>
      </c>
      <c r="R2" s="17" t="s">
        <v>46</v>
      </c>
      <c r="S2" s="17" t="s">
        <v>62</v>
      </c>
      <c r="T2" s="17" t="s">
        <v>48</v>
      </c>
      <c r="U2" s="17"/>
      <c r="V2" s="23"/>
      <c r="W2" s="24" t="s">
        <v>63</v>
      </c>
    </row>
    <row r="3" ht="24" customHeight="1" spans="1:23" x14ac:dyDescent="0.25">
      <c r="A3" s="23"/>
      <c r="B3" s="17"/>
      <c r="C3" s="17"/>
      <c r="D3" s="17"/>
      <c r="E3" s="18"/>
      <c r="F3" s="18"/>
      <c r="G3" s="19"/>
      <c r="H3" s="20"/>
      <c r="I3" s="20"/>
      <c r="J3" s="21" t="str">
        <f>IF(N(G3)&gt;0,ROUND(G3-IF(N(H3)&gt;0,ROUND(G3*MIN(N(I3),N(H3))/N(H3),2),G3),2),"")</f>
        <v/>
      </c>
      <c r="K3" s="18"/>
      <c r="L3" s="18"/>
      <c r="M3" s="18"/>
      <c r="N3" s="20"/>
      <c r="O3" s="20"/>
      <c r="P3" s="22" t="str">
        <f>IF(N(N3)&gt;0,MIN(1,N(O3)/N(N3)),"")</f>
        <v/>
      </c>
      <c r="Q3" s="17"/>
      <c r="R3" s="17"/>
      <c r="S3" s="17"/>
      <c r="T3" s="17"/>
      <c r="U3" s="17"/>
      <c r="V3" s="23"/>
      <c r="W3" s="24"/>
    </row>
    <row r="4" ht="24" customHeight="1" spans="1:23" x14ac:dyDescent="0.25">
      <c r="A4" s="23"/>
      <c r="B4" s="17"/>
      <c r="C4" s="17"/>
      <c r="D4" s="17"/>
      <c r="E4" s="18"/>
      <c r="F4" s="18"/>
      <c r="G4" s="19"/>
      <c r="H4" s="20"/>
      <c r="I4" s="20"/>
      <c r="J4" s="21" t="str">
        <f>IF(N(G4)&gt;0,ROUND(G4-IF(N(H4)&gt;0,ROUND(G4*MIN(N(I4),N(H4))/N(H4),2),G4),2),"")</f>
        <v/>
      </c>
      <c r="K4" s="18"/>
      <c r="L4" s="18"/>
      <c r="M4" s="18"/>
      <c r="N4" s="20"/>
      <c r="O4" s="20"/>
      <c r="P4" s="22" t="str">
        <f>IF(N(N4)&gt;0,MIN(1,N(O4)/N(N4)),"")</f>
        <v/>
      </c>
      <c r="Q4" s="17"/>
      <c r="R4" s="17"/>
      <c r="S4" s="17"/>
      <c r="T4" s="17"/>
      <c r="U4" s="17"/>
      <c r="V4" s="23"/>
      <c r="W4" s="24"/>
    </row>
    <row r="5" ht="24" customHeight="1" spans="1:23" x14ac:dyDescent="0.25">
      <c r="A5" s="23"/>
      <c r="B5" s="17"/>
      <c r="C5" s="17"/>
      <c r="D5" s="17"/>
      <c r="E5" s="18"/>
      <c r="F5" s="18"/>
      <c r="G5" s="19"/>
      <c r="H5" s="20"/>
      <c r="I5" s="20"/>
      <c r="J5" s="21" t="str">
        <f>IF(N(G5)&gt;0,ROUND(G5-IF(N(H5)&gt;0,ROUND(G5*MIN(N(I5),N(H5))/N(H5),2),G5),2),"")</f>
        <v/>
      </c>
      <c r="K5" s="18"/>
      <c r="L5" s="18"/>
      <c r="M5" s="18"/>
      <c r="N5" s="20"/>
      <c r="O5" s="20"/>
      <c r="P5" s="22" t="str">
        <f>IF(N(N5)&gt;0,MIN(1,N(O5)/N(N5)),"")</f>
        <v/>
      </c>
      <c r="Q5" s="17"/>
      <c r="R5" s="17"/>
      <c r="S5" s="17"/>
      <c r="T5" s="17"/>
      <c r="U5" s="17"/>
      <c r="V5" s="23"/>
      <c r="W5" s="24"/>
    </row>
    <row r="6" ht="24" customHeight="1" spans="1:23" x14ac:dyDescent="0.25">
      <c r="A6" s="23"/>
      <c r="B6" s="17"/>
      <c r="C6" s="17"/>
      <c r="D6" s="17"/>
      <c r="E6" s="18"/>
      <c r="F6" s="18"/>
      <c r="G6" s="19"/>
      <c r="H6" s="20"/>
      <c r="I6" s="20"/>
      <c r="J6" s="21" t="str">
        <f>IF(N(G6)&gt;0,ROUND(G6-IF(N(H6)&gt;0,ROUND(G6*MIN(N(I6),N(H6))/N(H6),2),G6),2),"")</f>
        <v/>
      </c>
      <c r="K6" s="18"/>
      <c r="L6" s="18"/>
      <c r="M6" s="18"/>
      <c r="N6" s="20"/>
      <c r="O6" s="20"/>
      <c r="P6" s="22" t="str">
        <f>IF(N(N6)&gt;0,MIN(1,N(O6)/N(N6)),"")</f>
        <v/>
      </c>
      <c r="Q6" s="17"/>
      <c r="R6" s="17"/>
      <c r="S6" s="17"/>
      <c r="T6" s="17"/>
      <c r="U6" s="17"/>
      <c r="V6" s="23"/>
      <c r="W6" s="24"/>
    </row>
    <row r="7" ht="24" customHeight="1" spans="1:23" x14ac:dyDescent="0.25">
      <c r="A7" s="23"/>
      <c r="B7" s="17"/>
      <c r="C7" s="17"/>
      <c r="D7" s="17"/>
      <c r="E7" s="18"/>
      <c r="F7" s="18"/>
      <c r="G7" s="19"/>
      <c r="H7" s="20"/>
      <c r="I7" s="20"/>
      <c r="J7" s="21" t="str">
        <f>IF(N(G7)&gt;0,ROUND(G7-IF(N(H7)&gt;0,ROUND(G7*MIN(N(I7),N(H7))/N(H7),2),G7),2),"")</f>
        <v/>
      </c>
      <c r="K7" s="18"/>
      <c r="L7" s="18"/>
      <c r="M7" s="18"/>
      <c r="N7" s="20"/>
      <c r="O7" s="20"/>
      <c r="P7" s="22" t="str">
        <f>IF(N(N7)&gt;0,MIN(1,N(O7)/N(N7)),"")</f>
        <v/>
      </c>
      <c r="Q7" s="17"/>
      <c r="R7" s="17"/>
      <c r="S7" s="17"/>
      <c r="T7" s="17"/>
      <c r="U7" s="17"/>
      <c r="V7" s="23"/>
      <c r="W7" s="24"/>
    </row>
    <row r="8" ht="24" customHeight="1" spans="1:23" x14ac:dyDescent="0.25">
      <c r="A8" s="23"/>
      <c r="B8" s="17"/>
      <c r="C8" s="17"/>
      <c r="D8" s="17"/>
      <c r="E8" s="18"/>
      <c r="F8" s="18"/>
      <c r="G8" s="19"/>
      <c r="H8" s="20"/>
      <c r="I8" s="20"/>
      <c r="J8" s="21" t="str">
        <f>IF(N(G8)&gt;0,ROUND(G8-IF(N(H8)&gt;0,ROUND(G8*MIN(N(I8),N(H8))/N(H8),2),G8),2),"")</f>
        <v/>
      </c>
      <c r="K8" s="18"/>
      <c r="L8" s="18"/>
      <c r="M8" s="18"/>
      <c r="N8" s="20"/>
      <c r="O8" s="20"/>
      <c r="P8" s="22" t="str">
        <f>IF(N(N8)&gt;0,MIN(1,N(O8)/N(N8)),"")</f>
        <v/>
      </c>
      <c r="Q8" s="17"/>
      <c r="R8" s="17"/>
      <c r="S8" s="17"/>
      <c r="T8" s="17"/>
      <c r="U8" s="17"/>
      <c r="V8" s="23"/>
      <c r="W8" s="24"/>
    </row>
    <row r="9" ht="24" customHeight="1" spans="1:23" x14ac:dyDescent="0.25">
      <c r="A9" s="23"/>
      <c r="B9" s="17"/>
      <c r="C9" s="17"/>
      <c r="D9" s="17"/>
      <c r="E9" s="18"/>
      <c r="F9" s="18"/>
      <c r="G9" s="19"/>
      <c r="H9" s="20"/>
      <c r="I9" s="20"/>
      <c r="J9" s="21" t="str">
        <f>IF(N(G9)&gt;0,ROUND(G9-IF(N(H9)&gt;0,ROUND(G9*MIN(N(I9),N(H9))/N(H9),2),G9),2),"")</f>
        <v/>
      </c>
      <c r="K9" s="18"/>
      <c r="L9" s="18"/>
      <c r="M9" s="18"/>
      <c r="N9" s="20"/>
      <c r="O9" s="20"/>
      <c r="P9" s="22" t="str">
        <f>IF(N(N9)&gt;0,MIN(1,N(O9)/N(N9)),"")</f>
        <v/>
      </c>
      <c r="Q9" s="17"/>
      <c r="R9" s="17"/>
      <c r="S9" s="17"/>
      <c r="T9" s="17"/>
      <c r="U9" s="17"/>
      <c r="V9" s="23"/>
      <c r="W9" s="24"/>
    </row>
    <row r="10" ht="24" customHeight="1" spans="1:23" x14ac:dyDescent="0.25">
      <c r="A10" s="23"/>
      <c r="B10" s="17"/>
      <c r="C10" s="17"/>
      <c r="D10" s="17"/>
      <c r="E10" s="18"/>
      <c r="F10" s="18"/>
      <c r="G10" s="19"/>
      <c r="H10" s="20"/>
      <c r="I10" s="20"/>
      <c r="J10" s="21" t="str">
        <f>IF(N(G10)&gt;0,ROUND(G10-IF(N(H10)&gt;0,ROUND(G10*MIN(N(I10),N(H10))/N(H10),2),G10),2),"")</f>
        <v/>
      </c>
      <c r="K10" s="18"/>
      <c r="L10" s="18"/>
      <c r="M10" s="18"/>
      <c r="N10" s="20"/>
      <c r="O10" s="20"/>
      <c r="P10" s="22" t="str">
        <f>IF(N(N10)&gt;0,MIN(1,N(O10)/N(N10)),"")</f>
        <v/>
      </c>
      <c r="Q10" s="17"/>
      <c r="R10" s="17"/>
      <c r="S10" s="17"/>
      <c r="T10" s="17"/>
      <c r="U10" s="17"/>
      <c r="V10" s="23"/>
      <c r="W10" s="24"/>
    </row>
    <row r="11" ht="24" customHeight="1" spans="1:23" x14ac:dyDescent="0.25">
      <c r="A11" s="23"/>
      <c r="B11" s="17"/>
      <c r="C11" s="17"/>
      <c r="D11" s="17"/>
      <c r="E11" s="18"/>
      <c r="F11" s="18"/>
      <c r="G11" s="19"/>
      <c r="H11" s="20"/>
      <c r="I11" s="20"/>
      <c r="J11" s="21" t="str">
        <f>IF(N(G11)&gt;0,ROUND(G11-IF(N(H11)&gt;0,ROUND(G11*MIN(N(I11),N(H11))/N(H11),2),G11),2),"")</f>
        <v/>
      </c>
      <c r="K11" s="18"/>
      <c r="L11" s="18"/>
      <c r="M11" s="18"/>
      <c r="N11" s="20"/>
      <c r="O11" s="20"/>
      <c r="P11" s="22" t="str">
        <f>IF(N(N11)&gt;0,MIN(1,N(O11)/N(N11)),"")</f>
        <v/>
      </c>
      <c r="Q11" s="17"/>
      <c r="R11" s="17"/>
      <c r="S11" s="17"/>
      <c r="T11" s="17"/>
      <c r="U11" s="17"/>
      <c r="V11" s="23"/>
      <c r="W11" s="24"/>
    </row>
    <row r="12" ht="24" customHeight="1" spans="1:23" x14ac:dyDescent="0.25">
      <c r="A12" s="23"/>
      <c r="B12" s="17"/>
      <c r="C12" s="17"/>
      <c r="D12" s="17"/>
      <c r="E12" s="18"/>
      <c r="F12" s="18"/>
      <c r="G12" s="19"/>
      <c r="H12" s="20"/>
      <c r="I12" s="20"/>
      <c r="J12" s="21" t="str">
        <f>IF(N(G12)&gt;0,ROUND(G12-IF(N(H12)&gt;0,ROUND(G12*MIN(N(I12),N(H12))/N(H12),2),G12),2),"")</f>
        <v/>
      </c>
      <c r="K12" s="18"/>
      <c r="L12" s="18"/>
      <c r="M12" s="18"/>
      <c r="N12" s="20"/>
      <c r="O12" s="20"/>
      <c r="P12" s="22" t="str">
        <f>IF(N(N12)&gt;0,MIN(1,N(O12)/N(N12)),"")</f>
        <v/>
      </c>
      <c r="Q12" s="17"/>
      <c r="R12" s="17"/>
      <c r="S12" s="17"/>
      <c r="T12" s="17"/>
      <c r="U12" s="17"/>
      <c r="V12" s="23"/>
      <c r="W12" s="24"/>
    </row>
    <row r="13" ht="24" customHeight="1" spans="1:23" x14ac:dyDescent="0.25">
      <c r="A13" s="23"/>
      <c r="B13" s="17"/>
      <c r="C13" s="17"/>
      <c r="D13" s="17"/>
      <c r="E13" s="18"/>
      <c r="F13" s="18"/>
      <c r="G13" s="19"/>
      <c r="H13" s="20"/>
      <c r="I13" s="20"/>
      <c r="J13" s="21" t="str">
        <f>IF(N(G13)&gt;0,ROUND(G13-IF(N(H13)&gt;0,ROUND(G13*MIN(N(I13),N(H13))/N(H13),2),G13),2),"")</f>
        <v/>
      </c>
      <c r="K13" s="18"/>
      <c r="L13" s="18"/>
      <c r="M13" s="18"/>
      <c r="N13" s="20"/>
      <c r="O13" s="20"/>
      <c r="P13" s="22" t="str">
        <f>IF(N(N13)&gt;0,MIN(1,N(O13)/N(N13)),"")</f>
        <v/>
      </c>
      <c r="Q13" s="17"/>
      <c r="R13" s="17"/>
      <c r="S13" s="17"/>
      <c r="T13" s="17"/>
      <c r="U13" s="17"/>
      <c r="V13" s="23"/>
      <c r="W13" s="24"/>
    </row>
    <row r="14" ht="24" customHeight="1" spans="1:23" x14ac:dyDescent="0.25">
      <c r="A14" s="23"/>
      <c r="B14" s="17"/>
      <c r="C14" s="17"/>
      <c r="D14" s="17"/>
      <c r="E14" s="18"/>
      <c r="F14" s="18"/>
      <c r="G14" s="19"/>
      <c r="H14" s="20"/>
      <c r="I14" s="20"/>
      <c r="J14" s="21" t="str">
        <f>IF(N(G14)&gt;0,ROUND(G14-IF(N(H14)&gt;0,ROUND(G14*MIN(N(I14),N(H14))/N(H14),2),G14),2),"")</f>
        <v/>
      </c>
      <c r="K14" s="18"/>
      <c r="L14" s="18"/>
      <c r="M14" s="18"/>
      <c r="N14" s="20"/>
      <c r="O14" s="20"/>
      <c r="P14" s="22" t="str">
        <f>IF(N(N14)&gt;0,MIN(1,N(O14)/N(N14)),"")</f>
        <v/>
      </c>
      <c r="Q14" s="17"/>
      <c r="R14" s="17"/>
      <c r="S14" s="17"/>
      <c r="T14" s="17"/>
      <c r="U14" s="17"/>
      <c r="V14" s="23"/>
      <c r="W14" s="24"/>
    </row>
    <row r="15" ht="24" customHeight="1" spans="1:23" x14ac:dyDescent="0.25">
      <c r="A15" s="23"/>
      <c r="B15" s="17"/>
      <c r="C15" s="17"/>
      <c r="D15" s="17"/>
      <c r="E15" s="18"/>
      <c r="F15" s="18"/>
      <c r="G15" s="19"/>
      <c r="H15" s="20"/>
      <c r="I15" s="20"/>
      <c r="J15" s="21" t="str">
        <f>IF(N(G15)&gt;0,ROUND(G15-IF(N(H15)&gt;0,ROUND(G15*MIN(N(I15),N(H15))/N(H15),2),G15),2),"")</f>
        <v/>
      </c>
      <c r="K15" s="18"/>
      <c r="L15" s="18"/>
      <c r="M15" s="18"/>
      <c r="N15" s="20"/>
      <c r="O15" s="20"/>
      <c r="P15" s="22" t="str">
        <f>IF(N(N15)&gt;0,MIN(1,N(O15)/N(N15)),"")</f>
        <v/>
      </c>
      <c r="Q15" s="17"/>
      <c r="R15" s="17"/>
      <c r="S15" s="17"/>
      <c r="T15" s="17"/>
      <c r="U15" s="17"/>
      <c r="V15" s="23"/>
      <c r="W15" s="24"/>
    </row>
    <row r="16" ht="24" customHeight="1" spans="1:23" x14ac:dyDescent="0.25">
      <c r="A16" s="23"/>
      <c r="B16" s="17"/>
      <c r="C16" s="17"/>
      <c r="D16" s="17"/>
      <c r="E16" s="18"/>
      <c r="F16" s="18"/>
      <c r="G16" s="19"/>
      <c r="H16" s="20"/>
      <c r="I16" s="20"/>
      <c r="J16" s="21" t="str">
        <f>IF(N(G16)&gt;0,ROUND(G16-IF(N(H16)&gt;0,ROUND(G16*MIN(N(I16),N(H16))/N(H16),2),G16),2),"")</f>
        <v/>
      </c>
      <c r="K16" s="18"/>
      <c r="L16" s="18"/>
      <c r="M16" s="18"/>
      <c r="N16" s="20"/>
      <c r="O16" s="20"/>
      <c r="P16" s="22" t="str">
        <f>IF(N(N16)&gt;0,MIN(1,N(O16)/N(N16)),"")</f>
        <v/>
      </c>
      <c r="Q16" s="17"/>
      <c r="R16" s="17"/>
      <c r="S16" s="17"/>
      <c r="T16" s="17"/>
      <c r="U16" s="17"/>
      <c r="V16" s="23"/>
      <c r="W16" s="24"/>
    </row>
    <row r="17" ht="24" customHeight="1" spans="1:23" x14ac:dyDescent="0.25">
      <c r="A17" s="23"/>
      <c r="B17" s="17"/>
      <c r="C17" s="17"/>
      <c r="D17" s="17"/>
      <c r="E17" s="18"/>
      <c r="F17" s="18"/>
      <c r="G17" s="19"/>
      <c r="H17" s="20"/>
      <c r="I17" s="20"/>
      <c r="J17" s="21" t="str">
        <f>IF(N(G17)&gt;0,ROUND(G17-IF(N(H17)&gt;0,ROUND(G17*MIN(N(I17),N(H17))/N(H17),2),G17),2),"")</f>
        <v/>
      </c>
      <c r="K17" s="18"/>
      <c r="L17" s="18"/>
      <c r="M17" s="18"/>
      <c r="N17" s="20"/>
      <c r="O17" s="20"/>
      <c r="P17" s="22" t="str">
        <f>IF(N(N17)&gt;0,MIN(1,N(O17)/N(N17)),"")</f>
        <v/>
      </c>
      <c r="Q17" s="17"/>
      <c r="R17" s="17"/>
      <c r="S17" s="17"/>
      <c r="T17" s="17"/>
      <c r="U17" s="17"/>
      <c r="V17" s="23"/>
      <c r="W17" s="24"/>
    </row>
    <row r="18" ht="24" customHeight="1" spans="1:23" x14ac:dyDescent="0.25">
      <c r="A18" s="23"/>
      <c r="B18" s="17"/>
      <c r="C18" s="17"/>
      <c r="D18" s="17"/>
      <c r="E18" s="18"/>
      <c r="F18" s="18"/>
      <c r="G18" s="19"/>
      <c r="H18" s="20"/>
      <c r="I18" s="20"/>
      <c r="J18" s="21" t="str">
        <f>IF(N(G18)&gt;0,ROUND(G18-IF(N(H18)&gt;0,ROUND(G18*MIN(N(I18),N(H18))/N(H18),2),G18),2),"")</f>
        <v/>
      </c>
      <c r="K18" s="18"/>
      <c r="L18" s="18"/>
      <c r="M18" s="18"/>
      <c r="N18" s="20"/>
      <c r="O18" s="20"/>
      <c r="P18" s="22" t="str">
        <f>IF(N(N18)&gt;0,MIN(1,N(O18)/N(N18)),"")</f>
        <v/>
      </c>
      <c r="Q18" s="17"/>
      <c r="R18" s="17"/>
      <c r="S18" s="17"/>
      <c r="T18" s="17"/>
      <c r="U18" s="17"/>
      <c r="V18" s="23"/>
      <c r="W18" s="24"/>
    </row>
    <row r="19" ht="24" customHeight="1" spans="1:23" x14ac:dyDescent="0.25">
      <c r="A19" s="23"/>
      <c r="B19" s="17"/>
      <c r="C19" s="17"/>
      <c r="D19" s="17"/>
      <c r="E19" s="18"/>
      <c r="F19" s="18"/>
      <c r="G19" s="19"/>
      <c r="H19" s="20"/>
      <c r="I19" s="20"/>
      <c r="J19" s="21" t="str">
        <f>IF(N(G19)&gt;0,ROUND(G19-IF(N(H19)&gt;0,ROUND(G19*MIN(N(I19),N(H19))/N(H19),2),G19),2),"")</f>
        <v/>
      </c>
      <c r="K19" s="18"/>
      <c r="L19" s="18"/>
      <c r="M19" s="18"/>
      <c r="N19" s="20"/>
      <c r="O19" s="20"/>
      <c r="P19" s="22" t="str">
        <f>IF(N(N19)&gt;0,MIN(1,N(O19)/N(N19)),"")</f>
        <v/>
      </c>
      <c r="Q19" s="17"/>
      <c r="R19" s="17"/>
      <c r="S19" s="17"/>
      <c r="T19" s="17"/>
      <c r="U19" s="17"/>
      <c r="V19" s="23"/>
      <c r="W19" s="24"/>
    </row>
    <row r="20" ht="24" customHeight="1" spans="1:23" x14ac:dyDescent="0.25">
      <c r="A20" s="23"/>
      <c r="B20" s="17"/>
      <c r="C20" s="17"/>
      <c r="D20" s="17"/>
      <c r="E20" s="18"/>
      <c r="F20" s="18"/>
      <c r="G20" s="19"/>
      <c r="H20" s="20"/>
      <c r="I20" s="20"/>
      <c r="J20" s="21" t="str">
        <f>IF(N(G20)&gt;0,ROUND(G20-IF(N(H20)&gt;0,ROUND(G20*MIN(N(I20),N(H20))/N(H20),2),G20),2),"")</f>
        <v/>
      </c>
      <c r="K20" s="18"/>
      <c r="L20" s="18"/>
      <c r="M20" s="18"/>
      <c r="N20" s="20"/>
      <c r="O20" s="20"/>
      <c r="P20" s="22" t="str">
        <f>IF(N(N20)&gt;0,MIN(1,N(O20)/N(N20)),"")</f>
        <v/>
      </c>
      <c r="Q20" s="17"/>
      <c r="R20" s="17"/>
      <c r="S20" s="17"/>
      <c r="T20" s="17"/>
      <c r="U20" s="17"/>
      <c r="V20" s="23"/>
      <c r="W20" s="24"/>
    </row>
    <row r="21" ht="24" customHeight="1" spans="1:23" x14ac:dyDescent="0.25">
      <c r="A21" s="23"/>
      <c r="B21" s="17"/>
      <c r="C21" s="17"/>
      <c r="D21" s="17"/>
      <c r="E21" s="18"/>
      <c r="F21" s="18"/>
      <c r="G21" s="19"/>
      <c r="H21" s="20"/>
      <c r="I21" s="20"/>
      <c r="J21" s="21" t="str">
        <f>IF(N(G21)&gt;0,ROUND(G21-IF(N(H21)&gt;0,ROUND(G21*MIN(N(I21),N(H21))/N(H21),2),G21),2),"")</f>
        <v/>
      </c>
      <c r="K21" s="18"/>
      <c r="L21" s="18"/>
      <c r="M21" s="18"/>
      <c r="N21" s="20"/>
      <c r="O21" s="20"/>
      <c r="P21" s="22" t="str">
        <f>IF(N(N21)&gt;0,MIN(1,N(O21)/N(N21)),"")</f>
        <v/>
      </c>
      <c r="Q21" s="17"/>
      <c r="R21" s="17"/>
      <c r="S21" s="17"/>
      <c r="T21" s="17"/>
      <c r="U21" s="17"/>
      <c r="V21" s="23"/>
      <c r="W21" s="24"/>
    </row>
    <row r="22" ht="24" customHeight="1" spans="1:23" x14ac:dyDescent="0.25">
      <c r="A22" s="23"/>
      <c r="B22" s="17"/>
      <c r="C22" s="17"/>
      <c r="D22" s="17"/>
      <c r="E22" s="18"/>
      <c r="F22" s="18"/>
      <c r="G22" s="19"/>
      <c r="H22" s="20"/>
      <c r="I22" s="20"/>
      <c r="J22" s="21" t="str">
        <f>IF(N(G22)&gt;0,ROUND(G22-IF(N(H22)&gt;0,ROUND(G22*MIN(N(I22),N(H22))/N(H22),2),G22),2),"")</f>
        <v/>
      </c>
      <c r="K22" s="18"/>
      <c r="L22" s="18"/>
      <c r="M22" s="18"/>
      <c r="N22" s="20"/>
      <c r="O22" s="20"/>
      <c r="P22" s="22" t="str">
        <f>IF(N(N22)&gt;0,MIN(1,N(O22)/N(N22)),"")</f>
        <v/>
      </c>
      <c r="Q22" s="17"/>
      <c r="R22" s="17"/>
      <c r="S22" s="17"/>
      <c r="T22" s="17"/>
      <c r="U22" s="17"/>
      <c r="V22" s="23"/>
      <c r="W22" s="24"/>
    </row>
    <row r="23" ht="24" customHeight="1" spans="1:23" x14ac:dyDescent="0.25">
      <c r="A23" s="23"/>
      <c r="B23" s="17"/>
      <c r="C23" s="17"/>
      <c r="D23" s="17"/>
      <c r="E23" s="18"/>
      <c r="F23" s="18"/>
      <c r="G23" s="19"/>
      <c r="H23" s="20"/>
      <c r="I23" s="20"/>
      <c r="J23" s="21" t="str">
        <f>IF(N(G23)&gt;0,ROUND(G23-IF(N(H23)&gt;0,ROUND(G23*MIN(N(I23),N(H23))/N(H23),2),G23),2),"")</f>
        <v/>
      </c>
      <c r="K23" s="18"/>
      <c r="L23" s="18"/>
      <c r="M23" s="18"/>
      <c r="N23" s="20"/>
      <c r="O23" s="20"/>
      <c r="P23" s="22" t="str">
        <f>IF(N(N23)&gt;0,MIN(1,N(O23)/N(N23)),"")</f>
        <v/>
      </c>
      <c r="Q23" s="17"/>
      <c r="R23" s="17"/>
      <c r="S23" s="17"/>
      <c r="T23" s="17"/>
      <c r="U23" s="17"/>
      <c r="V23" s="23"/>
      <c r="W23" s="24"/>
    </row>
    <row r="24" ht="24" customHeight="1" spans="1:23" x14ac:dyDescent="0.25">
      <c r="A24" s="23"/>
      <c r="B24" s="17"/>
      <c r="C24" s="17"/>
      <c r="D24" s="17"/>
      <c r="E24" s="18"/>
      <c r="F24" s="18"/>
      <c r="G24" s="19"/>
      <c r="H24" s="20"/>
      <c r="I24" s="20"/>
      <c r="J24" s="21" t="str">
        <f>IF(N(G24)&gt;0,ROUND(G24-IF(N(H24)&gt;0,ROUND(G24*MIN(N(I24),N(H24))/N(H24),2),G24),2),"")</f>
        <v/>
      </c>
      <c r="K24" s="18"/>
      <c r="L24" s="18"/>
      <c r="M24" s="18"/>
      <c r="N24" s="20"/>
      <c r="O24" s="20"/>
      <c r="P24" s="22" t="str">
        <f>IF(N(N24)&gt;0,MIN(1,N(O24)/N(N24)),"")</f>
        <v/>
      </c>
      <c r="Q24" s="17"/>
      <c r="R24" s="17"/>
      <c r="S24" s="17"/>
      <c r="T24" s="17"/>
      <c r="U24" s="17"/>
      <c r="V24" s="23"/>
      <c r="W24" s="24"/>
    </row>
    <row r="25" ht="24" customHeight="1" spans="1:23" x14ac:dyDescent="0.25">
      <c r="A25" s="23"/>
      <c r="B25" s="17"/>
      <c r="C25" s="17"/>
      <c r="D25" s="17"/>
      <c r="E25" s="18"/>
      <c r="F25" s="18"/>
      <c r="G25" s="19"/>
      <c r="H25" s="20"/>
      <c r="I25" s="20"/>
      <c r="J25" s="21" t="str">
        <f>IF(N(G25)&gt;0,ROUND(G25-IF(N(H25)&gt;0,ROUND(G25*MIN(N(I25),N(H25))/N(H25),2),G25),2),"")</f>
        <v/>
      </c>
      <c r="K25" s="18"/>
      <c r="L25" s="18"/>
      <c r="M25" s="18"/>
      <c r="N25" s="20"/>
      <c r="O25" s="20"/>
      <c r="P25" s="22" t="str">
        <f>IF(N(N25)&gt;0,MIN(1,N(O25)/N(N25)),"")</f>
        <v/>
      </c>
      <c r="Q25" s="17"/>
      <c r="R25" s="17"/>
      <c r="S25" s="17"/>
      <c r="T25" s="17"/>
      <c r="U25" s="17"/>
      <c r="V25" s="23"/>
      <c r="W25" s="24"/>
    </row>
    <row r="26" ht="24" customHeight="1" spans="1:23" x14ac:dyDescent="0.25">
      <c r="A26" s="23"/>
      <c r="B26" s="17"/>
      <c r="C26" s="17"/>
      <c r="D26" s="17"/>
      <c r="E26" s="18"/>
      <c r="F26" s="18"/>
      <c r="G26" s="19"/>
      <c r="H26" s="20"/>
      <c r="I26" s="20"/>
      <c r="J26" s="21" t="str">
        <f>IF(N(G26)&gt;0,ROUND(G26-IF(N(H26)&gt;0,ROUND(G26*MIN(N(I26),N(H26))/N(H26),2),G26),2),"")</f>
        <v/>
      </c>
      <c r="K26" s="18"/>
      <c r="L26" s="18"/>
      <c r="M26" s="18"/>
      <c r="N26" s="20"/>
      <c r="O26" s="20"/>
      <c r="P26" s="22" t="str">
        <f>IF(N(N26)&gt;0,MIN(1,N(O26)/N(N26)),"")</f>
        <v/>
      </c>
      <c r="Q26" s="17"/>
      <c r="R26" s="17"/>
      <c r="S26" s="17"/>
      <c r="T26" s="17"/>
      <c r="U26" s="17"/>
      <c r="V26" s="23"/>
      <c r="W26" s="24"/>
    </row>
    <row r="27" ht="24" customHeight="1" spans="1:23" x14ac:dyDescent="0.25">
      <c r="A27" s="23"/>
      <c r="B27" s="17"/>
      <c r="C27" s="17"/>
      <c r="D27" s="17"/>
      <c r="E27" s="18"/>
      <c r="F27" s="18"/>
      <c r="G27" s="19"/>
      <c r="H27" s="20"/>
      <c r="I27" s="20"/>
      <c r="J27" s="21" t="str">
        <f>IF(N(G27)&gt;0,ROUND(G27-IF(N(H27)&gt;0,ROUND(G27*MIN(N(I27),N(H27))/N(H27),2),G27),2),"")</f>
        <v/>
      </c>
      <c r="K27" s="18"/>
      <c r="L27" s="18"/>
      <c r="M27" s="18"/>
      <c r="N27" s="20"/>
      <c r="O27" s="20"/>
      <c r="P27" s="22" t="str">
        <f>IF(N(N27)&gt;0,MIN(1,N(O27)/N(N27)),"")</f>
        <v/>
      </c>
      <c r="Q27" s="17"/>
      <c r="R27" s="17"/>
      <c r="S27" s="17"/>
      <c r="T27" s="17"/>
      <c r="U27" s="17"/>
      <c r="V27" s="23"/>
      <c r="W27" s="24"/>
    </row>
    <row r="28" ht="24" customHeight="1" spans="1:23" x14ac:dyDescent="0.25">
      <c r="A28" s="23"/>
      <c r="B28" s="17"/>
      <c r="C28" s="17"/>
      <c r="D28" s="17"/>
      <c r="E28" s="18"/>
      <c r="F28" s="18"/>
      <c r="G28" s="19"/>
      <c r="H28" s="20"/>
      <c r="I28" s="20"/>
      <c r="J28" s="21" t="str">
        <f>IF(N(G28)&gt;0,ROUND(G28-IF(N(H28)&gt;0,ROUND(G28*MIN(N(I28),N(H28))/N(H28),2),G28),2),"")</f>
        <v/>
      </c>
      <c r="K28" s="18"/>
      <c r="L28" s="18"/>
      <c r="M28" s="18"/>
      <c r="N28" s="20"/>
      <c r="O28" s="20"/>
      <c r="P28" s="22" t="str">
        <f>IF(N(N28)&gt;0,MIN(1,N(O28)/N(N28)),"")</f>
        <v/>
      </c>
      <c r="Q28" s="17"/>
      <c r="R28" s="17"/>
      <c r="S28" s="17"/>
      <c r="T28" s="17"/>
      <c r="U28" s="17"/>
      <c r="V28" s="23"/>
      <c r="W28" s="24"/>
    </row>
    <row r="29" ht="24" customHeight="1" spans="1:23" x14ac:dyDescent="0.25">
      <c r="A29" s="23"/>
      <c r="B29" s="17"/>
      <c r="C29" s="17"/>
      <c r="D29" s="17"/>
      <c r="E29" s="18"/>
      <c r="F29" s="18"/>
      <c r="G29" s="19"/>
      <c r="H29" s="20"/>
      <c r="I29" s="20"/>
      <c r="J29" s="21" t="str">
        <f>IF(N(G29)&gt;0,ROUND(G29-IF(N(H29)&gt;0,ROUND(G29*MIN(N(I29),N(H29))/N(H29),2),G29),2),"")</f>
        <v/>
      </c>
      <c r="K29" s="18"/>
      <c r="L29" s="18"/>
      <c r="M29" s="18"/>
      <c r="N29" s="20"/>
      <c r="O29" s="20"/>
      <c r="P29" s="22" t="str">
        <f>IF(N(N29)&gt;0,MIN(1,N(O29)/N(N29)),"")</f>
        <v/>
      </c>
      <c r="Q29" s="17"/>
      <c r="R29" s="17"/>
      <c r="S29" s="17"/>
      <c r="T29" s="17"/>
      <c r="U29" s="17"/>
      <c r="V29" s="23"/>
      <c r="W29" s="24"/>
    </row>
    <row r="30" ht="24" customHeight="1" spans="1:23" x14ac:dyDescent="0.25">
      <c r="A30" s="23"/>
      <c r="B30" s="17"/>
      <c r="C30" s="17"/>
      <c r="D30" s="17"/>
      <c r="E30" s="18"/>
      <c r="F30" s="18"/>
      <c r="G30" s="19"/>
      <c r="H30" s="20"/>
      <c r="I30" s="20"/>
      <c r="J30" s="21" t="str">
        <f>IF(N(G30)&gt;0,ROUND(G30-IF(N(H30)&gt;0,ROUND(G30*MIN(N(I30),N(H30))/N(H30),2),G30),2),"")</f>
        <v/>
      </c>
      <c r="K30" s="18"/>
      <c r="L30" s="18"/>
      <c r="M30" s="18"/>
      <c r="N30" s="20"/>
      <c r="O30" s="20"/>
      <c r="P30" s="22" t="str">
        <f>IF(N(N30)&gt;0,MIN(1,N(O30)/N(N30)),"")</f>
        <v/>
      </c>
      <c r="Q30" s="17"/>
      <c r="R30" s="17"/>
      <c r="S30" s="17"/>
      <c r="T30" s="17"/>
      <c r="U30" s="17"/>
      <c r="V30" s="23"/>
      <c r="W30" s="24"/>
    </row>
    <row r="31" ht="24" customHeight="1" spans="1:23" x14ac:dyDescent="0.25">
      <c r="A31" s="23"/>
      <c r="B31" s="17"/>
      <c r="C31" s="17"/>
      <c r="D31" s="17"/>
      <c r="E31" s="18"/>
      <c r="F31" s="18"/>
      <c r="G31" s="19"/>
      <c r="H31" s="20"/>
      <c r="I31" s="20"/>
      <c r="J31" s="21" t="str">
        <f>IF(N(G31)&gt;0,ROUND(G31-IF(N(H31)&gt;0,ROUND(G31*MIN(N(I31),N(H31))/N(H31),2),G31),2),"")</f>
        <v/>
      </c>
      <c r="K31" s="18"/>
      <c r="L31" s="18"/>
      <c r="M31" s="18"/>
      <c r="N31" s="20"/>
      <c r="O31" s="20"/>
      <c r="P31" s="22" t="str">
        <f>IF(N(N31)&gt;0,MIN(1,N(O31)/N(N31)),"")</f>
        <v/>
      </c>
      <c r="Q31" s="17"/>
      <c r="R31" s="17"/>
      <c r="S31" s="17"/>
      <c r="T31" s="17"/>
      <c r="U31" s="17"/>
      <c r="V31" s="23"/>
      <c r="W31" s="24"/>
    </row>
    <row r="32" ht="24" customHeight="1" spans="1:23" x14ac:dyDescent="0.25">
      <c r="A32" s="23"/>
      <c r="B32" s="17"/>
      <c r="C32" s="17"/>
      <c r="D32" s="17"/>
      <c r="E32" s="18"/>
      <c r="F32" s="18"/>
      <c r="G32" s="19"/>
      <c r="H32" s="20"/>
      <c r="I32" s="20"/>
      <c r="J32" s="21" t="str">
        <f>IF(N(G32)&gt;0,ROUND(G32-IF(N(H32)&gt;0,ROUND(G32*MIN(N(I32),N(H32))/N(H32),2),G32),2),"")</f>
        <v/>
      </c>
      <c r="K32" s="18"/>
      <c r="L32" s="18"/>
      <c r="M32" s="18"/>
      <c r="N32" s="20"/>
      <c r="O32" s="20"/>
      <c r="P32" s="22" t="str">
        <f>IF(N(N32)&gt;0,MIN(1,N(O32)/N(N32)),"")</f>
        <v/>
      </c>
      <c r="Q32" s="17"/>
      <c r="R32" s="17"/>
      <c r="S32" s="17"/>
      <c r="T32" s="17"/>
      <c r="U32" s="17"/>
      <c r="V32" s="23"/>
      <c r="W32" s="24"/>
    </row>
    <row r="33" ht="24" customHeight="1" spans="1:23" x14ac:dyDescent="0.25">
      <c r="A33" s="23"/>
      <c r="B33" s="17"/>
      <c r="C33" s="17"/>
      <c r="D33" s="17"/>
      <c r="E33" s="18"/>
      <c r="F33" s="18"/>
      <c r="G33" s="19"/>
      <c r="H33" s="20"/>
      <c r="I33" s="20"/>
      <c r="J33" s="21" t="str">
        <f>IF(N(G33)&gt;0,ROUND(G33-IF(N(H33)&gt;0,ROUND(G33*MIN(N(I33),N(H33))/N(H33),2),G33),2),"")</f>
        <v/>
      </c>
      <c r="K33" s="18"/>
      <c r="L33" s="18"/>
      <c r="M33" s="18"/>
      <c r="N33" s="20"/>
      <c r="O33" s="20"/>
      <c r="P33" s="22" t="str">
        <f>IF(N(N33)&gt;0,MIN(1,N(O33)/N(N33)),"")</f>
        <v/>
      </c>
      <c r="Q33" s="17"/>
      <c r="R33" s="17"/>
      <c r="S33" s="17"/>
      <c r="T33" s="17"/>
      <c r="U33" s="17"/>
      <c r="V33" s="23"/>
      <c r="W33" s="24"/>
    </row>
    <row r="34" ht="24" customHeight="1" spans="1:23" x14ac:dyDescent="0.25">
      <c r="A34" s="23"/>
      <c r="B34" s="17"/>
      <c r="C34" s="17"/>
      <c r="D34" s="17"/>
      <c r="E34" s="18"/>
      <c r="F34" s="18"/>
      <c r="G34" s="19"/>
      <c r="H34" s="20"/>
      <c r="I34" s="20"/>
      <c r="J34" s="21" t="str">
        <f>IF(N(G34)&gt;0,ROUND(G34-IF(N(H34)&gt;0,ROUND(G34*MIN(N(I34),N(H34))/N(H34),2),G34),2),"")</f>
        <v/>
      </c>
      <c r="K34" s="18"/>
      <c r="L34" s="18"/>
      <c r="M34" s="18"/>
      <c r="N34" s="20"/>
      <c r="O34" s="20"/>
      <c r="P34" s="22" t="str">
        <f>IF(N(N34)&gt;0,MIN(1,N(O34)/N(N34)),"")</f>
        <v/>
      </c>
      <c r="Q34" s="17"/>
      <c r="R34" s="17"/>
      <c r="S34" s="17"/>
      <c r="T34" s="17"/>
      <c r="U34" s="17"/>
      <c r="V34" s="23"/>
      <c r="W34" s="24"/>
    </row>
    <row r="35" ht="24" customHeight="1" spans="1:23" x14ac:dyDescent="0.25">
      <c r="A35" s="23"/>
      <c r="B35" s="17"/>
      <c r="C35" s="17"/>
      <c r="D35" s="17"/>
      <c r="E35" s="18"/>
      <c r="F35" s="18"/>
      <c r="G35" s="19"/>
      <c r="H35" s="20"/>
      <c r="I35" s="20"/>
      <c r="J35" s="21" t="str">
        <f>IF(N(G35)&gt;0,ROUND(G35-IF(N(H35)&gt;0,ROUND(G35*MIN(N(I35),N(H35))/N(H35),2),G35),2),"")</f>
        <v/>
      </c>
      <c r="K35" s="18"/>
      <c r="L35" s="18"/>
      <c r="M35" s="18"/>
      <c r="N35" s="20"/>
      <c r="O35" s="20"/>
      <c r="P35" s="22" t="str">
        <f>IF(N(N35)&gt;0,MIN(1,N(O35)/N(N35)),"")</f>
        <v/>
      </c>
      <c r="Q35" s="17"/>
      <c r="R35" s="17"/>
      <c r="S35" s="17"/>
      <c r="T35" s="17"/>
      <c r="U35" s="17"/>
      <c r="V35" s="23"/>
      <c r="W35" s="24"/>
    </row>
    <row r="36" ht="24" customHeight="1" spans="1:23" x14ac:dyDescent="0.25">
      <c r="A36" s="23"/>
      <c r="B36" s="17"/>
      <c r="C36" s="17"/>
      <c r="D36" s="17"/>
      <c r="E36" s="18"/>
      <c r="F36" s="18"/>
      <c r="G36" s="19"/>
      <c r="H36" s="20"/>
      <c r="I36" s="20"/>
      <c r="J36" s="21" t="str">
        <f>IF(N(G36)&gt;0,ROUND(G36-IF(N(H36)&gt;0,ROUND(G36*MIN(N(I36),N(H36))/N(H36),2),G36),2),"")</f>
        <v/>
      </c>
      <c r="K36" s="18"/>
      <c r="L36" s="18"/>
      <c r="M36" s="18"/>
      <c r="N36" s="20"/>
      <c r="O36" s="20"/>
      <c r="P36" s="22" t="str">
        <f>IF(N(N36)&gt;0,MIN(1,N(O36)/N(N36)),"")</f>
        <v/>
      </c>
      <c r="Q36" s="17"/>
      <c r="R36" s="17"/>
      <c r="S36" s="17"/>
      <c r="T36" s="17"/>
      <c r="U36" s="17"/>
      <c r="V36" s="23"/>
      <c r="W36" s="24"/>
    </row>
    <row r="37" ht="24" customHeight="1" spans="1:23" x14ac:dyDescent="0.25">
      <c r="A37" s="23"/>
      <c r="B37" s="17"/>
      <c r="C37" s="17"/>
      <c r="D37" s="17"/>
      <c r="E37" s="18"/>
      <c r="F37" s="18"/>
      <c r="G37" s="19"/>
      <c r="H37" s="20"/>
      <c r="I37" s="20"/>
      <c r="J37" s="21" t="str">
        <f>IF(N(G37)&gt;0,ROUND(G37-IF(N(H37)&gt;0,ROUND(G37*MIN(N(I37),N(H37))/N(H37),2),G37),2),"")</f>
        <v/>
      </c>
      <c r="K37" s="18"/>
      <c r="L37" s="18"/>
      <c r="M37" s="18"/>
      <c r="N37" s="20"/>
      <c r="O37" s="20"/>
      <c r="P37" s="22" t="str">
        <f>IF(N(N37)&gt;0,MIN(1,N(O37)/N(N37)),"")</f>
        <v/>
      </c>
      <c r="Q37" s="17"/>
      <c r="R37" s="17"/>
      <c r="S37" s="17"/>
      <c r="T37" s="17"/>
      <c r="U37" s="17"/>
      <c r="V37" s="23"/>
      <c r="W37" s="24"/>
    </row>
    <row r="38" ht="24" customHeight="1" spans="1:23" x14ac:dyDescent="0.25">
      <c r="A38" s="23"/>
      <c r="B38" s="17"/>
      <c r="C38" s="17"/>
      <c r="D38" s="17"/>
      <c r="E38" s="18"/>
      <c r="F38" s="18"/>
      <c r="G38" s="19"/>
      <c r="H38" s="20"/>
      <c r="I38" s="20"/>
      <c r="J38" s="21" t="str">
        <f>IF(N(G38)&gt;0,ROUND(G38-IF(N(H38)&gt;0,ROUND(G38*MIN(N(I38),N(H38))/N(H38),2),G38),2),"")</f>
        <v/>
      </c>
      <c r="K38" s="18"/>
      <c r="L38" s="18"/>
      <c r="M38" s="18"/>
      <c r="N38" s="20"/>
      <c r="O38" s="20"/>
      <c r="P38" s="22" t="str">
        <f>IF(N(N38)&gt;0,MIN(1,N(O38)/N(N38)),"")</f>
        <v/>
      </c>
      <c r="Q38" s="17"/>
      <c r="R38" s="17"/>
      <c r="S38" s="17"/>
      <c r="T38" s="17"/>
      <c r="U38" s="17"/>
      <c r="V38" s="23"/>
      <c r="W38" s="24"/>
    </row>
    <row r="39" ht="24" customHeight="1" spans="1:23" x14ac:dyDescent="0.25">
      <c r="A39" s="23"/>
      <c r="B39" s="17"/>
      <c r="C39" s="17"/>
      <c r="D39" s="17"/>
      <c r="E39" s="18"/>
      <c r="F39" s="18"/>
      <c r="G39" s="19"/>
      <c r="H39" s="20"/>
      <c r="I39" s="20"/>
      <c r="J39" s="21" t="str">
        <f>IF(N(G39)&gt;0,ROUND(G39-IF(N(H39)&gt;0,ROUND(G39*MIN(N(I39),N(H39))/N(H39),2),G39),2),"")</f>
        <v/>
      </c>
      <c r="K39" s="18"/>
      <c r="L39" s="18"/>
      <c r="M39" s="18"/>
      <c r="N39" s="20"/>
      <c r="O39" s="20"/>
      <c r="P39" s="22" t="str">
        <f>IF(N(N39)&gt;0,MIN(1,N(O39)/N(N39)),"")</f>
        <v/>
      </c>
      <c r="Q39" s="17"/>
      <c r="R39" s="17"/>
      <c r="S39" s="17"/>
      <c r="T39" s="17"/>
      <c r="U39" s="17"/>
      <c r="V39" s="23"/>
      <c r="W39" s="24"/>
    </row>
    <row r="40" ht="24" customHeight="1" spans="1:23" x14ac:dyDescent="0.25">
      <c r="A40" s="23"/>
      <c r="B40" s="17"/>
      <c r="C40" s="17"/>
      <c r="D40" s="17"/>
      <c r="E40" s="18"/>
      <c r="F40" s="18"/>
      <c r="G40" s="19"/>
      <c r="H40" s="20"/>
      <c r="I40" s="20"/>
      <c r="J40" s="21" t="str">
        <f>IF(N(G40)&gt;0,ROUND(G40-IF(N(H40)&gt;0,ROUND(G40*MIN(N(I40),N(H40))/N(H40),2),G40),2),"")</f>
        <v/>
      </c>
      <c r="K40" s="18"/>
      <c r="L40" s="18"/>
      <c r="M40" s="18"/>
      <c r="N40" s="20"/>
      <c r="O40" s="20"/>
      <c r="P40" s="22" t="str">
        <f>IF(N(N40)&gt;0,MIN(1,N(O40)/N(N40)),"")</f>
        <v/>
      </c>
      <c r="Q40" s="17"/>
      <c r="R40" s="17"/>
      <c r="S40" s="17"/>
      <c r="T40" s="17"/>
      <c r="U40" s="17"/>
      <c r="V40" s="23"/>
      <c r="W40" s="24"/>
    </row>
    <row r="41" ht="24" customHeight="1" spans="1:23" x14ac:dyDescent="0.25">
      <c r="A41" s="23"/>
      <c r="B41" s="17"/>
      <c r="C41" s="17"/>
      <c r="D41" s="17"/>
      <c r="E41" s="18"/>
      <c r="F41" s="18"/>
      <c r="G41" s="19"/>
      <c r="H41" s="20"/>
      <c r="I41" s="20"/>
      <c r="J41" s="21" t="str">
        <f>IF(N(G41)&gt;0,ROUND(G41-IF(N(H41)&gt;0,ROUND(G41*MIN(N(I41),N(H41))/N(H41),2),G41),2),"")</f>
        <v/>
      </c>
      <c r="K41" s="18"/>
      <c r="L41" s="18"/>
      <c r="M41" s="18"/>
      <c r="N41" s="20"/>
      <c r="O41" s="20"/>
      <c r="P41" s="22" t="str">
        <f>IF(N(N41)&gt;0,MIN(1,N(O41)/N(N41)),"")</f>
        <v/>
      </c>
      <c r="Q41" s="17"/>
      <c r="R41" s="17"/>
      <c r="S41" s="17"/>
      <c r="T41" s="17"/>
      <c r="U41" s="17"/>
      <c r="V41" s="23"/>
      <c r="W41" s="24"/>
    </row>
    <row r="42" ht="24" customHeight="1" spans="1:23" x14ac:dyDescent="0.25">
      <c r="A42" s="23"/>
      <c r="B42" s="17"/>
      <c r="C42" s="17"/>
      <c r="D42" s="17"/>
      <c r="E42" s="18"/>
      <c r="F42" s="18"/>
      <c r="G42" s="19"/>
      <c r="H42" s="20"/>
      <c r="I42" s="20"/>
      <c r="J42" s="21" t="str">
        <f>IF(N(G42)&gt;0,ROUND(G42-IF(N(H42)&gt;0,ROUND(G42*MIN(N(I42),N(H42))/N(H42),2),G42),2),"")</f>
        <v/>
      </c>
      <c r="K42" s="18"/>
      <c r="L42" s="18"/>
      <c r="M42" s="18"/>
      <c r="N42" s="20"/>
      <c r="O42" s="20"/>
      <c r="P42" s="22" t="str">
        <f>IF(N(N42)&gt;0,MIN(1,N(O42)/N(N42)),"")</f>
        <v/>
      </c>
      <c r="Q42" s="17"/>
      <c r="R42" s="17"/>
      <c r="S42" s="17"/>
      <c r="T42" s="17"/>
      <c r="U42" s="17"/>
      <c r="V42" s="23"/>
      <c r="W42" s="24"/>
    </row>
  </sheetData>
  <autoFilter ref="A1:W1"/>
  <conditionalFormatting sqref="Q2:Q42">
    <cfRule type="cellIs" dxfId="8" priority="1" operator="equal">
      <formula>"Concluído"</formula>
    </cfRule>
    <cfRule type="cellIs" dxfId="9" priority="2" operator="equal">
      <formula>"Em andamento"</formula>
    </cfRule>
    <cfRule type="cellIs" dxfId="10" priority="3" operator="equal">
      <formula>"Pausado"</formula>
    </cfRule>
    <cfRule type="cellIs" dxfId="11" priority="4" operator="equal">
      <formula>"Não iniciado"</formula>
    </cfRule>
  </conditionalFormatting>
  <conditionalFormatting sqref="R2:R42">
    <cfRule type="cellIs" dxfId="12" priority="10" operator="equal">
      <formula>"Alta"</formula>
    </cfRule>
  </conditionalFormatting>
  <conditionalFormatting sqref="J2:J42">
    <cfRule type="cellIs" dxfId="13" priority="11" operator="greaterThan">
      <formula>0</formula>
    </cfRule>
  </conditionalFormatting>
  <conditionalFormatting sqref="M2:M42">
    <cfRule type="expression" dxfId="14" priority="12">
      <formula>AND(ISNUMBER(M2),M2&lt;TODAY())</formula>
    </cfRule>
    <cfRule type="expression" dxfId="15" priority="13">
      <formula>AND(ISNUMBER(M2),M2&gt;=TODAY(),M2&lt;=TODAY()+30)</formula>
    </cfRule>
  </conditionalFormatting>
  <conditionalFormatting sqref="P2:P42">
    <cfRule type="dataBar" priority="14">
      <dataBar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{7DAB9B33-7E75-45C1-A0E1-A6991F8E6618}</x14:id>
        </ext>
      </extLst>
    </cfRule>
  </conditionalFormatting>
  <dataValidations count="16">
    <dataValidation type="date" operator="greaterThan" allowBlank="1" showErrorMessage="1" errorStyle="stop" errorTitle="Data inválida" error="Use uma data no formato dd/mm/aaaa." sqref="E10:F42">
      <formula1>25569.00042275463</formula1>
    </dataValidation>
    <dataValidation type="date" operator="greaterThan" allowBlank="1" showErrorMessage="1" errorStyle="stop" errorTitle="Data inválida" error="Use uma data no formato dd/mm/aaaa." sqref="E2:F42">
      <formula1>25569.00042275463</formula1>
    </dataValidation>
    <dataValidation type="decimal" operator="greaterThanOrEqual" allowBlank="1" showErrorMessage="1" errorStyle="stop" errorTitle="Valor inválido" error="Informe um valor numérico maior ou igual a zero." sqref="G10:G42">
      <formula1>0</formula1>
    </dataValidation>
    <dataValidation type="decimal" operator="greaterThanOrEqual" allowBlank="1" showErrorMessage="1" errorStyle="stop" errorTitle="Valor inválido" error="Informe um valor numérico maior ou igual a zero." sqref="G2:G42">
      <formula1>0</formula1>
    </dataValidation>
    <dataValidation type="whole" operator="greaterThanOrEqual" allowBlank="1" showErrorMessage="1" errorStyle="stop" errorTitle="Número inválido" error="Informe um número inteiro maior ou igual a zero." sqref="H10:I42">
      <formula1>0</formula1>
    </dataValidation>
    <dataValidation type="whole" operator="greaterThanOrEqual" allowBlank="1" showErrorMessage="1" errorStyle="stop" errorTitle="Número inválido" error="Informe um número inteiro maior ou igual a zero." sqref="H2:I42">
      <formula1>0</formula1>
    </dataValidation>
    <dataValidation type="date" operator="greaterThan" allowBlank="1" showErrorMessage="1" errorStyle="stop" errorTitle="Data inválida" error="Use uma data no formato dd/mm/aaaa." sqref="K10:M42">
      <formula1>25569.00042275463</formula1>
    </dataValidation>
    <dataValidation type="date" operator="greaterThan" allowBlank="1" showErrorMessage="1" errorStyle="stop" errorTitle="Data inválida" error="Use uma data no formato dd/mm/aaaa." sqref="K2:M42">
      <formula1>25569.00042275463</formula1>
    </dataValidation>
    <dataValidation type="whole" operator="greaterThanOrEqual" allowBlank="1" showErrorMessage="1" errorStyle="stop" errorTitle="Número inválido" error="Informe um número inteiro maior ou igual a zero." sqref="N10:O42">
      <formula1>0</formula1>
    </dataValidation>
    <dataValidation type="whole" operator="greaterThanOrEqual" allowBlank="1" showErrorMessage="1" errorStyle="stop" errorTitle="Número inválido" error="Informe um número inteiro maior ou igual a zero." sqref="N2:O42">
      <formula1>0</formula1>
    </dataValidation>
    <dataValidation type="list" allowBlank="1" showErrorMessage="1" errorStyle="warning" errorTitle="Valor fora da lista" error="Escolha um valor da lista." sqref="Q10:Q42">
      <formula1>Listas!$A$2:$A$5</formula1>
    </dataValidation>
    <dataValidation type="list" allowBlank="1" showErrorMessage="1" errorStyle="warning" errorTitle="Valor fora da lista" error="Escolha um valor da lista." sqref="Q2:Q42">
      <formula1>Listas!$A$2:$A$5</formula1>
    </dataValidation>
    <dataValidation type="list" allowBlank="1" showErrorMessage="1" errorStyle="warning" errorTitle="Valor fora da lista" error="Escolha um valor da lista." sqref="R10:R42">
      <formula1>Listas!$B$2:$B$4</formula1>
    </dataValidation>
    <dataValidation type="list" allowBlank="1" showErrorMessage="1" errorStyle="warning" errorTitle="Valor fora da lista" error="Escolha um valor da lista." sqref="R2:R42">
      <formula1>Listas!$B$2:$B$4</formula1>
    </dataValidation>
    <dataValidation type="list" allowBlank="1" showErrorMessage="1" errorStyle="warning" errorTitle="Valor fora da lista" error="Escolha um valor da lista." sqref="S10:S42">
      <formula1>Listas!$C$2:$C$5</formula1>
    </dataValidation>
    <dataValidation type="list" allowBlank="1" showErrorMessage="1" errorStyle="warning" errorTitle="Valor fora da lista" error="Escolha um valor da lista." sqref="S2:S42">
      <formula1>Listas!$C$2:$C$5</formula1>
    </dataValidation>
  </dataValidations>
  <pageSetup paperSize="9" orientation="landscape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B9B33-7E75-45C1-A0E1-A6991F8E6618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P2:P42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3B18A"/>
    <pageSetUpPr fitToPage="1"/>
  </sheetPr>
  <dimension ref="A1:X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24" customWidth="1"/>
    <col min="3" max="3" width="16" customWidth="1"/>
    <col min="4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14" customWidth="1"/>
    <col min="14" max="14" width="18" customWidth="1"/>
    <col min="15" max="16" width="15" customWidth="1"/>
    <col min="17" max="18" width="14" customWidth="1"/>
    <col min="19" max="21" width="16" customWidth="1"/>
    <col min="22" max="22" width="30" customWidth="1"/>
    <col min="23" max="23" width="34" customWidth="1"/>
    <col min="24" max="24" width="12" customWidth="1"/>
  </cols>
  <sheetData>
    <row r="1" ht="34" customHeight="1" spans="1:24" x14ac:dyDescent="0.25">
      <c r="A1" s="14" t="s">
        <v>64</v>
      </c>
      <c r="B1" s="14" t="s">
        <v>65</v>
      </c>
      <c r="C1" s="14" t="s">
        <v>66</v>
      </c>
      <c r="D1" s="14" t="s">
        <v>67</v>
      </c>
      <c r="E1" s="14" t="s">
        <v>68</v>
      </c>
      <c r="F1" s="14" t="s">
        <v>69</v>
      </c>
      <c r="G1" s="14" t="s">
        <v>70</v>
      </c>
      <c r="H1" s="14" t="s">
        <v>71</v>
      </c>
      <c r="I1" s="14" t="s">
        <v>72</v>
      </c>
      <c r="J1" s="14" t="s">
        <v>26</v>
      </c>
      <c r="K1" s="14" t="s">
        <v>12</v>
      </c>
      <c r="L1" s="14" t="s">
        <v>27</v>
      </c>
      <c r="M1" s="14" t="s">
        <v>28</v>
      </c>
      <c r="N1" s="15" t="s">
        <v>14</v>
      </c>
      <c r="O1" s="14" t="s">
        <v>29</v>
      </c>
      <c r="P1" s="14" t="s">
        <v>30</v>
      </c>
      <c r="Q1" s="14" t="s">
        <v>73</v>
      </c>
      <c r="R1" s="14" t="s">
        <v>74</v>
      </c>
      <c r="S1" s="15" t="s">
        <v>34</v>
      </c>
      <c r="T1" s="14" t="s">
        <v>35</v>
      </c>
      <c r="U1" s="14" t="s">
        <v>36</v>
      </c>
      <c r="V1" s="14" t="s">
        <v>39</v>
      </c>
      <c r="W1" s="14" t="s">
        <v>40</v>
      </c>
      <c r="X1" s="14" t="s">
        <v>41</v>
      </c>
    </row>
    <row r="2" ht="24" customHeight="1" spans="1:24" x14ac:dyDescent="0.25">
      <c r="A2" s="16" t="s">
        <v>75</v>
      </c>
      <c r="B2" s="17" t="s">
        <v>76</v>
      </c>
      <c r="C2" s="17" t="s">
        <v>77</v>
      </c>
      <c r="D2" s="17" t="s">
        <v>78</v>
      </c>
      <c r="E2" s="17" t="s">
        <v>79</v>
      </c>
      <c r="F2" s="17" t="s">
        <v>80</v>
      </c>
      <c r="G2" s="17" t="s">
        <v>81</v>
      </c>
      <c r="H2" s="17" t="s">
        <v>82</v>
      </c>
      <c r="I2" s="20"/>
      <c r="J2" s="18">
        <v>46285</v>
      </c>
      <c r="K2" s="19">
        <v>49.9</v>
      </c>
      <c r="L2" s="20"/>
      <c r="M2" s="20"/>
      <c r="N2" s="21">
        <f>IF(N(K2)&gt;0,ROUND(K2-IF(N(L2)&gt;0,ROUND(K2*MIN(N(M2),N(L2))/N(L2),2),K2),2),"")</f>
        <v>0</v>
      </c>
      <c r="O2" s="18">
        <v>46290</v>
      </c>
      <c r="P2" s="18">
        <v>46341</v>
      </c>
      <c r="Q2" s="20">
        <v>320</v>
      </c>
      <c r="R2" s="20">
        <v>120</v>
      </c>
      <c r="S2" s="22">
        <f>IF(N(Q2)&gt;0,MIN(1,N(R2)/N(Q2)),"")</f>
        <v>0.375</v>
      </c>
      <c r="T2" s="17" t="s">
        <v>45</v>
      </c>
      <c r="U2" s="17" t="s">
        <v>83</v>
      </c>
      <c r="V2" s="17"/>
      <c r="W2" s="23"/>
      <c r="X2" s="24" t="s">
        <v>84</v>
      </c>
    </row>
    <row r="3" ht="24" customHeight="1" spans="1:24" x14ac:dyDescent="0.25">
      <c r="A3" s="23"/>
      <c r="B3" s="17"/>
      <c r="C3" s="17"/>
      <c r="D3" s="17"/>
      <c r="E3" s="17"/>
      <c r="F3" s="17"/>
      <c r="G3" s="17"/>
      <c r="H3" s="17"/>
      <c r="I3" s="20"/>
      <c r="J3" s="18"/>
      <c r="K3" s="19"/>
      <c r="L3" s="20"/>
      <c r="M3" s="20"/>
      <c r="N3" s="21" t="str">
        <f>IF(N(K3)&gt;0,ROUND(K3-IF(N(L3)&gt;0,ROUND(K3*MIN(N(M3),N(L3))/N(L3),2),K3),2),"")</f>
        <v/>
      </c>
      <c r="O3" s="18"/>
      <c r="P3" s="18"/>
      <c r="Q3" s="20"/>
      <c r="R3" s="20"/>
      <c r="S3" s="22" t="str">
        <f>IF(N(Q3)&gt;0,MIN(1,N(R3)/N(Q3)),"")</f>
        <v/>
      </c>
      <c r="T3" s="17"/>
      <c r="U3" s="17"/>
      <c r="V3" s="17"/>
      <c r="W3" s="23"/>
      <c r="X3" s="24"/>
    </row>
    <row r="4" ht="24" customHeight="1" spans="1:24" x14ac:dyDescent="0.25">
      <c r="A4" s="23"/>
      <c r="B4" s="17"/>
      <c r="C4" s="17"/>
      <c r="D4" s="17"/>
      <c r="E4" s="17"/>
      <c r="F4" s="17"/>
      <c r="G4" s="17"/>
      <c r="H4" s="17"/>
      <c r="I4" s="20"/>
      <c r="J4" s="18"/>
      <c r="K4" s="19"/>
      <c r="L4" s="20"/>
      <c r="M4" s="20"/>
      <c r="N4" s="21" t="str">
        <f>IF(N(K4)&gt;0,ROUND(K4-IF(N(L4)&gt;0,ROUND(K4*MIN(N(M4),N(L4))/N(L4),2),K4),2),"")</f>
        <v/>
      </c>
      <c r="O4" s="18"/>
      <c r="P4" s="18"/>
      <c r="Q4" s="20"/>
      <c r="R4" s="20"/>
      <c r="S4" s="22" t="str">
        <f>IF(N(Q4)&gt;0,MIN(1,N(R4)/N(Q4)),"")</f>
        <v/>
      </c>
      <c r="T4" s="17"/>
      <c r="U4" s="17"/>
      <c r="V4" s="17"/>
      <c r="W4" s="23"/>
      <c r="X4" s="24"/>
    </row>
    <row r="5" ht="24" customHeight="1" spans="1:24" x14ac:dyDescent="0.25">
      <c r="A5" s="23"/>
      <c r="B5" s="17"/>
      <c r="C5" s="17"/>
      <c r="D5" s="17"/>
      <c r="E5" s="17"/>
      <c r="F5" s="17"/>
      <c r="G5" s="17"/>
      <c r="H5" s="17"/>
      <c r="I5" s="20"/>
      <c r="J5" s="18"/>
      <c r="K5" s="19"/>
      <c r="L5" s="20"/>
      <c r="M5" s="20"/>
      <c r="N5" s="21" t="str">
        <f>IF(N(K5)&gt;0,ROUND(K5-IF(N(L5)&gt;0,ROUND(K5*MIN(N(M5),N(L5))/N(L5),2),K5),2),"")</f>
        <v/>
      </c>
      <c r="O5" s="18"/>
      <c r="P5" s="18"/>
      <c r="Q5" s="20"/>
      <c r="R5" s="20"/>
      <c r="S5" s="22" t="str">
        <f>IF(N(Q5)&gt;0,MIN(1,N(R5)/N(Q5)),"")</f>
        <v/>
      </c>
      <c r="T5" s="17"/>
      <c r="U5" s="17"/>
      <c r="V5" s="17"/>
      <c r="W5" s="23"/>
      <c r="X5" s="24"/>
    </row>
    <row r="6" ht="24" customHeight="1" spans="1:24" x14ac:dyDescent="0.25">
      <c r="A6" s="23"/>
      <c r="B6" s="17"/>
      <c r="C6" s="17"/>
      <c r="D6" s="17"/>
      <c r="E6" s="17"/>
      <c r="F6" s="17"/>
      <c r="G6" s="17"/>
      <c r="H6" s="17"/>
      <c r="I6" s="20"/>
      <c r="J6" s="18"/>
      <c r="K6" s="19"/>
      <c r="L6" s="20"/>
      <c r="M6" s="20"/>
      <c r="N6" s="21" t="str">
        <f>IF(N(K6)&gt;0,ROUND(K6-IF(N(L6)&gt;0,ROUND(K6*MIN(N(M6),N(L6))/N(L6),2),K6),2),"")</f>
        <v/>
      </c>
      <c r="O6" s="18"/>
      <c r="P6" s="18"/>
      <c r="Q6" s="20"/>
      <c r="R6" s="20"/>
      <c r="S6" s="22" t="str">
        <f>IF(N(Q6)&gt;0,MIN(1,N(R6)/N(Q6)),"")</f>
        <v/>
      </c>
      <c r="T6" s="17"/>
      <c r="U6" s="17"/>
      <c r="V6" s="17"/>
      <c r="W6" s="23"/>
      <c r="X6" s="24"/>
    </row>
    <row r="7" ht="24" customHeight="1" spans="1:24" x14ac:dyDescent="0.25">
      <c r="A7" s="23"/>
      <c r="B7" s="17"/>
      <c r="C7" s="17"/>
      <c r="D7" s="17"/>
      <c r="E7" s="17"/>
      <c r="F7" s="17"/>
      <c r="G7" s="17"/>
      <c r="H7" s="17"/>
      <c r="I7" s="20"/>
      <c r="J7" s="18"/>
      <c r="K7" s="19"/>
      <c r="L7" s="20"/>
      <c r="M7" s="20"/>
      <c r="N7" s="21" t="str">
        <f>IF(N(K7)&gt;0,ROUND(K7-IF(N(L7)&gt;0,ROUND(K7*MIN(N(M7),N(L7))/N(L7),2),K7),2),"")</f>
        <v/>
      </c>
      <c r="O7" s="18"/>
      <c r="P7" s="18"/>
      <c r="Q7" s="20"/>
      <c r="R7" s="20"/>
      <c r="S7" s="22" t="str">
        <f>IF(N(Q7)&gt;0,MIN(1,N(R7)/N(Q7)),"")</f>
        <v/>
      </c>
      <c r="T7" s="17"/>
      <c r="U7" s="17"/>
      <c r="V7" s="17"/>
      <c r="W7" s="23"/>
      <c r="X7" s="24"/>
    </row>
    <row r="8" ht="24" customHeight="1" spans="1:24" x14ac:dyDescent="0.25">
      <c r="A8" s="23"/>
      <c r="B8" s="17"/>
      <c r="C8" s="17"/>
      <c r="D8" s="17"/>
      <c r="E8" s="17"/>
      <c r="F8" s="17"/>
      <c r="G8" s="17"/>
      <c r="H8" s="17"/>
      <c r="I8" s="20"/>
      <c r="J8" s="18"/>
      <c r="K8" s="19"/>
      <c r="L8" s="20"/>
      <c r="M8" s="20"/>
      <c r="N8" s="21" t="str">
        <f>IF(N(K8)&gt;0,ROUND(K8-IF(N(L8)&gt;0,ROUND(K8*MIN(N(M8),N(L8))/N(L8),2),K8),2),"")</f>
        <v/>
      </c>
      <c r="O8" s="18"/>
      <c r="P8" s="18"/>
      <c r="Q8" s="20"/>
      <c r="R8" s="20"/>
      <c r="S8" s="22" t="str">
        <f>IF(N(Q8)&gt;0,MIN(1,N(R8)/N(Q8)),"")</f>
        <v/>
      </c>
      <c r="T8" s="17"/>
      <c r="U8" s="17"/>
      <c r="V8" s="17"/>
      <c r="W8" s="23"/>
      <c r="X8" s="24"/>
    </row>
    <row r="9" ht="24" customHeight="1" spans="1:24" x14ac:dyDescent="0.25">
      <c r="A9" s="23"/>
      <c r="B9" s="17"/>
      <c r="C9" s="17"/>
      <c r="D9" s="17"/>
      <c r="E9" s="17"/>
      <c r="F9" s="17"/>
      <c r="G9" s="17"/>
      <c r="H9" s="17"/>
      <c r="I9" s="20"/>
      <c r="J9" s="18"/>
      <c r="K9" s="19"/>
      <c r="L9" s="20"/>
      <c r="M9" s="20"/>
      <c r="N9" s="21" t="str">
        <f>IF(N(K9)&gt;0,ROUND(K9-IF(N(L9)&gt;0,ROUND(K9*MIN(N(M9),N(L9))/N(L9),2),K9),2),"")</f>
        <v/>
      </c>
      <c r="O9" s="18"/>
      <c r="P9" s="18"/>
      <c r="Q9" s="20"/>
      <c r="R9" s="20"/>
      <c r="S9" s="22" t="str">
        <f>IF(N(Q9)&gt;0,MIN(1,N(R9)/N(Q9)),"")</f>
        <v/>
      </c>
      <c r="T9" s="17"/>
      <c r="U9" s="17"/>
      <c r="V9" s="17"/>
      <c r="W9" s="23"/>
      <c r="X9" s="24"/>
    </row>
    <row r="10" ht="24" customHeight="1" spans="1:24" x14ac:dyDescent="0.25">
      <c r="A10" s="23"/>
      <c r="B10" s="17"/>
      <c r="C10" s="17"/>
      <c r="D10" s="17"/>
      <c r="E10" s="17"/>
      <c r="F10" s="17"/>
      <c r="G10" s="17"/>
      <c r="H10" s="17"/>
      <c r="I10" s="20"/>
      <c r="J10" s="18"/>
      <c r="K10" s="19"/>
      <c r="L10" s="20"/>
      <c r="M10" s="20"/>
      <c r="N10" s="21" t="str">
        <f>IF(N(K10)&gt;0,ROUND(K10-IF(N(L10)&gt;0,ROUND(K10*MIN(N(M10),N(L10))/N(L10),2),K10),2),"")</f>
        <v/>
      </c>
      <c r="O10" s="18"/>
      <c r="P10" s="18"/>
      <c r="Q10" s="20"/>
      <c r="R10" s="20"/>
      <c r="S10" s="22" t="str">
        <f>IF(N(Q10)&gt;0,MIN(1,N(R10)/N(Q10)),"")</f>
        <v/>
      </c>
      <c r="T10" s="17"/>
      <c r="U10" s="17"/>
      <c r="V10" s="17"/>
      <c r="W10" s="23"/>
      <c r="X10" s="24"/>
    </row>
    <row r="11" ht="24" customHeight="1" spans="1:24" x14ac:dyDescent="0.25">
      <c r="A11" s="23"/>
      <c r="B11" s="17"/>
      <c r="C11" s="17"/>
      <c r="D11" s="17"/>
      <c r="E11" s="17"/>
      <c r="F11" s="17"/>
      <c r="G11" s="17"/>
      <c r="H11" s="17"/>
      <c r="I11" s="20"/>
      <c r="J11" s="18"/>
      <c r="K11" s="19"/>
      <c r="L11" s="20"/>
      <c r="M11" s="20"/>
      <c r="N11" s="21" t="str">
        <f>IF(N(K11)&gt;0,ROUND(K11-IF(N(L11)&gt;0,ROUND(K11*MIN(N(M11),N(L11))/N(L11),2),K11),2),"")</f>
        <v/>
      </c>
      <c r="O11" s="18"/>
      <c r="P11" s="18"/>
      <c r="Q11" s="20"/>
      <c r="R11" s="20"/>
      <c r="S11" s="22" t="str">
        <f>IF(N(Q11)&gt;0,MIN(1,N(R11)/N(Q11)),"")</f>
        <v/>
      </c>
      <c r="T11" s="17"/>
      <c r="U11" s="17"/>
      <c r="V11" s="17"/>
      <c r="W11" s="23"/>
      <c r="X11" s="24"/>
    </row>
    <row r="12" ht="24" customHeight="1" spans="1:24" x14ac:dyDescent="0.25">
      <c r="A12" s="23"/>
      <c r="B12" s="17"/>
      <c r="C12" s="17"/>
      <c r="D12" s="17"/>
      <c r="E12" s="17"/>
      <c r="F12" s="17"/>
      <c r="G12" s="17"/>
      <c r="H12" s="17"/>
      <c r="I12" s="20"/>
      <c r="J12" s="18"/>
      <c r="K12" s="19"/>
      <c r="L12" s="20"/>
      <c r="M12" s="20"/>
      <c r="N12" s="21" t="str">
        <f>IF(N(K12)&gt;0,ROUND(K12-IF(N(L12)&gt;0,ROUND(K12*MIN(N(M12),N(L12))/N(L12),2),K12),2),"")</f>
        <v/>
      </c>
      <c r="O12" s="18"/>
      <c r="P12" s="18"/>
      <c r="Q12" s="20"/>
      <c r="R12" s="20"/>
      <c r="S12" s="22" t="str">
        <f>IF(N(Q12)&gt;0,MIN(1,N(R12)/N(Q12)),"")</f>
        <v/>
      </c>
      <c r="T12" s="17"/>
      <c r="U12" s="17"/>
      <c r="V12" s="17"/>
      <c r="W12" s="23"/>
      <c r="X12" s="24"/>
    </row>
    <row r="13" ht="24" customHeight="1" spans="1:24" x14ac:dyDescent="0.25">
      <c r="A13" s="23"/>
      <c r="B13" s="17"/>
      <c r="C13" s="17"/>
      <c r="D13" s="17"/>
      <c r="E13" s="17"/>
      <c r="F13" s="17"/>
      <c r="G13" s="17"/>
      <c r="H13" s="17"/>
      <c r="I13" s="20"/>
      <c r="J13" s="18"/>
      <c r="K13" s="19"/>
      <c r="L13" s="20"/>
      <c r="M13" s="20"/>
      <c r="N13" s="21" t="str">
        <f>IF(N(K13)&gt;0,ROUND(K13-IF(N(L13)&gt;0,ROUND(K13*MIN(N(M13),N(L13))/N(L13),2),K13),2),"")</f>
        <v/>
      </c>
      <c r="O13" s="18"/>
      <c r="P13" s="18"/>
      <c r="Q13" s="20"/>
      <c r="R13" s="20"/>
      <c r="S13" s="22" t="str">
        <f>IF(N(Q13)&gt;0,MIN(1,N(R13)/N(Q13)),"")</f>
        <v/>
      </c>
      <c r="T13" s="17"/>
      <c r="U13" s="17"/>
      <c r="V13" s="17"/>
      <c r="W13" s="23"/>
      <c r="X13" s="24"/>
    </row>
    <row r="14" ht="24" customHeight="1" spans="1:24" x14ac:dyDescent="0.25">
      <c r="A14" s="23"/>
      <c r="B14" s="17"/>
      <c r="C14" s="17"/>
      <c r="D14" s="17"/>
      <c r="E14" s="17"/>
      <c r="F14" s="17"/>
      <c r="G14" s="17"/>
      <c r="H14" s="17"/>
      <c r="I14" s="20"/>
      <c r="J14" s="18"/>
      <c r="K14" s="19"/>
      <c r="L14" s="20"/>
      <c r="M14" s="20"/>
      <c r="N14" s="21" t="str">
        <f>IF(N(K14)&gt;0,ROUND(K14-IF(N(L14)&gt;0,ROUND(K14*MIN(N(M14),N(L14))/N(L14),2),K14),2),"")</f>
        <v/>
      </c>
      <c r="O14" s="18"/>
      <c r="P14" s="18"/>
      <c r="Q14" s="20"/>
      <c r="R14" s="20"/>
      <c r="S14" s="22" t="str">
        <f>IF(N(Q14)&gt;0,MIN(1,N(R14)/N(Q14)),"")</f>
        <v/>
      </c>
      <c r="T14" s="17"/>
      <c r="U14" s="17"/>
      <c r="V14" s="17"/>
      <c r="W14" s="23"/>
      <c r="X14" s="24"/>
    </row>
    <row r="15" ht="24" customHeight="1" spans="1:24" x14ac:dyDescent="0.25">
      <c r="A15" s="23"/>
      <c r="B15" s="17"/>
      <c r="C15" s="17"/>
      <c r="D15" s="17"/>
      <c r="E15" s="17"/>
      <c r="F15" s="17"/>
      <c r="G15" s="17"/>
      <c r="H15" s="17"/>
      <c r="I15" s="20"/>
      <c r="J15" s="18"/>
      <c r="K15" s="19"/>
      <c r="L15" s="20"/>
      <c r="M15" s="20"/>
      <c r="N15" s="21" t="str">
        <f>IF(N(K15)&gt;0,ROUND(K15-IF(N(L15)&gt;0,ROUND(K15*MIN(N(M15),N(L15))/N(L15),2),K15),2),"")</f>
        <v/>
      </c>
      <c r="O15" s="18"/>
      <c r="P15" s="18"/>
      <c r="Q15" s="20"/>
      <c r="R15" s="20"/>
      <c r="S15" s="22" t="str">
        <f>IF(N(Q15)&gt;0,MIN(1,N(R15)/N(Q15)),"")</f>
        <v/>
      </c>
      <c r="T15" s="17"/>
      <c r="U15" s="17"/>
      <c r="V15" s="17"/>
      <c r="W15" s="23"/>
      <c r="X15" s="24"/>
    </row>
    <row r="16" ht="24" customHeight="1" spans="1:24" x14ac:dyDescent="0.25">
      <c r="A16" s="23"/>
      <c r="B16" s="17"/>
      <c r="C16" s="17"/>
      <c r="D16" s="17"/>
      <c r="E16" s="17"/>
      <c r="F16" s="17"/>
      <c r="G16" s="17"/>
      <c r="H16" s="17"/>
      <c r="I16" s="20"/>
      <c r="J16" s="18"/>
      <c r="K16" s="19"/>
      <c r="L16" s="20"/>
      <c r="M16" s="20"/>
      <c r="N16" s="21" t="str">
        <f>IF(N(K16)&gt;0,ROUND(K16-IF(N(L16)&gt;0,ROUND(K16*MIN(N(M16),N(L16))/N(L16),2),K16),2),"")</f>
        <v/>
      </c>
      <c r="O16" s="18"/>
      <c r="P16" s="18"/>
      <c r="Q16" s="20"/>
      <c r="R16" s="20"/>
      <c r="S16" s="22" t="str">
        <f>IF(N(Q16)&gt;0,MIN(1,N(R16)/N(Q16)),"")</f>
        <v/>
      </c>
      <c r="T16" s="17"/>
      <c r="U16" s="17"/>
      <c r="V16" s="17"/>
      <c r="W16" s="23"/>
      <c r="X16" s="24"/>
    </row>
    <row r="17" ht="24" customHeight="1" spans="1:24" x14ac:dyDescent="0.25">
      <c r="A17" s="23"/>
      <c r="B17" s="17"/>
      <c r="C17" s="17"/>
      <c r="D17" s="17"/>
      <c r="E17" s="17"/>
      <c r="F17" s="17"/>
      <c r="G17" s="17"/>
      <c r="H17" s="17"/>
      <c r="I17" s="20"/>
      <c r="J17" s="18"/>
      <c r="K17" s="19"/>
      <c r="L17" s="20"/>
      <c r="M17" s="20"/>
      <c r="N17" s="21" t="str">
        <f>IF(N(K17)&gt;0,ROUND(K17-IF(N(L17)&gt;0,ROUND(K17*MIN(N(M17),N(L17))/N(L17),2),K17),2),"")</f>
        <v/>
      </c>
      <c r="O17" s="18"/>
      <c r="P17" s="18"/>
      <c r="Q17" s="20"/>
      <c r="R17" s="20"/>
      <c r="S17" s="22" t="str">
        <f>IF(N(Q17)&gt;0,MIN(1,N(R17)/N(Q17)),"")</f>
        <v/>
      </c>
      <c r="T17" s="17"/>
      <c r="U17" s="17"/>
      <c r="V17" s="17"/>
      <c r="W17" s="23"/>
      <c r="X17" s="24"/>
    </row>
    <row r="18" ht="24" customHeight="1" spans="1:24" x14ac:dyDescent="0.25">
      <c r="A18" s="23"/>
      <c r="B18" s="17"/>
      <c r="C18" s="17"/>
      <c r="D18" s="17"/>
      <c r="E18" s="17"/>
      <c r="F18" s="17"/>
      <c r="G18" s="17"/>
      <c r="H18" s="17"/>
      <c r="I18" s="20"/>
      <c r="J18" s="18"/>
      <c r="K18" s="19"/>
      <c r="L18" s="20"/>
      <c r="M18" s="20"/>
      <c r="N18" s="21" t="str">
        <f>IF(N(K18)&gt;0,ROUND(K18-IF(N(L18)&gt;0,ROUND(K18*MIN(N(M18),N(L18))/N(L18),2),K18),2),"")</f>
        <v/>
      </c>
      <c r="O18" s="18"/>
      <c r="P18" s="18"/>
      <c r="Q18" s="20"/>
      <c r="R18" s="20"/>
      <c r="S18" s="22" t="str">
        <f>IF(N(Q18)&gt;0,MIN(1,N(R18)/N(Q18)),"")</f>
        <v/>
      </c>
      <c r="T18" s="17"/>
      <c r="U18" s="17"/>
      <c r="V18" s="17"/>
      <c r="W18" s="23"/>
      <c r="X18" s="24"/>
    </row>
    <row r="19" ht="24" customHeight="1" spans="1:24" x14ac:dyDescent="0.25">
      <c r="A19" s="23"/>
      <c r="B19" s="17"/>
      <c r="C19" s="17"/>
      <c r="D19" s="17"/>
      <c r="E19" s="17"/>
      <c r="F19" s="17"/>
      <c r="G19" s="17"/>
      <c r="H19" s="17"/>
      <c r="I19" s="20"/>
      <c r="J19" s="18"/>
      <c r="K19" s="19"/>
      <c r="L19" s="20"/>
      <c r="M19" s="20"/>
      <c r="N19" s="21" t="str">
        <f>IF(N(K19)&gt;0,ROUND(K19-IF(N(L19)&gt;0,ROUND(K19*MIN(N(M19),N(L19))/N(L19),2),K19),2),"")</f>
        <v/>
      </c>
      <c r="O19" s="18"/>
      <c r="P19" s="18"/>
      <c r="Q19" s="20"/>
      <c r="R19" s="20"/>
      <c r="S19" s="22" t="str">
        <f>IF(N(Q19)&gt;0,MIN(1,N(R19)/N(Q19)),"")</f>
        <v/>
      </c>
      <c r="T19" s="17"/>
      <c r="U19" s="17"/>
      <c r="V19" s="17"/>
      <c r="W19" s="23"/>
      <c r="X19" s="24"/>
    </row>
    <row r="20" ht="24" customHeight="1" spans="1:24" x14ac:dyDescent="0.25">
      <c r="A20" s="23"/>
      <c r="B20" s="17"/>
      <c r="C20" s="17"/>
      <c r="D20" s="17"/>
      <c r="E20" s="17"/>
      <c r="F20" s="17"/>
      <c r="G20" s="17"/>
      <c r="H20" s="17"/>
      <c r="I20" s="20"/>
      <c r="J20" s="18"/>
      <c r="K20" s="19"/>
      <c r="L20" s="20"/>
      <c r="M20" s="20"/>
      <c r="N20" s="21" t="str">
        <f>IF(N(K20)&gt;0,ROUND(K20-IF(N(L20)&gt;0,ROUND(K20*MIN(N(M20),N(L20))/N(L20),2),K20),2),"")</f>
        <v/>
      </c>
      <c r="O20" s="18"/>
      <c r="P20" s="18"/>
      <c r="Q20" s="20"/>
      <c r="R20" s="20"/>
      <c r="S20" s="22" t="str">
        <f>IF(N(Q20)&gt;0,MIN(1,N(R20)/N(Q20)),"")</f>
        <v/>
      </c>
      <c r="T20" s="17"/>
      <c r="U20" s="17"/>
      <c r="V20" s="17"/>
      <c r="W20" s="23"/>
      <c r="X20" s="24"/>
    </row>
    <row r="21" ht="24" customHeight="1" spans="1:24" x14ac:dyDescent="0.25">
      <c r="A21" s="23"/>
      <c r="B21" s="17"/>
      <c r="C21" s="17"/>
      <c r="D21" s="17"/>
      <c r="E21" s="17"/>
      <c r="F21" s="17"/>
      <c r="G21" s="17"/>
      <c r="H21" s="17"/>
      <c r="I21" s="20"/>
      <c r="J21" s="18"/>
      <c r="K21" s="19"/>
      <c r="L21" s="20"/>
      <c r="M21" s="20"/>
      <c r="N21" s="21" t="str">
        <f>IF(N(K21)&gt;0,ROUND(K21-IF(N(L21)&gt;0,ROUND(K21*MIN(N(M21),N(L21))/N(L21),2),K21),2),"")</f>
        <v/>
      </c>
      <c r="O21" s="18"/>
      <c r="P21" s="18"/>
      <c r="Q21" s="20"/>
      <c r="R21" s="20"/>
      <c r="S21" s="22" t="str">
        <f>IF(N(Q21)&gt;0,MIN(1,N(R21)/N(Q21)),"")</f>
        <v/>
      </c>
      <c r="T21" s="17"/>
      <c r="U21" s="17"/>
      <c r="V21" s="17"/>
      <c r="W21" s="23"/>
      <c r="X21" s="24"/>
    </row>
    <row r="22" ht="24" customHeight="1" spans="1:24" x14ac:dyDescent="0.25">
      <c r="A22" s="23"/>
      <c r="B22" s="17"/>
      <c r="C22" s="17"/>
      <c r="D22" s="17"/>
      <c r="E22" s="17"/>
      <c r="F22" s="17"/>
      <c r="G22" s="17"/>
      <c r="H22" s="17"/>
      <c r="I22" s="20"/>
      <c r="J22" s="18"/>
      <c r="K22" s="19"/>
      <c r="L22" s="20"/>
      <c r="M22" s="20"/>
      <c r="N22" s="21" t="str">
        <f>IF(N(K22)&gt;0,ROUND(K22-IF(N(L22)&gt;0,ROUND(K22*MIN(N(M22),N(L22))/N(L22),2),K22),2),"")</f>
        <v/>
      </c>
      <c r="O22" s="18"/>
      <c r="P22" s="18"/>
      <c r="Q22" s="20"/>
      <c r="R22" s="20"/>
      <c r="S22" s="22" t="str">
        <f>IF(N(Q22)&gt;0,MIN(1,N(R22)/N(Q22)),"")</f>
        <v/>
      </c>
      <c r="T22" s="17"/>
      <c r="U22" s="17"/>
      <c r="V22" s="17"/>
      <c r="W22" s="23"/>
      <c r="X22" s="24"/>
    </row>
    <row r="23" ht="24" customHeight="1" spans="1:24" x14ac:dyDescent="0.25">
      <c r="A23" s="23"/>
      <c r="B23" s="17"/>
      <c r="C23" s="17"/>
      <c r="D23" s="17"/>
      <c r="E23" s="17"/>
      <c r="F23" s="17"/>
      <c r="G23" s="17"/>
      <c r="H23" s="17"/>
      <c r="I23" s="20"/>
      <c r="J23" s="18"/>
      <c r="K23" s="19"/>
      <c r="L23" s="20"/>
      <c r="M23" s="20"/>
      <c r="N23" s="21" t="str">
        <f>IF(N(K23)&gt;0,ROUND(K23-IF(N(L23)&gt;0,ROUND(K23*MIN(N(M23),N(L23))/N(L23),2),K23),2),"")</f>
        <v/>
      </c>
      <c r="O23" s="18"/>
      <c r="P23" s="18"/>
      <c r="Q23" s="20"/>
      <c r="R23" s="20"/>
      <c r="S23" s="22" t="str">
        <f>IF(N(Q23)&gt;0,MIN(1,N(R23)/N(Q23)),"")</f>
        <v/>
      </c>
      <c r="T23" s="17"/>
      <c r="U23" s="17"/>
      <c r="V23" s="17"/>
      <c r="W23" s="23"/>
      <c r="X23" s="24"/>
    </row>
    <row r="24" ht="24" customHeight="1" spans="1:24" x14ac:dyDescent="0.25">
      <c r="A24" s="23"/>
      <c r="B24" s="17"/>
      <c r="C24" s="17"/>
      <c r="D24" s="17"/>
      <c r="E24" s="17"/>
      <c r="F24" s="17"/>
      <c r="G24" s="17"/>
      <c r="H24" s="17"/>
      <c r="I24" s="20"/>
      <c r="J24" s="18"/>
      <c r="K24" s="19"/>
      <c r="L24" s="20"/>
      <c r="M24" s="20"/>
      <c r="N24" s="21" t="str">
        <f>IF(N(K24)&gt;0,ROUND(K24-IF(N(L24)&gt;0,ROUND(K24*MIN(N(M24),N(L24))/N(L24),2),K24),2),"")</f>
        <v/>
      </c>
      <c r="O24" s="18"/>
      <c r="P24" s="18"/>
      <c r="Q24" s="20"/>
      <c r="R24" s="20"/>
      <c r="S24" s="22" t="str">
        <f>IF(N(Q24)&gt;0,MIN(1,N(R24)/N(Q24)),"")</f>
        <v/>
      </c>
      <c r="T24" s="17"/>
      <c r="U24" s="17"/>
      <c r="V24" s="17"/>
      <c r="W24" s="23"/>
      <c r="X24" s="24"/>
    </row>
    <row r="25" ht="24" customHeight="1" spans="1:24" x14ac:dyDescent="0.25">
      <c r="A25" s="23"/>
      <c r="B25" s="17"/>
      <c r="C25" s="17"/>
      <c r="D25" s="17"/>
      <c r="E25" s="17"/>
      <c r="F25" s="17"/>
      <c r="G25" s="17"/>
      <c r="H25" s="17"/>
      <c r="I25" s="20"/>
      <c r="J25" s="18"/>
      <c r="K25" s="19"/>
      <c r="L25" s="20"/>
      <c r="M25" s="20"/>
      <c r="N25" s="21" t="str">
        <f>IF(N(K25)&gt;0,ROUND(K25-IF(N(L25)&gt;0,ROUND(K25*MIN(N(M25),N(L25))/N(L25),2),K25),2),"")</f>
        <v/>
      </c>
      <c r="O25" s="18"/>
      <c r="P25" s="18"/>
      <c r="Q25" s="20"/>
      <c r="R25" s="20"/>
      <c r="S25" s="22" t="str">
        <f>IF(N(Q25)&gt;0,MIN(1,N(R25)/N(Q25)),"")</f>
        <v/>
      </c>
      <c r="T25" s="17"/>
      <c r="U25" s="17"/>
      <c r="V25" s="17"/>
      <c r="W25" s="23"/>
      <c r="X25" s="24"/>
    </row>
    <row r="26" ht="24" customHeight="1" spans="1:24" x14ac:dyDescent="0.25">
      <c r="A26" s="23"/>
      <c r="B26" s="17"/>
      <c r="C26" s="17"/>
      <c r="D26" s="17"/>
      <c r="E26" s="17"/>
      <c r="F26" s="17"/>
      <c r="G26" s="17"/>
      <c r="H26" s="17"/>
      <c r="I26" s="20"/>
      <c r="J26" s="18"/>
      <c r="K26" s="19"/>
      <c r="L26" s="20"/>
      <c r="M26" s="20"/>
      <c r="N26" s="21" t="str">
        <f>IF(N(K26)&gt;0,ROUND(K26-IF(N(L26)&gt;0,ROUND(K26*MIN(N(M26),N(L26))/N(L26),2),K26),2),"")</f>
        <v/>
      </c>
      <c r="O26" s="18"/>
      <c r="P26" s="18"/>
      <c r="Q26" s="20"/>
      <c r="R26" s="20"/>
      <c r="S26" s="22" t="str">
        <f>IF(N(Q26)&gt;0,MIN(1,N(R26)/N(Q26)),"")</f>
        <v/>
      </c>
      <c r="T26" s="17"/>
      <c r="U26" s="17"/>
      <c r="V26" s="17"/>
      <c r="W26" s="23"/>
      <c r="X26" s="24"/>
    </row>
    <row r="27" ht="24" customHeight="1" spans="1:24" x14ac:dyDescent="0.25">
      <c r="A27" s="23"/>
      <c r="B27" s="17"/>
      <c r="C27" s="17"/>
      <c r="D27" s="17"/>
      <c r="E27" s="17"/>
      <c r="F27" s="17"/>
      <c r="G27" s="17"/>
      <c r="H27" s="17"/>
      <c r="I27" s="20"/>
      <c r="J27" s="18"/>
      <c r="K27" s="19"/>
      <c r="L27" s="20"/>
      <c r="M27" s="20"/>
      <c r="N27" s="21" t="str">
        <f>IF(N(K27)&gt;0,ROUND(K27-IF(N(L27)&gt;0,ROUND(K27*MIN(N(M27),N(L27))/N(L27),2),K27),2),"")</f>
        <v/>
      </c>
      <c r="O27" s="18"/>
      <c r="P27" s="18"/>
      <c r="Q27" s="20"/>
      <c r="R27" s="20"/>
      <c r="S27" s="22" t="str">
        <f>IF(N(Q27)&gt;0,MIN(1,N(R27)/N(Q27)),"")</f>
        <v/>
      </c>
      <c r="T27" s="17"/>
      <c r="U27" s="17"/>
      <c r="V27" s="17"/>
      <c r="W27" s="23"/>
      <c r="X27" s="24"/>
    </row>
    <row r="28" ht="24" customHeight="1" spans="1:24" x14ac:dyDescent="0.25">
      <c r="A28" s="23"/>
      <c r="B28" s="17"/>
      <c r="C28" s="17"/>
      <c r="D28" s="17"/>
      <c r="E28" s="17"/>
      <c r="F28" s="17"/>
      <c r="G28" s="17"/>
      <c r="H28" s="17"/>
      <c r="I28" s="20"/>
      <c r="J28" s="18"/>
      <c r="K28" s="19"/>
      <c r="L28" s="20"/>
      <c r="M28" s="20"/>
      <c r="N28" s="21" t="str">
        <f>IF(N(K28)&gt;0,ROUND(K28-IF(N(L28)&gt;0,ROUND(K28*MIN(N(M28),N(L28))/N(L28),2),K28),2),"")</f>
        <v/>
      </c>
      <c r="O28" s="18"/>
      <c r="P28" s="18"/>
      <c r="Q28" s="20"/>
      <c r="R28" s="20"/>
      <c r="S28" s="22" t="str">
        <f>IF(N(Q28)&gt;0,MIN(1,N(R28)/N(Q28)),"")</f>
        <v/>
      </c>
      <c r="T28" s="17"/>
      <c r="U28" s="17"/>
      <c r="V28" s="17"/>
      <c r="W28" s="23"/>
      <c r="X28" s="24"/>
    </row>
    <row r="29" ht="24" customHeight="1" spans="1:24" x14ac:dyDescent="0.25">
      <c r="A29" s="23"/>
      <c r="B29" s="17"/>
      <c r="C29" s="17"/>
      <c r="D29" s="17"/>
      <c r="E29" s="17"/>
      <c r="F29" s="17"/>
      <c r="G29" s="17"/>
      <c r="H29" s="17"/>
      <c r="I29" s="20"/>
      <c r="J29" s="18"/>
      <c r="K29" s="19"/>
      <c r="L29" s="20"/>
      <c r="M29" s="20"/>
      <c r="N29" s="21" t="str">
        <f>IF(N(K29)&gt;0,ROUND(K29-IF(N(L29)&gt;0,ROUND(K29*MIN(N(M29),N(L29))/N(L29),2),K29),2),"")</f>
        <v/>
      </c>
      <c r="O29" s="18"/>
      <c r="P29" s="18"/>
      <c r="Q29" s="20"/>
      <c r="R29" s="20"/>
      <c r="S29" s="22" t="str">
        <f>IF(N(Q29)&gt;0,MIN(1,N(R29)/N(Q29)),"")</f>
        <v/>
      </c>
      <c r="T29" s="17"/>
      <c r="U29" s="17"/>
      <c r="V29" s="17"/>
      <c r="W29" s="23"/>
      <c r="X29" s="24"/>
    </row>
    <row r="30" ht="24" customHeight="1" spans="1:24" x14ac:dyDescent="0.25">
      <c r="A30" s="23"/>
      <c r="B30" s="17"/>
      <c r="C30" s="17"/>
      <c r="D30" s="17"/>
      <c r="E30" s="17"/>
      <c r="F30" s="17"/>
      <c r="G30" s="17"/>
      <c r="H30" s="17"/>
      <c r="I30" s="20"/>
      <c r="J30" s="18"/>
      <c r="K30" s="19"/>
      <c r="L30" s="20"/>
      <c r="M30" s="20"/>
      <c r="N30" s="21" t="str">
        <f>IF(N(K30)&gt;0,ROUND(K30-IF(N(L30)&gt;0,ROUND(K30*MIN(N(M30),N(L30))/N(L30),2),K30),2),"")</f>
        <v/>
      </c>
      <c r="O30" s="18"/>
      <c r="P30" s="18"/>
      <c r="Q30" s="20"/>
      <c r="R30" s="20"/>
      <c r="S30" s="22" t="str">
        <f>IF(N(Q30)&gt;0,MIN(1,N(R30)/N(Q30)),"")</f>
        <v/>
      </c>
      <c r="T30" s="17"/>
      <c r="U30" s="17"/>
      <c r="V30" s="17"/>
      <c r="W30" s="23"/>
      <c r="X30" s="24"/>
    </row>
    <row r="31" ht="24" customHeight="1" spans="1:24" x14ac:dyDescent="0.25">
      <c r="A31" s="23"/>
      <c r="B31" s="17"/>
      <c r="C31" s="17"/>
      <c r="D31" s="17"/>
      <c r="E31" s="17"/>
      <c r="F31" s="17"/>
      <c r="G31" s="17"/>
      <c r="H31" s="17"/>
      <c r="I31" s="20"/>
      <c r="J31" s="18"/>
      <c r="K31" s="19"/>
      <c r="L31" s="20"/>
      <c r="M31" s="20"/>
      <c r="N31" s="21" t="str">
        <f>IF(N(K31)&gt;0,ROUND(K31-IF(N(L31)&gt;0,ROUND(K31*MIN(N(M31),N(L31))/N(L31),2),K31),2),"")</f>
        <v/>
      </c>
      <c r="O31" s="18"/>
      <c r="P31" s="18"/>
      <c r="Q31" s="20"/>
      <c r="R31" s="20"/>
      <c r="S31" s="22" t="str">
        <f>IF(N(Q31)&gt;0,MIN(1,N(R31)/N(Q31)),"")</f>
        <v/>
      </c>
      <c r="T31" s="17"/>
      <c r="U31" s="17"/>
      <c r="V31" s="17"/>
      <c r="W31" s="23"/>
      <c r="X31" s="24"/>
    </row>
    <row r="32" ht="24" customHeight="1" spans="1:24" x14ac:dyDescent="0.25">
      <c r="A32" s="23"/>
      <c r="B32" s="17"/>
      <c r="C32" s="17"/>
      <c r="D32" s="17"/>
      <c r="E32" s="17"/>
      <c r="F32" s="17"/>
      <c r="G32" s="17"/>
      <c r="H32" s="17"/>
      <c r="I32" s="20"/>
      <c r="J32" s="18"/>
      <c r="K32" s="19"/>
      <c r="L32" s="20"/>
      <c r="M32" s="20"/>
      <c r="N32" s="21" t="str">
        <f>IF(N(K32)&gt;0,ROUND(K32-IF(N(L32)&gt;0,ROUND(K32*MIN(N(M32),N(L32))/N(L32),2),K32),2),"")</f>
        <v/>
      </c>
      <c r="O32" s="18"/>
      <c r="P32" s="18"/>
      <c r="Q32" s="20"/>
      <c r="R32" s="20"/>
      <c r="S32" s="22" t="str">
        <f>IF(N(Q32)&gt;0,MIN(1,N(R32)/N(Q32)),"")</f>
        <v/>
      </c>
      <c r="T32" s="17"/>
      <c r="U32" s="17"/>
      <c r="V32" s="17"/>
      <c r="W32" s="23"/>
      <c r="X32" s="24"/>
    </row>
    <row r="33" ht="24" customHeight="1" spans="1:24" x14ac:dyDescent="0.25">
      <c r="A33" s="23"/>
      <c r="B33" s="17"/>
      <c r="C33" s="17"/>
      <c r="D33" s="17"/>
      <c r="E33" s="17"/>
      <c r="F33" s="17"/>
      <c r="G33" s="17"/>
      <c r="H33" s="17"/>
      <c r="I33" s="20"/>
      <c r="J33" s="18"/>
      <c r="K33" s="19"/>
      <c r="L33" s="20"/>
      <c r="M33" s="20"/>
      <c r="N33" s="21" t="str">
        <f>IF(N(K33)&gt;0,ROUND(K33-IF(N(L33)&gt;0,ROUND(K33*MIN(N(M33),N(L33))/N(L33),2),K33),2),"")</f>
        <v/>
      </c>
      <c r="O33" s="18"/>
      <c r="P33" s="18"/>
      <c r="Q33" s="20"/>
      <c r="R33" s="20"/>
      <c r="S33" s="22" t="str">
        <f>IF(N(Q33)&gt;0,MIN(1,N(R33)/N(Q33)),"")</f>
        <v/>
      </c>
      <c r="T33" s="17"/>
      <c r="U33" s="17"/>
      <c r="V33" s="17"/>
      <c r="W33" s="23"/>
      <c r="X33" s="24"/>
    </row>
    <row r="34" ht="24" customHeight="1" spans="1:24" x14ac:dyDescent="0.25">
      <c r="A34" s="23"/>
      <c r="B34" s="17"/>
      <c r="C34" s="17"/>
      <c r="D34" s="17"/>
      <c r="E34" s="17"/>
      <c r="F34" s="17"/>
      <c r="G34" s="17"/>
      <c r="H34" s="17"/>
      <c r="I34" s="20"/>
      <c r="J34" s="18"/>
      <c r="K34" s="19"/>
      <c r="L34" s="20"/>
      <c r="M34" s="20"/>
      <c r="N34" s="21" t="str">
        <f>IF(N(K34)&gt;0,ROUND(K34-IF(N(L34)&gt;0,ROUND(K34*MIN(N(M34),N(L34))/N(L34),2),K34),2),"")</f>
        <v/>
      </c>
      <c r="O34" s="18"/>
      <c r="P34" s="18"/>
      <c r="Q34" s="20"/>
      <c r="R34" s="20"/>
      <c r="S34" s="22" t="str">
        <f>IF(N(Q34)&gt;0,MIN(1,N(R34)/N(Q34)),"")</f>
        <v/>
      </c>
      <c r="T34" s="17"/>
      <c r="U34" s="17"/>
      <c r="V34" s="17"/>
      <c r="W34" s="23"/>
      <c r="X34" s="24"/>
    </row>
    <row r="35" ht="24" customHeight="1" spans="1:24" x14ac:dyDescent="0.25">
      <c r="A35" s="23"/>
      <c r="B35" s="17"/>
      <c r="C35" s="17"/>
      <c r="D35" s="17"/>
      <c r="E35" s="17"/>
      <c r="F35" s="17"/>
      <c r="G35" s="17"/>
      <c r="H35" s="17"/>
      <c r="I35" s="20"/>
      <c r="J35" s="18"/>
      <c r="K35" s="19"/>
      <c r="L35" s="20"/>
      <c r="M35" s="20"/>
      <c r="N35" s="21" t="str">
        <f>IF(N(K35)&gt;0,ROUND(K35-IF(N(L35)&gt;0,ROUND(K35*MIN(N(M35),N(L35))/N(L35),2),K35),2),"")</f>
        <v/>
      </c>
      <c r="O35" s="18"/>
      <c r="P35" s="18"/>
      <c r="Q35" s="20"/>
      <c r="R35" s="20"/>
      <c r="S35" s="22" t="str">
        <f>IF(N(Q35)&gt;0,MIN(1,N(R35)/N(Q35)),"")</f>
        <v/>
      </c>
      <c r="T35" s="17"/>
      <c r="U35" s="17"/>
      <c r="V35" s="17"/>
      <c r="W35" s="23"/>
      <c r="X35" s="24"/>
    </row>
    <row r="36" ht="24" customHeight="1" spans="1:24" x14ac:dyDescent="0.25">
      <c r="A36" s="23"/>
      <c r="B36" s="17"/>
      <c r="C36" s="17"/>
      <c r="D36" s="17"/>
      <c r="E36" s="17"/>
      <c r="F36" s="17"/>
      <c r="G36" s="17"/>
      <c r="H36" s="17"/>
      <c r="I36" s="20"/>
      <c r="J36" s="18"/>
      <c r="K36" s="19"/>
      <c r="L36" s="20"/>
      <c r="M36" s="20"/>
      <c r="N36" s="21" t="str">
        <f>IF(N(K36)&gt;0,ROUND(K36-IF(N(L36)&gt;0,ROUND(K36*MIN(N(M36),N(L36))/N(L36),2),K36),2),"")</f>
        <v/>
      </c>
      <c r="O36" s="18"/>
      <c r="P36" s="18"/>
      <c r="Q36" s="20"/>
      <c r="R36" s="20"/>
      <c r="S36" s="22" t="str">
        <f>IF(N(Q36)&gt;0,MIN(1,N(R36)/N(Q36)),"")</f>
        <v/>
      </c>
      <c r="T36" s="17"/>
      <c r="U36" s="17"/>
      <c r="V36" s="17"/>
      <c r="W36" s="23"/>
      <c r="X36" s="24"/>
    </row>
    <row r="37" ht="24" customHeight="1" spans="1:24" x14ac:dyDescent="0.25">
      <c r="A37" s="23"/>
      <c r="B37" s="17"/>
      <c r="C37" s="17"/>
      <c r="D37" s="17"/>
      <c r="E37" s="17"/>
      <c r="F37" s="17"/>
      <c r="G37" s="17"/>
      <c r="H37" s="17"/>
      <c r="I37" s="20"/>
      <c r="J37" s="18"/>
      <c r="K37" s="19"/>
      <c r="L37" s="20"/>
      <c r="M37" s="20"/>
      <c r="N37" s="21" t="str">
        <f>IF(N(K37)&gt;0,ROUND(K37-IF(N(L37)&gt;0,ROUND(K37*MIN(N(M37),N(L37))/N(L37),2),K37),2),"")</f>
        <v/>
      </c>
      <c r="O37" s="18"/>
      <c r="P37" s="18"/>
      <c r="Q37" s="20"/>
      <c r="R37" s="20"/>
      <c r="S37" s="22" t="str">
        <f>IF(N(Q37)&gt;0,MIN(1,N(R37)/N(Q37)),"")</f>
        <v/>
      </c>
      <c r="T37" s="17"/>
      <c r="U37" s="17"/>
      <c r="V37" s="17"/>
      <c r="W37" s="23"/>
      <c r="X37" s="24"/>
    </row>
    <row r="38" ht="24" customHeight="1" spans="1:24" x14ac:dyDescent="0.25">
      <c r="A38" s="23"/>
      <c r="B38" s="17"/>
      <c r="C38" s="17"/>
      <c r="D38" s="17"/>
      <c r="E38" s="17"/>
      <c r="F38" s="17"/>
      <c r="G38" s="17"/>
      <c r="H38" s="17"/>
      <c r="I38" s="20"/>
      <c r="J38" s="18"/>
      <c r="K38" s="19"/>
      <c r="L38" s="20"/>
      <c r="M38" s="20"/>
      <c r="N38" s="21" t="str">
        <f>IF(N(K38)&gt;0,ROUND(K38-IF(N(L38)&gt;0,ROUND(K38*MIN(N(M38),N(L38))/N(L38),2),K38),2),"")</f>
        <v/>
      </c>
      <c r="O38" s="18"/>
      <c r="P38" s="18"/>
      <c r="Q38" s="20"/>
      <c r="R38" s="20"/>
      <c r="S38" s="22" t="str">
        <f>IF(N(Q38)&gt;0,MIN(1,N(R38)/N(Q38)),"")</f>
        <v/>
      </c>
      <c r="T38" s="17"/>
      <c r="U38" s="17"/>
      <c r="V38" s="17"/>
      <c r="W38" s="23"/>
      <c r="X38" s="24"/>
    </row>
    <row r="39" ht="24" customHeight="1" spans="1:24" x14ac:dyDescent="0.25">
      <c r="A39" s="23"/>
      <c r="B39" s="17"/>
      <c r="C39" s="17"/>
      <c r="D39" s="17"/>
      <c r="E39" s="17"/>
      <c r="F39" s="17"/>
      <c r="G39" s="17"/>
      <c r="H39" s="17"/>
      <c r="I39" s="20"/>
      <c r="J39" s="18"/>
      <c r="K39" s="19"/>
      <c r="L39" s="20"/>
      <c r="M39" s="20"/>
      <c r="N39" s="21" t="str">
        <f>IF(N(K39)&gt;0,ROUND(K39-IF(N(L39)&gt;0,ROUND(K39*MIN(N(M39),N(L39))/N(L39),2),K39),2),"")</f>
        <v/>
      </c>
      <c r="O39" s="18"/>
      <c r="P39" s="18"/>
      <c r="Q39" s="20"/>
      <c r="R39" s="20"/>
      <c r="S39" s="22" t="str">
        <f>IF(N(Q39)&gt;0,MIN(1,N(R39)/N(Q39)),"")</f>
        <v/>
      </c>
      <c r="T39" s="17"/>
      <c r="U39" s="17"/>
      <c r="V39" s="17"/>
      <c r="W39" s="23"/>
      <c r="X39" s="24"/>
    </row>
    <row r="40" ht="24" customHeight="1" spans="1:24" x14ac:dyDescent="0.25">
      <c r="A40" s="23"/>
      <c r="B40" s="17"/>
      <c r="C40" s="17"/>
      <c r="D40" s="17"/>
      <c r="E40" s="17"/>
      <c r="F40" s="17"/>
      <c r="G40" s="17"/>
      <c r="H40" s="17"/>
      <c r="I40" s="20"/>
      <c r="J40" s="18"/>
      <c r="K40" s="19"/>
      <c r="L40" s="20"/>
      <c r="M40" s="20"/>
      <c r="N40" s="21" t="str">
        <f>IF(N(K40)&gt;0,ROUND(K40-IF(N(L40)&gt;0,ROUND(K40*MIN(N(M40),N(L40))/N(L40),2),K40),2),"")</f>
        <v/>
      </c>
      <c r="O40" s="18"/>
      <c r="P40" s="18"/>
      <c r="Q40" s="20"/>
      <c r="R40" s="20"/>
      <c r="S40" s="22" t="str">
        <f>IF(N(Q40)&gt;0,MIN(1,N(R40)/N(Q40)),"")</f>
        <v/>
      </c>
      <c r="T40" s="17"/>
      <c r="U40" s="17"/>
      <c r="V40" s="17"/>
      <c r="W40" s="23"/>
      <c r="X40" s="24"/>
    </row>
    <row r="41" ht="24" customHeight="1" spans="1:24" x14ac:dyDescent="0.25">
      <c r="A41" s="23"/>
      <c r="B41" s="17"/>
      <c r="C41" s="17"/>
      <c r="D41" s="17"/>
      <c r="E41" s="17"/>
      <c r="F41" s="17"/>
      <c r="G41" s="17"/>
      <c r="H41" s="17"/>
      <c r="I41" s="20"/>
      <c r="J41" s="18"/>
      <c r="K41" s="19"/>
      <c r="L41" s="20"/>
      <c r="M41" s="20"/>
      <c r="N41" s="21" t="str">
        <f>IF(N(K41)&gt;0,ROUND(K41-IF(N(L41)&gt;0,ROUND(K41*MIN(N(M41),N(L41))/N(L41),2),K41),2),"")</f>
        <v/>
      </c>
      <c r="O41" s="18"/>
      <c r="P41" s="18"/>
      <c r="Q41" s="20"/>
      <c r="R41" s="20"/>
      <c r="S41" s="22" t="str">
        <f>IF(N(Q41)&gt;0,MIN(1,N(R41)/N(Q41)),"")</f>
        <v/>
      </c>
      <c r="T41" s="17"/>
      <c r="U41" s="17"/>
      <c r="V41" s="17"/>
      <c r="W41" s="23"/>
      <c r="X41" s="24"/>
    </row>
    <row r="42" ht="24" customHeight="1" spans="1:24" x14ac:dyDescent="0.25">
      <c r="A42" s="23"/>
      <c r="B42" s="17"/>
      <c r="C42" s="17"/>
      <c r="D42" s="17"/>
      <c r="E42" s="17"/>
      <c r="F42" s="17"/>
      <c r="G42" s="17"/>
      <c r="H42" s="17"/>
      <c r="I42" s="20"/>
      <c r="J42" s="18"/>
      <c r="K42" s="19"/>
      <c r="L42" s="20"/>
      <c r="M42" s="20"/>
      <c r="N42" s="21" t="str">
        <f>IF(N(K42)&gt;0,ROUND(K42-IF(N(L42)&gt;0,ROUND(K42*MIN(N(M42),N(L42))/N(L42),2),K42),2),"")</f>
        <v/>
      </c>
      <c r="O42" s="18"/>
      <c r="P42" s="18"/>
      <c r="Q42" s="20"/>
      <c r="R42" s="20"/>
      <c r="S42" s="22" t="str">
        <f>IF(N(Q42)&gt;0,MIN(1,N(R42)/N(Q42)),"")</f>
        <v/>
      </c>
      <c r="T42" s="17"/>
      <c r="U42" s="17"/>
      <c r="V42" s="17"/>
      <c r="W42" s="23"/>
      <c r="X42" s="24"/>
    </row>
  </sheetData>
  <autoFilter ref="A1:X1"/>
  <conditionalFormatting sqref="T2:T42">
    <cfRule type="cellIs" dxfId="16" priority="1" operator="equal">
      <formula>"Concluído"</formula>
    </cfRule>
    <cfRule type="cellIs" dxfId="17" priority="2" operator="equal">
      <formula>"Em andamento"</formula>
    </cfRule>
    <cfRule type="cellIs" dxfId="18" priority="3" operator="equal">
      <formula>"Pausado"</formula>
    </cfRule>
    <cfRule type="cellIs" dxfId="19" priority="4" operator="equal">
      <formula>"Não iniciado"</formula>
    </cfRule>
  </conditionalFormatting>
  <conditionalFormatting sqref="U2:U42">
    <cfRule type="cellIs" dxfId="20" priority="10" operator="equal">
      <formula>"Alta"</formula>
    </cfRule>
  </conditionalFormatting>
  <conditionalFormatting sqref="N2:N42">
    <cfRule type="cellIs" dxfId="21" priority="11" operator="greaterThan">
      <formula>0</formula>
    </cfRule>
  </conditionalFormatting>
  <conditionalFormatting sqref="S2:S42">
    <cfRule type="dataBar" priority="14">
      <dataBar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{523D52B0-7967-45C7-B6E0-2C93B412C027}</x14:id>
        </ext>
      </extLst>
    </cfRule>
  </conditionalFormatting>
  <dataValidations count="22">
    <dataValidation type="list" allowBlank="1" showErrorMessage="1" errorStyle="warning" errorTitle="Valor fora da lista" error="Escolha um valor da lista." sqref="E10:E42">
      <formula1>Listas!$E$2:$E$5</formula1>
    </dataValidation>
    <dataValidation type="list" allowBlank="1" showErrorMessage="1" errorStyle="warning" errorTitle="Valor fora da lista" error="Escolha um valor da lista." sqref="E2:E42">
      <formula1>Listas!$E$2:$E$5</formula1>
    </dataValidation>
    <dataValidation type="list" allowBlank="1" showErrorMessage="1" errorStyle="warning" errorTitle="Valor fora da lista" error="Escolha um valor da lista." sqref="F10:F42">
      <formula1>Listas!$F$2:$F$35</formula1>
    </dataValidation>
    <dataValidation type="list" allowBlank="1" showErrorMessage="1" errorStyle="warning" errorTitle="Valor fora da lista" error="Escolha um valor da lista." sqref="F2:F42">
      <formula1>Listas!$F$2:$F$35</formula1>
    </dataValidation>
    <dataValidation type="list" allowBlank="1" showErrorMessage="1" errorStyle="warning" errorTitle="Valor fora da lista" error="Escolha um valor da lista." sqref="H10:H42">
      <formula1>Listas!$D$2:$D$5</formula1>
    </dataValidation>
    <dataValidation type="list" allowBlank="1" showErrorMessage="1" errorStyle="warning" errorTitle="Valor fora da lista" error="Escolha um valor da lista." sqref="H2:H42">
      <formula1>Listas!$D$2:$D$5</formula1>
    </dataValidation>
    <dataValidation type="whole" allowBlank="1" showErrorMessage="1" errorTitle="Nota inválida" error="A nota vai de 1 a 5." sqref="I10:I42">
      <formula1>1</formula1>
      <formula2>5</formula2>
    </dataValidation>
    <dataValidation type="whole" allowBlank="1" showErrorMessage="1" errorTitle="Nota inválida" error="A nota vai de 1 a 5." sqref="I2:I42">
      <formula1>1</formula1>
      <formula2>5</formula2>
    </dataValidation>
    <dataValidation type="date" operator="greaterThan" allowBlank="1" showErrorMessage="1" errorStyle="stop" errorTitle="Data inválida" error="Use uma data no formato dd/mm/aaaa." sqref="J10:J42">
      <formula1>25569.00042275463</formula1>
    </dataValidation>
    <dataValidation type="date" operator="greaterThan" allowBlank="1" showErrorMessage="1" errorStyle="stop" errorTitle="Data inválida" error="Use uma data no formato dd/mm/aaaa." sqref="J2:J42">
      <formula1>25569.00042275463</formula1>
    </dataValidation>
    <dataValidation type="decimal" operator="greaterThanOrEqual" allowBlank="1" showErrorMessage="1" errorStyle="stop" errorTitle="Valor inválido" error="Informe um valor numérico maior ou igual a zero." sqref="K10:K42">
      <formula1>0</formula1>
    </dataValidation>
    <dataValidation type="decimal" operator="greaterThanOrEqual" allowBlank="1" showErrorMessage="1" errorStyle="stop" errorTitle="Valor inválido" error="Informe um valor numérico maior ou igual a zero." sqref="K2:K42">
      <formula1>0</formula1>
    </dataValidation>
    <dataValidation type="whole" operator="greaterThanOrEqual" allowBlank="1" showErrorMessage="1" errorStyle="stop" errorTitle="Número inválido" error="Informe um número inteiro maior ou igual a zero." sqref="L10:M42">
      <formula1>0</formula1>
    </dataValidation>
    <dataValidation type="whole" operator="greaterThanOrEqual" allowBlank="1" showErrorMessage="1" errorStyle="stop" errorTitle="Número inválido" error="Informe um número inteiro maior ou igual a zero." sqref="L2:M42">
      <formula1>0</formula1>
    </dataValidation>
    <dataValidation type="date" operator="greaterThan" allowBlank="1" showErrorMessage="1" errorStyle="stop" errorTitle="Data inválida" error="Use uma data no formato dd/mm/aaaa." sqref="O10:P42">
      <formula1>25569.00042275463</formula1>
    </dataValidation>
    <dataValidation type="date" operator="greaterThan" allowBlank="1" showErrorMessage="1" errorStyle="stop" errorTitle="Data inválida" error="Use uma data no formato dd/mm/aaaa." sqref="O2:P42">
      <formula1>25569.00042275463</formula1>
    </dataValidation>
    <dataValidation type="whole" operator="greaterThanOrEqual" allowBlank="1" showErrorMessage="1" errorStyle="stop" errorTitle="Número inválido" error="Informe um número inteiro maior ou igual a zero." sqref="Q10:R42">
      <formula1>0</formula1>
    </dataValidation>
    <dataValidation type="whole" operator="greaterThanOrEqual" allowBlank="1" showErrorMessage="1" errorStyle="stop" errorTitle="Número inválido" error="Informe um número inteiro maior ou igual a zero." sqref="Q2:R42">
      <formula1>0</formula1>
    </dataValidation>
    <dataValidation type="list" allowBlank="1" showErrorMessage="1" errorStyle="warning" errorTitle="Valor fora da lista" error="Escolha um valor da lista." sqref="T10:T42">
      <formula1>Listas!$A$2:$A$5</formula1>
    </dataValidation>
    <dataValidation type="list" allowBlank="1" showErrorMessage="1" errorStyle="warning" errorTitle="Valor fora da lista" error="Escolha um valor da lista." sqref="T2:T42">
      <formula1>Listas!$A$2:$A$5</formula1>
    </dataValidation>
    <dataValidation type="list" allowBlank="1" showErrorMessage="1" errorStyle="warning" errorTitle="Valor fora da lista" error="Escolha um valor da lista." sqref="U10:U42">
      <formula1>Listas!$B$2:$B$4</formula1>
    </dataValidation>
    <dataValidation type="list" allowBlank="1" showErrorMessage="1" errorStyle="warning" errorTitle="Valor fora da lista" error="Escolha um valor da lista." sqref="U2:U42">
      <formula1>Listas!$B$2:$B$4</formula1>
    </dataValidation>
  </dataValidations>
  <pageSetup paperSize="9" orientation="landscape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D52B0-7967-45C7-B6E0-2C93B412C027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S2:S42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8E6E"/>
    <pageSetUpPr fitToPage="1"/>
  </sheetPr>
  <dimension ref="A1:U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3" width="24" customWidth="1"/>
    <col min="4" max="4" width="15" customWidth="1"/>
    <col min="5" max="5" width="18" customWidth="1"/>
    <col min="6" max="7" width="14" customWidth="1"/>
    <col min="8" max="8" width="18" customWidth="1"/>
    <col min="9" max="11" width="15" customWidth="1"/>
    <col min="12" max="13" width="14" customWidth="1"/>
    <col min="14" max="17" width="16" customWidth="1"/>
    <col min="18" max="18" width="22" customWidth="1"/>
    <col min="19" max="19" width="30" customWidth="1"/>
    <col min="20" max="20" width="34" customWidth="1"/>
    <col min="21" max="21" width="12" customWidth="1"/>
  </cols>
  <sheetData>
    <row r="1" ht="34" customHeight="1" spans="1:21" x14ac:dyDescent="0.25">
      <c r="A1" s="14" t="s">
        <v>85</v>
      </c>
      <c r="B1" s="14" t="s">
        <v>86</v>
      </c>
      <c r="C1" s="14" t="s">
        <v>87</v>
      </c>
      <c r="D1" s="14" t="s">
        <v>26</v>
      </c>
      <c r="E1" s="14" t="s">
        <v>12</v>
      </c>
      <c r="F1" s="14" t="s">
        <v>27</v>
      </c>
      <c r="G1" s="14" t="s">
        <v>28</v>
      </c>
      <c r="H1" s="15" t="s">
        <v>14</v>
      </c>
      <c r="I1" s="14" t="s">
        <v>29</v>
      </c>
      <c r="J1" s="14" t="s">
        <v>30</v>
      </c>
      <c r="K1" s="14" t="s">
        <v>31</v>
      </c>
      <c r="L1" s="14" t="s">
        <v>88</v>
      </c>
      <c r="M1" s="14" t="s">
        <v>89</v>
      </c>
      <c r="N1" s="15" t="s">
        <v>34</v>
      </c>
      <c r="O1" s="14" t="s">
        <v>35</v>
      </c>
      <c r="P1" s="14" t="s">
        <v>36</v>
      </c>
      <c r="Q1" s="14" t="s">
        <v>37</v>
      </c>
      <c r="R1" s="14" t="s">
        <v>38</v>
      </c>
      <c r="S1" s="14" t="s">
        <v>39</v>
      </c>
      <c r="T1" s="14" t="s">
        <v>40</v>
      </c>
      <c r="U1" s="14" t="s">
        <v>41</v>
      </c>
    </row>
    <row r="2" ht="24" customHeight="1" spans="1:21" x14ac:dyDescent="0.25">
      <c r="A2" s="16" t="s">
        <v>90</v>
      </c>
      <c r="B2" s="17" t="s">
        <v>59</v>
      </c>
      <c r="C2" s="17" t="s">
        <v>91</v>
      </c>
      <c r="D2" s="18">
        <v>46277</v>
      </c>
      <c r="E2" s="19">
        <v>497</v>
      </c>
      <c r="F2" s="20">
        <v>12</v>
      </c>
      <c r="G2" s="20">
        <v>1</v>
      </c>
      <c r="H2" s="21">
        <f>IF(N(E2)&gt;0,ROUND(E2-IF(N(F2)&gt;0,ROUND(E2*MIN(N(G2),N(F2))/N(F2),2),E2),2),"")</f>
        <v>455.58</v>
      </c>
      <c r="I2" s="18">
        <v>46285</v>
      </c>
      <c r="J2" s="18">
        <v>46376</v>
      </c>
      <c r="K2" s="18">
        <v>46642</v>
      </c>
      <c r="L2" s="20">
        <v>60</v>
      </c>
      <c r="M2" s="20">
        <v>18</v>
      </c>
      <c r="N2" s="22">
        <f>IF(N(L2)&gt;0,MIN(1,N(M2)/N(L2)),"")</f>
        <v>0.3</v>
      </c>
      <c r="O2" s="17" t="s">
        <v>45</v>
      </c>
      <c r="P2" s="17" t="s">
        <v>46</v>
      </c>
      <c r="Q2" s="17" t="s">
        <v>47</v>
      </c>
      <c r="R2" s="17" t="s">
        <v>48</v>
      </c>
      <c r="S2" s="17"/>
      <c r="T2" s="23"/>
      <c r="U2" s="24" t="s">
        <v>92</v>
      </c>
    </row>
    <row r="3" ht="24" customHeight="1" spans="1:21" x14ac:dyDescent="0.25">
      <c r="A3" s="23"/>
      <c r="B3" s="17"/>
      <c r="C3" s="17"/>
      <c r="D3" s="18"/>
      <c r="E3" s="19"/>
      <c r="F3" s="20"/>
      <c r="G3" s="20"/>
      <c r="H3" s="21" t="str">
        <f>IF(N(E3)&gt;0,ROUND(E3-IF(N(F3)&gt;0,ROUND(E3*MIN(N(G3),N(F3))/N(F3),2),E3),2),"")</f>
        <v/>
      </c>
      <c r="I3" s="18"/>
      <c r="J3" s="18"/>
      <c r="K3" s="18"/>
      <c r="L3" s="20"/>
      <c r="M3" s="20"/>
      <c r="N3" s="22" t="str">
        <f>IF(N(L3)&gt;0,MIN(1,N(M3)/N(L3)),"")</f>
        <v/>
      </c>
      <c r="O3" s="17"/>
      <c r="P3" s="17"/>
      <c r="Q3" s="17"/>
      <c r="R3" s="17"/>
      <c r="S3" s="17"/>
      <c r="T3" s="23"/>
      <c r="U3" s="24"/>
    </row>
    <row r="4" ht="24" customHeight="1" spans="1:21" x14ac:dyDescent="0.25">
      <c r="A4" s="23"/>
      <c r="B4" s="17"/>
      <c r="C4" s="17"/>
      <c r="D4" s="18"/>
      <c r="E4" s="19"/>
      <c r="F4" s="20"/>
      <c r="G4" s="20"/>
      <c r="H4" s="21" t="str">
        <f>IF(N(E4)&gt;0,ROUND(E4-IF(N(F4)&gt;0,ROUND(E4*MIN(N(G4),N(F4))/N(F4),2),E4),2),"")</f>
        <v/>
      </c>
      <c r="I4" s="18"/>
      <c r="J4" s="18"/>
      <c r="K4" s="18"/>
      <c r="L4" s="20"/>
      <c r="M4" s="20"/>
      <c r="N4" s="22" t="str">
        <f>IF(N(L4)&gt;0,MIN(1,N(M4)/N(L4)),"")</f>
        <v/>
      </c>
      <c r="O4" s="17"/>
      <c r="P4" s="17"/>
      <c r="Q4" s="17"/>
      <c r="R4" s="17"/>
      <c r="S4" s="17"/>
      <c r="T4" s="23"/>
      <c r="U4" s="24"/>
    </row>
    <row r="5" ht="24" customHeight="1" spans="1:21" x14ac:dyDescent="0.25">
      <c r="A5" s="23"/>
      <c r="B5" s="17"/>
      <c r="C5" s="17"/>
      <c r="D5" s="18"/>
      <c r="E5" s="19"/>
      <c r="F5" s="20"/>
      <c r="G5" s="20"/>
      <c r="H5" s="21" t="str">
        <f>IF(N(E5)&gt;0,ROUND(E5-IF(N(F5)&gt;0,ROUND(E5*MIN(N(G5),N(F5))/N(F5),2),E5),2),"")</f>
        <v/>
      </c>
      <c r="I5" s="18"/>
      <c r="J5" s="18"/>
      <c r="K5" s="18"/>
      <c r="L5" s="20"/>
      <c r="M5" s="20"/>
      <c r="N5" s="22" t="str">
        <f>IF(N(L5)&gt;0,MIN(1,N(M5)/N(L5)),"")</f>
        <v/>
      </c>
      <c r="O5" s="17"/>
      <c r="P5" s="17"/>
      <c r="Q5" s="17"/>
      <c r="R5" s="17"/>
      <c r="S5" s="17"/>
      <c r="T5" s="23"/>
      <c r="U5" s="24"/>
    </row>
    <row r="6" ht="24" customHeight="1" spans="1:21" x14ac:dyDescent="0.25">
      <c r="A6" s="23"/>
      <c r="B6" s="17"/>
      <c r="C6" s="17"/>
      <c r="D6" s="18"/>
      <c r="E6" s="19"/>
      <c r="F6" s="20"/>
      <c r="G6" s="20"/>
      <c r="H6" s="21" t="str">
        <f>IF(N(E6)&gt;0,ROUND(E6-IF(N(F6)&gt;0,ROUND(E6*MIN(N(G6),N(F6))/N(F6),2),E6),2),"")</f>
        <v/>
      </c>
      <c r="I6" s="18"/>
      <c r="J6" s="18"/>
      <c r="K6" s="18"/>
      <c r="L6" s="20"/>
      <c r="M6" s="20"/>
      <c r="N6" s="22" t="str">
        <f>IF(N(L6)&gt;0,MIN(1,N(M6)/N(L6)),"")</f>
        <v/>
      </c>
      <c r="O6" s="17"/>
      <c r="P6" s="17"/>
      <c r="Q6" s="17"/>
      <c r="R6" s="17"/>
      <c r="S6" s="17"/>
      <c r="T6" s="23"/>
      <c r="U6" s="24"/>
    </row>
    <row r="7" ht="24" customHeight="1" spans="1:21" x14ac:dyDescent="0.25">
      <c r="A7" s="23"/>
      <c r="B7" s="17"/>
      <c r="C7" s="17"/>
      <c r="D7" s="18"/>
      <c r="E7" s="19"/>
      <c r="F7" s="20"/>
      <c r="G7" s="20"/>
      <c r="H7" s="21" t="str">
        <f>IF(N(E7)&gt;0,ROUND(E7-IF(N(F7)&gt;0,ROUND(E7*MIN(N(G7),N(F7))/N(F7),2),E7),2),"")</f>
        <v/>
      </c>
      <c r="I7" s="18"/>
      <c r="J7" s="18"/>
      <c r="K7" s="18"/>
      <c r="L7" s="20"/>
      <c r="M7" s="20"/>
      <c r="N7" s="22" t="str">
        <f>IF(N(L7)&gt;0,MIN(1,N(M7)/N(L7)),"")</f>
        <v/>
      </c>
      <c r="O7" s="17"/>
      <c r="P7" s="17"/>
      <c r="Q7" s="17"/>
      <c r="R7" s="17"/>
      <c r="S7" s="17"/>
      <c r="T7" s="23"/>
      <c r="U7" s="24"/>
    </row>
    <row r="8" ht="24" customHeight="1" spans="1:21" x14ac:dyDescent="0.25">
      <c r="A8" s="23"/>
      <c r="B8" s="17"/>
      <c r="C8" s="17"/>
      <c r="D8" s="18"/>
      <c r="E8" s="19"/>
      <c r="F8" s="20"/>
      <c r="G8" s="20"/>
      <c r="H8" s="21" t="str">
        <f>IF(N(E8)&gt;0,ROUND(E8-IF(N(F8)&gt;0,ROUND(E8*MIN(N(G8),N(F8))/N(F8),2),E8),2),"")</f>
        <v/>
      </c>
      <c r="I8" s="18"/>
      <c r="J8" s="18"/>
      <c r="K8" s="18"/>
      <c r="L8" s="20"/>
      <c r="M8" s="20"/>
      <c r="N8" s="22" t="str">
        <f>IF(N(L8)&gt;0,MIN(1,N(M8)/N(L8)),"")</f>
        <v/>
      </c>
      <c r="O8" s="17"/>
      <c r="P8" s="17"/>
      <c r="Q8" s="17"/>
      <c r="R8" s="17"/>
      <c r="S8" s="17"/>
      <c r="T8" s="23"/>
      <c r="U8" s="24"/>
    </row>
    <row r="9" ht="24" customHeight="1" spans="1:21" x14ac:dyDescent="0.25">
      <c r="A9" s="23"/>
      <c r="B9" s="17"/>
      <c r="C9" s="17"/>
      <c r="D9" s="18"/>
      <c r="E9" s="19"/>
      <c r="F9" s="20"/>
      <c r="G9" s="20"/>
      <c r="H9" s="21" t="str">
        <f>IF(N(E9)&gt;0,ROUND(E9-IF(N(F9)&gt;0,ROUND(E9*MIN(N(G9),N(F9))/N(F9),2),E9),2),"")</f>
        <v/>
      </c>
      <c r="I9" s="18"/>
      <c r="J9" s="18"/>
      <c r="K9" s="18"/>
      <c r="L9" s="20"/>
      <c r="M9" s="20"/>
      <c r="N9" s="22" t="str">
        <f>IF(N(L9)&gt;0,MIN(1,N(M9)/N(L9)),"")</f>
        <v/>
      </c>
      <c r="O9" s="17"/>
      <c r="P9" s="17"/>
      <c r="Q9" s="17"/>
      <c r="R9" s="17"/>
      <c r="S9" s="17"/>
      <c r="T9" s="23"/>
      <c r="U9" s="24"/>
    </row>
    <row r="10" ht="24" customHeight="1" spans="1:21" x14ac:dyDescent="0.25">
      <c r="A10" s="23"/>
      <c r="B10" s="17"/>
      <c r="C10" s="17"/>
      <c r="D10" s="18"/>
      <c r="E10" s="19"/>
      <c r="F10" s="20"/>
      <c r="G10" s="20"/>
      <c r="H10" s="21" t="str">
        <f>IF(N(E10)&gt;0,ROUND(E10-IF(N(F10)&gt;0,ROUND(E10*MIN(N(G10),N(F10))/N(F10),2),E10),2),"")</f>
        <v/>
      </c>
      <c r="I10" s="18"/>
      <c r="J10" s="18"/>
      <c r="K10" s="18"/>
      <c r="L10" s="20"/>
      <c r="M10" s="20"/>
      <c r="N10" s="22" t="str">
        <f>IF(N(L10)&gt;0,MIN(1,N(M10)/N(L10)),"")</f>
        <v/>
      </c>
      <c r="O10" s="17"/>
      <c r="P10" s="17"/>
      <c r="Q10" s="17"/>
      <c r="R10" s="17"/>
      <c r="S10" s="17"/>
      <c r="T10" s="23"/>
      <c r="U10" s="24"/>
    </row>
    <row r="11" ht="24" customHeight="1" spans="1:21" x14ac:dyDescent="0.25">
      <c r="A11" s="23"/>
      <c r="B11" s="17"/>
      <c r="C11" s="17"/>
      <c r="D11" s="18"/>
      <c r="E11" s="19"/>
      <c r="F11" s="20"/>
      <c r="G11" s="20"/>
      <c r="H11" s="21" t="str">
        <f>IF(N(E11)&gt;0,ROUND(E11-IF(N(F11)&gt;0,ROUND(E11*MIN(N(G11),N(F11))/N(F11),2),E11),2),"")</f>
        <v/>
      </c>
      <c r="I11" s="18"/>
      <c r="J11" s="18"/>
      <c r="K11" s="18"/>
      <c r="L11" s="20"/>
      <c r="M11" s="20"/>
      <c r="N11" s="22" t="str">
        <f>IF(N(L11)&gt;0,MIN(1,N(M11)/N(L11)),"")</f>
        <v/>
      </c>
      <c r="O11" s="17"/>
      <c r="P11" s="17"/>
      <c r="Q11" s="17"/>
      <c r="R11" s="17"/>
      <c r="S11" s="17"/>
      <c r="T11" s="23"/>
      <c r="U11" s="24"/>
    </row>
    <row r="12" ht="24" customHeight="1" spans="1:21" x14ac:dyDescent="0.25">
      <c r="A12" s="23"/>
      <c r="B12" s="17"/>
      <c r="C12" s="17"/>
      <c r="D12" s="18"/>
      <c r="E12" s="19"/>
      <c r="F12" s="20"/>
      <c r="G12" s="20"/>
      <c r="H12" s="21" t="str">
        <f>IF(N(E12)&gt;0,ROUND(E12-IF(N(F12)&gt;0,ROUND(E12*MIN(N(G12),N(F12))/N(F12),2),E12),2),"")</f>
        <v/>
      </c>
      <c r="I12" s="18"/>
      <c r="J12" s="18"/>
      <c r="K12" s="18"/>
      <c r="L12" s="20"/>
      <c r="M12" s="20"/>
      <c r="N12" s="22" t="str">
        <f>IF(N(L12)&gt;0,MIN(1,N(M12)/N(L12)),"")</f>
        <v/>
      </c>
      <c r="O12" s="17"/>
      <c r="P12" s="17"/>
      <c r="Q12" s="17"/>
      <c r="R12" s="17"/>
      <c r="S12" s="17"/>
      <c r="T12" s="23"/>
      <c r="U12" s="24"/>
    </row>
    <row r="13" ht="24" customHeight="1" spans="1:21" x14ac:dyDescent="0.25">
      <c r="A13" s="23"/>
      <c r="B13" s="17"/>
      <c r="C13" s="17"/>
      <c r="D13" s="18"/>
      <c r="E13" s="19"/>
      <c r="F13" s="20"/>
      <c r="G13" s="20"/>
      <c r="H13" s="21" t="str">
        <f>IF(N(E13)&gt;0,ROUND(E13-IF(N(F13)&gt;0,ROUND(E13*MIN(N(G13),N(F13))/N(F13),2),E13),2),"")</f>
        <v/>
      </c>
      <c r="I13" s="18"/>
      <c r="J13" s="18"/>
      <c r="K13" s="18"/>
      <c r="L13" s="20"/>
      <c r="M13" s="20"/>
      <c r="N13" s="22" t="str">
        <f>IF(N(L13)&gt;0,MIN(1,N(M13)/N(L13)),"")</f>
        <v/>
      </c>
      <c r="O13" s="17"/>
      <c r="P13" s="17"/>
      <c r="Q13" s="17"/>
      <c r="R13" s="17"/>
      <c r="S13" s="17"/>
      <c r="T13" s="23"/>
      <c r="U13" s="24"/>
    </row>
    <row r="14" ht="24" customHeight="1" spans="1:21" x14ac:dyDescent="0.25">
      <c r="A14" s="23"/>
      <c r="B14" s="17"/>
      <c r="C14" s="17"/>
      <c r="D14" s="18"/>
      <c r="E14" s="19"/>
      <c r="F14" s="20"/>
      <c r="G14" s="20"/>
      <c r="H14" s="21" t="str">
        <f>IF(N(E14)&gt;0,ROUND(E14-IF(N(F14)&gt;0,ROUND(E14*MIN(N(G14),N(F14))/N(F14),2),E14),2),"")</f>
        <v/>
      </c>
      <c r="I14" s="18"/>
      <c r="J14" s="18"/>
      <c r="K14" s="18"/>
      <c r="L14" s="20"/>
      <c r="M14" s="20"/>
      <c r="N14" s="22" t="str">
        <f>IF(N(L14)&gt;0,MIN(1,N(M14)/N(L14)),"")</f>
        <v/>
      </c>
      <c r="O14" s="17"/>
      <c r="P14" s="17"/>
      <c r="Q14" s="17"/>
      <c r="R14" s="17"/>
      <c r="S14" s="17"/>
      <c r="T14" s="23"/>
      <c r="U14" s="24"/>
    </row>
    <row r="15" ht="24" customHeight="1" spans="1:21" x14ac:dyDescent="0.25">
      <c r="A15" s="23"/>
      <c r="B15" s="17"/>
      <c r="C15" s="17"/>
      <c r="D15" s="18"/>
      <c r="E15" s="19"/>
      <c r="F15" s="20"/>
      <c r="G15" s="20"/>
      <c r="H15" s="21" t="str">
        <f>IF(N(E15)&gt;0,ROUND(E15-IF(N(F15)&gt;0,ROUND(E15*MIN(N(G15),N(F15))/N(F15),2),E15),2),"")</f>
        <v/>
      </c>
      <c r="I15" s="18"/>
      <c r="J15" s="18"/>
      <c r="K15" s="18"/>
      <c r="L15" s="20"/>
      <c r="M15" s="20"/>
      <c r="N15" s="22" t="str">
        <f>IF(N(L15)&gt;0,MIN(1,N(M15)/N(L15)),"")</f>
        <v/>
      </c>
      <c r="O15" s="17"/>
      <c r="P15" s="17"/>
      <c r="Q15" s="17"/>
      <c r="R15" s="17"/>
      <c r="S15" s="17"/>
      <c r="T15" s="23"/>
      <c r="U15" s="24"/>
    </row>
    <row r="16" ht="24" customHeight="1" spans="1:21" x14ac:dyDescent="0.25">
      <c r="A16" s="23"/>
      <c r="B16" s="17"/>
      <c r="C16" s="17"/>
      <c r="D16" s="18"/>
      <c r="E16" s="19"/>
      <c r="F16" s="20"/>
      <c r="G16" s="20"/>
      <c r="H16" s="21" t="str">
        <f>IF(N(E16)&gt;0,ROUND(E16-IF(N(F16)&gt;0,ROUND(E16*MIN(N(G16),N(F16))/N(F16),2),E16),2),"")</f>
        <v/>
      </c>
      <c r="I16" s="18"/>
      <c r="J16" s="18"/>
      <c r="K16" s="18"/>
      <c r="L16" s="20"/>
      <c r="M16" s="20"/>
      <c r="N16" s="22" t="str">
        <f>IF(N(L16)&gt;0,MIN(1,N(M16)/N(L16)),"")</f>
        <v/>
      </c>
      <c r="O16" s="17"/>
      <c r="P16" s="17"/>
      <c r="Q16" s="17"/>
      <c r="R16" s="17"/>
      <c r="S16" s="17"/>
      <c r="T16" s="23"/>
      <c r="U16" s="24"/>
    </row>
    <row r="17" ht="24" customHeight="1" spans="1:21" x14ac:dyDescent="0.25">
      <c r="A17" s="23"/>
      <c r="B17" s="17"/>
      <c r="C17" s="17"/>
      <c r="D17" s="18"/>
      <c r="E17" s="19"/>
      <c r="F17" s="20"/>
      <c r="G17" s="20"/>
      <c r="H17" s="21" t="str">
        <f>IF(N(E17)&gt;0,ROUND(E17-IF(N(F17)&gt;0,ROUND(E17*MIN(N(G17),N(F17))/N(F17),2),E17),2),"")</f>
        <v/>
      </c>
      <c r="I17" s="18"/>
      <c r="J17" s="18"/>
      <c r="K17" s="18"/>
      <c r="L17" s="20"/>
      <c r="M17" s="20"/>
      <c r="N17" s="22" t="str">
        <f>IF(N(L17)&gt;0,MIN(1,N(M17)/N(L17)),"")</f>
        <v/>
      </c>
      <c r="O17" s="17"/>
      <c r="P17" s="17"/>
      <c r="Q17" s="17"/>
      <c r="R17" s="17"/>
      <c r="S17" s="17"/>
      <c r="T17" s="23"/>
      <c r="U17" s="24"/>
    </row>
    <row r="18" ht="24" customHeight="1" spans="1:21" x14ac:dyDescent="0.25">
      <c r="A18" s="23"/>
      <c r="B18" s="17"/>
      <c r="C18" s="17"/>
      <c r="D18" s="18"/>
      <c r="E18" s="19"/>
      <c r="F18" s="20"/>
      <c r="G18" s="20"/>
      <c r="H18" s="21" t="str">
        <f>IF(N(E18)&gt;0,ROUND(E18-IF(N(F18)&gt;0,ROUND(E18*MIN(N(G18),N(F18))/N(F18),2),E18),2),"")</f>
        <v/>
      </c>
      <c r="I18" s="18"/>
      <c r="J18" s="18"/>
      <c r="K18" s="18"/>
      <c r="L18" s="20"/>
      <c r="M18" s="20"/>
      <c r="N18" s="22" t="str">
        <f>IF(N(L18)&gt;0,MIN(1,N(M18)/N(L18)),"")</f>
        <v/>
      </c>
      <c r="O18" s="17"/>
      <c r="P18" s="17"/>
      <c r="Q18" s="17"/>
      <c r="R18" s="17"/>
      <c r="S18" s="17"/>
      <c r="T18" s="23"/>
      <c r="U18" s="24"/>
    </row>
    <row r="19" ht="24" customHeight="1" spans="1:21" x14ac:dyDescent="0.25">
      <c r="A19" s="23"/>
      <c r="B19" s="17"/>
      <c r="C19" s="17"/>
      <c r="D19" s="18"/>
      <c r="E19" s="19"/>
      <c r="F19" s="20"/>
      <c r="G19" s="20"/>
      <c r="H19" s="21" t="str">
        <f>IF(N(E19)&gt;0,ROUND(E19-IF(N(F19)&gt;0,ROUND(E19*MIN(N(G19),N(F19))/N(F19),2),E19),2),"")</f>
        <v/>
      </c>
      <c r="I19" s="18"/>
      <c r="J19" s="18"/>
      <c r="K19" s="18"/>
      <c r="L19" s="20"/>
      <c r="M19" s="20"/>
      <c r="N19" s="22" t="str">
        <f>IF(N(L19)&gt;0,MIN(1,N(M19)/N(L19)),"")</f>
        <v/>
      </c>
      <c r="O19" s="17"/>
      <c r="P19" s="17"/>
      <c r="Q19" s="17"/>
      <c r="R19" s="17"/>
      <c r="S19" s="17"/>
      <c r="T19" s="23"/>
      <c r="U19" s="24"/>
    </row>
    <row r="20" ht="24" customHeight="1" spans="1:21" x14ac:dyDescent="0.25">
      <c r="A20" s="23"/>
      <c r="B20" s="17"/>
      <c r="C20" s="17"/>
      <c r="D20" s="18"/>
      <c r="E20" s="19"/>
      <c r="F20" s="20"/>
      <c r="G20" s="20"/>
      <c r="H20" s="21" t="str">
        <f>IF(N(E20)&gt;0,ROUND(E20-IF(N(F20)&gt;0,ROUND(E20*MIN(N(G20),N(F20))/N(F20),2),E20),2),"")</f>
        <v/>
      </c>
      <c r="I20" s="18"/>
      <c r="J20" s="18"/>
      <c r="K20" s="18"/>
      <c r="L20" s="20"/>
      <c r="M20" s="20"/>
      <c r="N20" s="22" t="str">
        <f>IF(N(L20)&gt;0,MIN(1,N(M20)/N(L20)),"")</f>
        <v/>
      </c>
      <c r="O20" s="17"/>
      <c r="P20" s="17"/>
      <c r="Q20" s="17"/>
      <c r="R20" s="17"/>
      <c r="S20" s="17"/>
      <c r="T20" s="23"/>
      <c r="U20" s="24"/>
    </row>
    <row r="21" ht="24" customHeight="1" spans="1:21" x14ac:dyDescent="0.25">
      <c r="A21" s="23"/>
      <c r="B21" s="17"/>
      <c r="C21" s="17"/>
      <c r="D21" s="18"/>
      <c r="E21" s="19"/>
      <c r="F21" s="20"/>
      <c r="G21" s="20"/>
      <c r="H21" s="21" t="str">
        <f>IF(N(E21)&gt;0,ROUND(E21-IF(N(F21)&gt;0,ROUND(E21*MIN(N(G21),N(F21))/N(F21),2),E21),2),"")</f>
        <v/>
      </c>
      <c r="I21" s="18"/>
      <c r="J21" s="18"/>
      <c r="K21" s="18"/>
      <c r="L21" s="20"/>
      <c r="M21" s="20"/>
      <c r="N21" s="22" t="str">
        <f>IF(N(L21)&gt;0,MIN(1,N(M21)/N(L21)),"")</f>
        <v/>
      </c>
      <c r="O21" s="17"/>
      <c r="P21" s="17"/>
      <c r="Q21" s="17"/>
      <c r="R21" s="17"/>
      <c r="S21" s="17"/>
      <c r="T21" s="23"/>
      <c r="U21" s="24"/>
    </row>
    <row r="22" ht="24" customHeight="1" spans="1:21" x14ac:dyDescent="0.25">
      <c r="A22" s="23"/>
      <c r="B22" s="17"/>
      <c r="C22" s="17"/>
      <c r="D22" s="18"/>
      <c r="E22" s="19"/>
      <c r="F22" s="20"/>
      <c r="G22" s="20"/>
      <c r="H22" s="21" t="str">
        <f>IF(N(E22)&gt;0,ROUND(E22-IF(N(F22)&gt;0,ROUND(E22*MIN(N(G22),N(F22))/N(F22),2),E22),2),"")</f>
        <v/>
      </c>
      <c r="I22" s="18"/>
      <c r="J22" s="18"/>
      <c r="K22" s="18"/>
      <c r="L22" s="20"/>
      <c r="M22" s="20"/>
      <c r="N22" s="22" t="str">
        <f>IF(N(L22)&gt;0,MIN(1,N(M22)/N(L22)),"")</f>
        <v/>
      </c>
      <c r="O22" s="17"/>
      <c r="P22" s="17"/>
      <c r="Q22" s="17"/>
      <c r="R22" s="17"/>
      <c r="S22" s="17"/>
      <c r="T22" s="23"/>
      <c r="U22" s="24"/>
    </row>
    <row r="23" ht="24" customHeight="1" spans="1:21" x14ac:dyDescent="0.25">
      <c r="A23" s="23"/>
      <c r="B23" s="17"/>
      <c r="C23" s="17"/>
      <c r="D23" s="18"/>
      <c r="E23" s="19"/>
      <c r="F23" s="20"/>
      <c r="G23" s="20"/>
      <c r="H23" s="21" t="str">
        <f>IF(N(E23)&gt;0,ROUND(E23-IF(N(F23)&gt;0,ROUND(E23*MIN(N(G23),N(F23))/N(F23),2),E23),2),"")</f>
        <v/>
      </c>
      <c r="I23" s="18"/>
      <c r="J23" s="18"/>
      <c r="K23" s="18"/>
      <c r="L23" s="20"/>
      <c r="M23" s="20"/>
      <c r="N23" s="22" t="str">
        <f>IF(N(L23)&gt;0,MIN(1,N(M23)/N(L23)),"")</f>
        <v/>
      </c>
      <c r="O23" s="17"/>
      <c r="P23" s="17"/>
      <c r="Q23" s="17"/>
      <c r="R23" s="17"/>
      <c r="S23" s="17"/>
      <c r="T23" s="23"/>
      <c r="U23" s="24"/>
    </row>
    <row r="24" ht="24" customHeight="1" spans="1:21" x14ac:dyDescent="0.25">
      <c r="A24" s="23"/>
      <c r="B24" s="17"/>
      <c r="C24" s="17"/>
      <c r="D24" s="18"/>
      <c r="E24" s="19"/>
      <c r="F24" s="20"/>
      <c r="G24" s="20"/>
      <c r="H24" s="21" t="str">
        <f>IF(N(E24)&gt;0,ROUND(E24-IF(N(F24)&gt;0,ROUND(E24*MIN(N(G24),N(F24))/N(F24),2),E24),2),"")</f>
        <v/>
      </c>
      <c r="I24" s="18"/>
      <c r="J24" s="18"/>
      <c r="K24" s="18"/>
      <c r="L24" s="20"/>
      <c r="M24" s="20"/>
      <c r="N24" s="22" t="str">
        <f>IF(N(L24)&gt;0,MIN(1,N(M24)/N(L24)),"")</f>
        <v/>
      </c>
      <c r="O24" s="17"/>
      <c r="P24" s="17"/>
      <c r="Q24" s="17"/>
      <c r="R24" s="17"/>
      <c r="S24" s="17"/>
      <c r="T24" s="23"/>
      <c r="U24" s="24"/>
    </row>
    <row r="25" ht="24" customHeight="1" spans="1:21" x14ac:dyDescent="0.25">
      <c r="A25" s="23"/>
      <c r="B25" s="17"/>
      <c r="C25" s="17"/>
      <c r="D25" s="18"/>
      <c r="E25" s="19"/>
      <c r="F25" s="20"/>
      <c r="G25" s="20"/>
      <c r="H25" s="21" t="str">
        <f>IF(N(E25)&gt;0,ROUND(E25-IF(N(F25)&gt;0,ROUND(E25*MIN(N(G25),N(F25))/N(F25),2),E25),2),"")</f>
        <v/>
      </c>
      <c r="I25" s="18"/>
      <c r="J25" s="18"/>
      <c r="K25" s="18"/>
      <c r="L25" s="20"/>
      <c r="M25" s="20"/>
      <c r="N25" s="22" t="str">
        <f>IF(N(L25)&gt;0,MIN(1,N(M25)/N(L25)),"")</f>
        <v/>
      </c>
      <c r="O25" s="17"/>
      <c r="P25" s="17"/>
      <c r="Q25" s="17"/>
      <c r="R25" s="17"/>
      <c r="S25" s="17"/>
      <c r="T25" s="23"/>
      <c r="U25" s="24"/>
    </row>
    <row r="26" ht="24" customHeight="1" spans="1:21" x14ac:dyDescent="0.25">
      <c r="A26" s="23"/>
      <c r="B26" s="17"/>
      <c r="C26" s="17"/>
      <c r="D26" s="18"/>
      <c r="E26" s="19"/>
      <c r="F26" s="20"/>
      <c r="G26" s="20"/>
      <c r="H26" s="21" t="str">
        <f>IF(N(E26)&gt;0,ROUND(E26-IF(N(F26)&gt;0,ROUND(E26*MIN(N(G26),N(F26))/N(F26),2),E26),2),"")</f>
        <v/>
      </c>
      <c r="I26" s="18"/>
      <c r="J26" s="18"/>
      <c r="K26" s="18"/>
      <c r="L26" s="20"/>
      <c r="M26" s="20"/>
      <c r="N26" s="22" t="str">
        <f>IF(N(L26)&gt;0,MIN(1,N(M26)/N(L26)),"")</f>
        <v/>
      </c>
      <c r="O26" s="17"/>
      <c r="P26" s="17"/>
      <c r="Q26" s="17"/>
      <c r="R26" s="17"/>
      <c r="S26" s="17"/>
      <c r="T26" s="23"/>
      <c r="U26" s="24"/>
    </row>
    <row r="27" ht="24" customHeight="1" spans="1:21" x14ac:dyDescent="0.25">
      <c r="A27" s="23"/>
      <c r="B27" s="17"/>
      <c r="C27" s="17"/>
      <c r="D27" s="18"/>
      <c r="E27" s="19"/>
      <c r="F27" s="20"/>
      <c r="G27" s="20"/>
      <c r="H27" s="21" t="str">
        <f>IF(N(E27)&gt;0,ROUND(E27-IF(N(F27)&gt;0,ROUND(E27*MIN(N(G27),N(F27))/N(F27),2),E27),2),"")</f>
        <v/>
      </c>
      <c r="I27" s="18"/>
      <c r="J27" s="18"/>
      <c r="K27" s="18"/>
      <c r="L27" s="20"/>
      <c r="M27" s="20"/>
      <c r="N27" s="22" t="str">
        <f>IF(N(L27)&gt;0,MIN(1,N(M27)/N(L27)),"")</f>
        <v/>
      </c>
      <c r="O27" s="17"/>
      <c r="P27" s="17"/>
      <c r="Q27" s="17"/>
      <c r="R27" s="17"/>
      <c r="S27" s="17"/>
      <c r="T27" s="23"/>
      <c r="U27" s="24"/>
    </row>
    <row r="28" ht="24" customHeight="1" spans="1:21" x14ac:dyDescent="0.25">
      <c r="A28" s="23"/>
      <c r="B28" s="17"/>
      <c r="C28" s="17"/>
      <c r="D28" s="18"/>
      <c r="E28" s="19"/>
      <c r="F28" s="20"/>
      <c r="G28" s="20"/>
      <c r="H28" s="21" t="str">
        <f>IF(N(E28)&gt;0,ROUND(E28-IF(N(F28)&gt;0,ROUND(E28*MIN(N(G28),N(F28))/N(F28),2),E28),2),"")</f>
        <v/>
      </c>
      <c r="I28" s="18"/>
      <c r="J28" s="18"/>
      <c r="K28" s="18"/>
      <c r="L28" s="20"/>
      <c r="M28" s="20"/>
      <c r="N28" s="22" t="str">
        <f>IF(N(L28)&gt;0,MIN(1,N(M28)/N(L28)),"")</f>
        <v/>
      </c>
      <c r="O28" s="17"/>
      <c r="P28" s="17"/>
      <c r="Q28" s="17"/>
      <c r="R28" s="17"/>
      <c r="S28" s="17"/>
      <c r="T28" s="23"/>
      <c r="U28" s="24"/>
    </row>
    <row r="29" ht="24" customHeight="1" spans="1:21" x14ac:dyDescent="0.25">
      <c r="A29" s="23"/>
      <c r="B29" s="17"/>
      <c r="C29" s="17"/>
      <c r="D29" s="18"/>
      <c r="E29" s="19"/>
      <c r="F29" s="20"/>
      <c r="G29" s="20"/>
      <c r="H29" s="21" t="str">
        <f>IF(N(E29)&gt;0,ROUND(E29-IF(N(F29)&gt;0,ROUND(E29*MIN(N(G29),N(F29))/N(F29),2),E29),2),"")</f>
        <v/>
      </c>
      <c r="I29" s="18"/>
      <c r="J29" s="18"/>
      <c r="K29" s="18"/>
      <c r="L29" s="20"/>
      <c r="M29" s="20"/>
      <c r="N29" s="22" t="str">
        <f>IF(N(L29)&gt;0,MIN(1,N(M29)/N(L29)),"")</f>
        <v/>
      </c>
      <c r="O29" s="17"/>
      <c r="P29" s="17"/>
      <c r="Q29" s="17"/>
      <c r="R29" s="17"/>
      <c r="S29" s="17"/>
      <c r="T29" s="23"/>
      <c r="U29" s="24"/>
    </row>
    <row r="30" ht="24" customHeight="1" spans="1:21" x14ac:dyDescent="0.25">
      <c r="A30" s="23"/>
      <c r="B30" s="17"/>
      <c r="C30" s="17"/>
      <c r="D30" s="18"/>
      <c r="E30" s="19"/>
      <c r="F30" s="20"/>
      <c r="G30" s="20"/>
      <c r="H30" s="21" t="str">
        <f>IF(N(E30)&gt;0,ROUND(E30-IF(N(F30)&gt;0,ROUND(E30*MIN(N(G30),N(F30))/N(F30),2),E30),2),"")</f>
        <v/>
      </c>
      <c r="I30" s="18"/>
      <c r="J30" s="18"/>
      <c r="K30" s="18"/>
      <c r="L30" s="20"/>
      <c r="M30" s="20"/>
      <c r="N30" s="22" t="str">
        <f>IF(N(L30)&gt;0,MIN(1,N(M30)/N(L30)),"")</f>
        <v/>
      </c>
      <c r="O30" s="17"/>
      <c r="P30" s="17"/>
      <c r="Q30" s="17"/>
      <c r="R30" s="17"/>
      <c r="S30" s="17"/>
      <c r="T30" s="23"/>
      <c r="U30" s="24"/>
    </row>
    <row r="31" ht="24" customHeight="1" spans="1:21" x14ac:dyDescent="0.25">
      <c r="A31" s="23"/>
      <c r="B31" s="17"/>
      <c r="C31" s="17"/>
      <c r="D31" s="18"/>
      <c r="E31" s="19"/>
      <c r="F31" s="20"/>
      <c r="G31" s="20"/>
      <c r="H31" s="21" t="str">
        <f>IF(N(E31)&gt;0,ROUND(E31-IF(N(F31)&gt;0,ROUND(E31*MIN(N(G31),N(F31))/N(F31),2),E31),2),"")</f>
        <v/>
      </c>
      <c r="I31" s="18"/>
      <c r="J31" s="18"/>
      <c r="K31" s="18"/>
      <c r="L31" s="20"/>
      <c r="M31" s="20"/>
      <c r="N31" s="22" t="str">
        <f>IF(N(L31)&gt;0,MIN(1,N(M31)/N(L31)),"")</f>
        <v/>
      </c>
      <c r="O31" s="17"/>
      <c r="P31" s="17"/>
      <c r="Q31" s="17"/>
      <c r="R31" s="17"/>
      <c r="S31" s="17"/>
      <c r="T31" s="23"/>
      <c r="U31" s="24"/>
    </row>
    <row r="32" ht="24" customHeight="1" spans="1:21" x14ac:dyDescent="0.25">
      <c r="A32" s="23"/>
      <c r="B32" s="17"/>
      <c r="C32" s="17"/>
      <c r="D32" s="18"/>
      <c r="E32" s="19"/>
      <c r="F32" s="20"/>
      <c r="G32" s="20"/>
      <c r="H32" s="21" t="str">
        <f>IF(N(E32)&gt;0,ROUND(E32-IF(N(F32)&gt;0,ROUND(E32*MIN(N(G32),N(F32))/N(F32),2),E32),2),"")</f>
        <v/>
      </c>
      <c r="I32" s="18"/>
      <c r="J32" s="18"/>
      <c r="K32" s="18"/>
      <c r="L32" s="20"/>
      <c r="M32" s="20"/>
      <c r="N32" s="22" t="str">
        <f>IF(N(L32)&gt;0,MIN(1,N(M32)/N(L32)),"")</f>
        <v/>
      </c>
      <c r="O32" s="17"/>
      <c r="P32" s="17"/>
      <c r="Q32" s="17"/>
      <c r="R32" s="17"/>
      <c r="S32" s="17"/>
      <c r="T32" s="23"/>
      <c r="U32" s="24"/>
    </row>
    <row r="33" ht="24" customHeight="1" spans="1:21" x14ac:dyDescent="0.25">
      <c r="A33" s="23"/>
      <c r="B33" s="17"/>
      <c r="C33" s="17"/>
      <c r="D33" s="18"/>
      <c r="E33" s="19"/>
      <c r="F33" s="20"/>
      <c r="G33" s="20"/>
      <c r="H33" s="21" t="str">
        <f>IF(N(E33)&gt;0,ROUND(E33-IF(N(F33)&gt;0,ROUND(E33*MIN(N(G33),N(F33))/N(F33),2),E33),2),"")</f>
        <v/>
      </c>
      <c r="I33" s="18"/>
      <c r="J33" s="18"/>
      <c r="K33" s="18"/>
      <c r="L33" s="20"/>
      <c r="M33" s="20"/>
      <c r="N33" s="22" t="str">
        <f>IF(N(L33)&gt;0,MIN(1,N(M33)/N(L33)),"")</f>
        <v/>
      </c>
      <c r="O33" s="17"/>
      <c r="P33" s="17"/>
      <c r="Q33" s="17"/>
      <c r="R33" s="17"/>
      <c r="S33" s="17"/>
      <c r="T33" s="23"/>
      <c r="U33" s="24"/>
    </row>
    <row r="34" ht="24" customHeight="1" spans="1:21" x14ac:dyDescent="0.25">
      <c r="A34" s="23"/>
      <c r="B34" s="17"/>
      <c r="C34" s="17"/>
      <c r="D34" s="18"/>
      <c r="E34" s="19"/>
      <c r="F34" s="20"/>
      <c r="G34" s="20"/>
      <c r="H34" s="21" t="str">
        <f>IF(N(E34)&gt;0,ROUND(E34-IF(N(F34)&gt;0,ROUND(E34*MIN(N(G34),N(F34))/N(F34),2),E34),2),"")</f>
        <v/>
      </c>
      <c r="I34" s="18"/>
      <c r="J34" s="18"/>
      <c r="K34" s="18"/>
      <c r="L34" s="20"/>
      <c r="M34" s="20"/>
      <c r="N34" s="22" t="str">
        <f>IF(N(L34)&gt;0,MIN(1,N(M34)/N(L34)),"")</f>
        <v/>
      </c>
      <c r="O34" s="17"/>
      <c r="P34" s="17"/>
      <c r="Q34" s="17"/>
      <c r="R34" s="17"/>
      <c r="S34" s="17"/>
      <c r="T34" s="23"/>
      <c r="U34" s="24"/>
    </row>
    <row r="35" ht="24" customHeight="1" spans="1:21" x14ac:dyDescent="0.25">
      <c r="A35" s="23"/>
      <c r="B35" s="17"/>
      <c r="C35" s="17"/>
      <c r="D35" s="18"/>
      <c r="E35" s="19"/>
      <c r="F35" s="20"/>
      <c r="G35" s="20"/>
      <c r="H35" s="21" t="str">
        <f>IF(N(E35)&gt;0,ROUND(E35-IF(N(F35)&gt;0,ROUND(E35*MIN(N(G35),N(F35))/N(F35),2),E35),2),"")</f>
        <v/>
      </c>
      <c r="I35" s="18"/>
      <c r="J35" s="18"/>
      <c r="K35" s="18"/>
      <c r="L35" s="20"/>
      <c r="M35" s="20"/>
      <c r="N35" s="22" t="str">
        <f>IF(N(L35)&gt;0,MIN(1,N(M35)/N(L35)),"")</f>
        <v/>
      </c>
      <c r="O35" s="17"/>
      <c r="P35" s="17"/>
      <c r="Q35" s="17"/>
      <c r="R35" s="17"/>
      <c r="S35" s="17"/>
      <c r="T35" s="23"/>
      <c r="U35" s="24"/>
    </row>
    <row r="36" ht="24" customHeight="1" spans="1:21" x14ac:dyDescent="0.25">
      <c r="A36" s="23"/>
      <c r="B36" s="17"/>
      <c r="C36" s="17"/>
      <c r="D36" s="18"/>
      <c r="E36" s="19"/>
      <c r="F36" s="20"/>
      <c r="G36" s="20"/>
      <c r="H36" s="21" t="str">
        <f>IF(N(E36)&gt;0,ROUND(E36-IF(N(F36)&gt;0,ROUND(E36*MIN(N(G36),N(F36))/N(F36),2),E36),2),"")</f>
        <v/>
      </c>
      <c r="I36" s="18"/>
      <c r="J36" s="18"/>
      <c r="K36" s="18"/>
      <c r="L36" s="20"/>
      <c r="M36" s="20"/>
      <c r="N36" s="22" t="str">
        <f>IF(N(L36)&gt;0,MIN(1,N(M36)/N(L36)),"")</f>
        <v/>
      </c>
      <c r="O36" s="17"/>
      <c r="P36" s="17"/>
      <c r="Q36" s="17"/>
      <c r="R36" s="17"/>
      <c r="S36" s="17"/>
      <c r="T36" s="23"/>
      <c r="U36" s="24"/>
    </row>
    <row r="37" ht="24" customHeight="1" spans="1:21" x14ac:dyDescent="0.25">
      <c r="A37" s="23"/>
      <c r="B37" s="17"/>
      <c r="C37" s="17"/>
      <c r="D37" s="18"/>
      <c r="E37" s="19"/>
      <c r="F37" s="20"/>
      <c r="G37" s="20"/>
      <c r="H37" s="21" t="str">
        <f>IF(N(E37)&gt;0,ROUND(E37-IF(N(F37)&gt;0,ROUND(E37*MIN(N(G37),N(F37))/N(F37),2),E37),2),"")</f>
        <v/>
      </c>
      <c r="I37" s="18"/>
      <c r="J37" s="18"/>
      <c r="K37" s="18"/>
      <c r="L37" s="20"/>
      <c r="M37" s="20"/>
      <c r="N37" s="22" t="str">
        <f>IF(N(L37)&gt;0,MIN(1,N(M37)/N(L37)),"")</f>
        <v/>
      </c>
      <c r="O37" s="17"/>
      <c r="P37" s="17"/>
      <c r="Q37" s="17"/>
      <c r="R37" s="17"/>
      <c r="S37" s="17"/>
      <c r="T37" s="23"/>
      <c r="U37" s="24"/>
    </row>
    <row r="38" ht="24" customHeight="1" spans="1:21" x14ac:dyDescent="0.25">
      <c r="A38" s="23"/>
      <c r="B38" s="17"/>
      <c r="C38" s="17"/>
      <c r="D38" s="18"/>
      <c r="E38" s="19"/>
      <c r="F38" s="20"/>
      <c r="G38" s="20"/>
      <c r="H38" s="21" t="str">
        <f>IF(N(E38)&gt;0,ROUND(E38-IF(N(F38)&gt;0,ROUND(E38*MIN(N(G38),N(F38))/N(F38),2),E38),2),"")</f>
        <v/>
      </c>
      <c r="I38" s="18"/>
      <c r="J38" s="18"/>
      <c r="K38" s="18"/>
      <c r="L38" s="20"/>
      <c r="M38" s="20"/>
      <c r="N38" s="22" t="str">
        <f>IF(N(L38)&gt;0,MIN(1,N(M38)/N(L38)),"")</f>
        <v/>
      </c>
      <c r="O38" s="17"/>
      <c r="P38" s="17"/>
      <c r="Q38" s="17"/>
      <c r="R38" s="17"/>
      <c r="S38" s="17"/>
      <c r="T38" s="23"/>
      <c r="U38" s="24"/>
    </row>
    <row r="39" ht="24" customHeight="1" spans="1:21" x14ac:dyDescent="0.25">
      <c r="A39" s="23"/>
      <c r="B39" s="17"/>
      <c r="C39" s="17"/>
      <c r="D39" s="18"/>
      <c r="E39" s="19"/>
      <c r="F39" s="20"/>
      <c r="G39" s="20"/>
      <c r="H39" s="21" t="str">
        <f>IF(N(E39)&gt;0,ROUND(E39-IF(N(F39)&gt;0,ROUND(E39*MIN(N(G39),N(F39))/N(F39),2),E39),2),"")</f>
        <v/>
      </c>
      <c r="I39" s="18"/>
      <c r="J39" s="18"/>
      <c r="K39" s="18"/>
      <c r="L39" s="20"/>
      <c r="M39" s="20"/>
      <c r="N39" s="22" t="str">
        <f>IF(N(L39)&gt;0,MIN(1,N(M39)/N(L39)),"")</f>
        <v/>
      </c>
      <c r="O39" s="17"/>
      <c r="P39" s="17"/>
      <c r="Q39" s="17"/>
      <c r="R39" s="17"/>
      <c r="S39" s="17"/>
      <c r="T39" s="23"/>
      <c r="U39" s="24"/>
    </row>
    <row r="40" ht="24" customHeight="1" spans="1:21" x14ac:dyDescent="0.25">
      <c r="A40" s="23"/>
      <c r="B40" s="17"/>
      <c r="C40" s="17"/>
      <c r="D40" s="18"/>
      <c r="E40" s="19"/>
      <c r="F40" s="20"/>
      <c r="G40" s="20"/>
      <c r="H40" s="21" t="str">
        <f>IF(N(E40)&gt;0,ROUND(E40-IF(N(F40)&gt;0,ROUND(E40*MIN(N(G40),N(F40))/N(F40),2),E40),2),"")</f>
        <v/>
      </c>
      <c r="I40" s="18"/>
      <c r="J40" s="18"/>
      <c r="K40" s="18"/>
      <c r="L40" s="20"/>
      <c r="M40" s="20"/>
      <c r="N40" s="22" t="str">
        <f>IF(N(L40)&gt;0,MIN(1,N(M40)/N(L40)),"")</f>
        <v/>
      </c>
      <c r="O40" s="17"/>
      <c r="P40" s="17"/>
      <c r="Q40" s="17"/>
      <c r="R40" s="17"/>
      <c r="S40" s="17"/>
      <c r="T40" s="23"/>
      <c r="U40" s="24"/>
    </row>
    <row r="41" ht="24" customHeight="1" spans="1:21" x14ac:dyDescent="0.25">
      <c r="A41" s="23"/>
      <c r="B41" s="17"/>
      <c r="C41" s="17"/>
      <c r="D41" s="18"/>
      <c r="E41" s="19"/>
      <c r="F41" s="20"/>
      <c r="G41" s="20"/>
      <c r="H41" s="21" t="str">
        <f>IF(N(E41)&gt;0,ROUND(E41-IF(N(F41)&gt;0,ROUND(E41*MIN(N(G41),N(F41))/N(F41),2),E41),2),"")</f>
        <v/>
      </c>
      <c r="I41" s="18"/>
      <c r="J41" s="18"/>
      <c r="K41" s="18"/>
      <c r="L41" s="20"/>
      <c r="M41" s="20"/>
      <c r="N41" s="22" t="str">
        <f>IF(N(L41)&gt;0,MIN(1,N(M41)/N(L41)),"")</f>
        <v/>
      </c>
      <c r="O41" s="17"/>
      <c r="P41" s="17"/>
      <c r="Q41" s="17"/>
      <c r="R41" s="17"/>
      <c r="S41" s="17"/>
      <c r="T41" s="23"/>
      <c r="U41" s="24"/>
    </row>
    <row r="42" ht="24" customHeight="1" spans="1:21" x14ac:dyDescent="0.25">
      <c r="A42" s="23"/>
      <c r="B42" s="17"/>
      <c r="C42" s="17"/>
      <c r="D42" s="18"/>
      <c r="E42" s="19"/>
      <c r="F42" s="20"/>
      <c r="G42" s="20"/>
      <c r="H42" s="21" t="str">
        <f>IF(N(E42)&gt;0,ROUND(E42-IF(N(F42)&gt;0,ROUND(E42*MIN(N(G42),N(F42))/N(F42),2),E42),2),"")</f>
        <v/>
      </c>
      <c r="I42" s="18"/>
      <c r="J42" s="18"/>
      <c r="K42" s="18"/>
      <c r="L42" s="20"/>
      <c r="M42" s="20"/>
      <c r="N42" s="22" t="str">
        <f>IF(N(L42)&gt;0,MIN(1,N(M42)/N(L42)),"")</f>
        <v/>
      </c>
      <c r="O42" s="17"/>
      <c r="P42" s="17"/>
      <c r="Q42" s="17"/>
      <c r="R42" s="17"/>
      <c r="S42" s="17"/>
      <c r="T42" s="23"/>
      <c r="U42" s="24"/>
    </row>
  </sheetData>
  <autoFilter ref="A1:U1"/>
  <conditionalFormatting sqref="O2:O42">
    <cfRule type="cellIs" dxfId="22" priority="1" operator="equal">
      <formula>"Concluído"</formula>
    </cfRule>
    <cfRule type="cellIs" dxfId="23" priority="2" operator="equal">
      <formula>"Em andamento"</formula>
    </cfRule>
    <cfRule type="cellIs" dxfId="24" priority="3" operator="equal">
      <formula>"Pausado"</formula>
    </cfRule>
    <cfRule type="cellIs" dxfId="25" priority="4" operator="equal">
      <formula>"Não iniciado"</formula>
    </cfRule>
  </conditionalFormatting>
  <conditionalFormatting sqref="P2:P42">
    <cfRule type="cellIs" dxfId="26" priority="10" operator="equal">
      <formula>"Alta"</formula>
    </cfRule>
  </conditionalFormatting>
  <conditionalFormatting sqref="H2:H42">
    <cfRule type="cellIs" dxfId="27" priority="11" operator="greaterThan">
      <formula>0</formula>
    </cfRule>
  </conditionalFormatting>
  <conditionalFormatting sqref="K2:K42">
    <cfRule type="expression" dxfId="28" priority="12">
      <formula>AND(ISNUMBER(K2),K2&lt;TODAY())</formula>
    </cfRule>
    <cfRule type="expression" dxfId="29" priority="13">
      <formula>AND(ISNUMBER(K2),K2&gt;=TODAY(),K2&lt;=TODAY()+30)</formula>
    </cfRule>
  </conditionalFormatting>
  <conditionalFormatting sqref="N2:N42">
    <cfRule type="dataBar" priority="14">
      <dataBar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{AAF21F8A-C113-46EC-B9FE-A4748D671AC6}</x14:id>
        </ext>
      </extLst>
    </cfRule>
  </conditionalFormatting>
  <dataValidations count="16">
    <dataValidation type="date" operator="greaterThan" allowBlank="1" showErrorMessage="1" errorStyle="stop" errorTitle="Data inválida" error="Use uma data no formato dd/mm/aaaa." sqref="D10:D42">
      <formula1>25569.00042275463</formula1>
    </dataValidation>
    <dataValidation type="date" operator="greaterThan" allowBlank="1" showErrorMessage="1" errorStyle="stop" errorTitle="Data inválida" error="Use uma data no formato dd/mm/aaaa." sqref="D2:D42">
      <formula1>25569.00042275463</formula1>
    </dataValidation>
    <dataValidation type="decimal" operator="greaterThanOrEqual" allowBlank="1" showErrorMessage="1" errorStyle="stop" errorTitle="Valor inválido" error="Informe um valor numérico maior ou igual a zero." sqref="E10:E42">
      <formula1>0</formula1>
    </dataValidation>
    <dataValidation type="decimal" operator="greaterThanOrEqual" allowBlank="1" showErrorMessage="1" errorStyle="stop" errorTitle="Valor inválido" error="Informe um valor numérico maior ou igual a zero." sqref="E2:E42">
      <formula1>0</formula1>
    </dataValidation>
    <dataValidation type="whole" operator="greaterThanOrEqual" allowBlank="1" showErrorMessage="1" errorStyle="stop" errorTitle="Número inválido" error="Informe um número inteiro maior ou igual a zero." sqref="F10:G42">
      <formula1>0</formula1>
    </dataValidation>
    <dataValidation type="whole" operator="greaterThanOrEqual" allowBlank="1" showErrorMessage="1" errorStyle="stop" errorTitle="Número inválido" error="Informe um número inteiro maior ou igual a zero." sqref="F2:G42">
      <formula1>0</formula1>
    </dataValidation>
    <dataValidation type="date" operator="greaterThan" allowBlank="1" showErrorMessage="1" errorStyle="stop" errorTitle="Data inválida" error="Use uma data no formato dd/mm/aaaa." sqref="I10:K42">
      <formula1>25569.00042275463</formula1>
    </dataValidation>
    <dataValidation type="date" operator="greaterThan" allowBlank="1" showErrorMessage="1" errorStyle="stop" errorTitle="Data inválida" error="Use uma data no formato dd/mm/aaaa." sqref="I2:K42">
      <formula1>25569.00042275463</formula1>
    </dataValidation>
    <dataValidation type="whole" operator="greaterThanOrEqual" allowBlank="1" showErrorMessage="1" errorStyle="stop" errorTitle="Número inválido" error="Informe um número inteiro maior ou igual a zero." sqref="L10:M42">
      <formula1>0</formula1>
    </dataValidation>
    <dataValidation type="whole" operator="greaterThanOrEqual" allowBlank="1" showErrorMessage="1" errorStyle="stop" errorTitle="Número inválido" error="Informe um número inteiro maior ou igual a zero." sqref="L2:M42">
      <formula1>0</formula1>
    </dataValidation>
    <dataValidation type="list" allowBlank="1" showErrorMessage="1" errorStyle="warning" errorTitle="Valor fora da lista" error="Escolha um valor da lista." sqref="O10:O42">
      <formula1>Listas!$A$2:$A$5</formula1>
    </dataValidation>
    <dataValidation type="list" allowBlank="1" showErrorMessage="1" errorStyle="warning" errorTitle="Valor fora da lista" error="Escolha um valor da lista." sqref="O2:O42">
      <formula1>Listas!$A$2:$A$5</formula1>
    </dataValidation>
    <dataValidation type="list" allowBlank="1" showErrorMessage="1" errorStyle="warning" errorTitle="Valor fora da lista" error="Escolha um valor da lista." sqref="P10:P42">
      <formula1>Listas!$B$2:$B$4</formula1>
    </dataValidation>
    <dataValidation type="list" allowBlank="1" showErrorMessage="1" errorStyle="warning" errorTitle="Valor fora da lista" error="Escolha um valor da lista." sqref="P2:P42">
      <formula1>Listas!$B$2:$B$4</formula1>
    </dataValidation>
    <dataValidation type="list" allowBlank="1" showErrorMessage="1" errorStyle="warning" errorTitle="Valor fora da lista" error="Escolha um valor da lista." sqref="Q10:Q42">
      <formula1>Listas!$C$2:$C$5</formula1>
    </dataValidation>
    <dataValidation type="list" allowBlank="1" showErrorMessage="1" errorStyle="warning" errorTitle="Valor fora da lista" error="Escolha um valor da lista." sqref="Q2:Q42">
      <formula1>Listas!$C$2:$C$5</formula1>
    </dataValidation>
  </dataValidations>
  <pageSetup paperSize="9" orientation="landscape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21F8A-C113-46EC-B9FE-A4748D671AC6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N2:N42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E5D4"/>
    <pageSetUpPr fitToPage="1"/>
  </sheetPr>
  <dimension ref="A1:X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3" width="24" customWidth="1"/>
    <col min="4" max="6" width="18" customWidth="1"/>
    <col min="7" max="7" width="15" customWidth="1"/>
    <col min="8" max="8" width="18" customWidth="1"/>
    <col min="9" max="10" width="14" customWidth="1"/>
    <col min="11" max="11" width="18" customWidth="1"/>
    <col min="12" max="14" width="15" customWidth="1"/>
    <col min="15" max="16" width="14" customWidth="1"/>
    <col min="17" max="20" width="16" customWidth="1"/>
    <col min="21" max="21" width="22" customWidth="1"/>
    <col min="22" max="22" width="30" customWidth="1"/>
    <col min="23" max="23" width="34" customWidth="1"/>
    <col min="24" max="24" width="12" customWidth="1"/>
  </cols>
  <sheetData>
    <row r="1" ht="34" customHeight="1" spans="1:24" x14ac:dyDescent="0.25">
      <c r="A1" s="14" t="s">
        <v>85</v>
      </c>
      <c r="B1" s="14" t="s">
        <v>86</v>
      </c>
      <c r="C1" s="14" t="s">
        <v>93</v>
      </c>
      <c r="D1" s="14" t="s">
        <v>94</v>
      </c>
      <c r="E1" s="14" t="s">
        <v>95</v>
      </c>
      <c r="F1" s="14" t="s">
        <v>96</v>
      </c>
      <c r="G1" s="14" t="s">
        <v>26</v>
      </c>
      <c r="H1" s="14" t="s">
        <v>12</v>
      </c>
      <c r="I1" s="14" t="s">
        <v>27</v>
      </c>
      <c r="J1" s="14" t="s">
        <v>28</v>
      </c>
      <c r="K1" s="15" t="s">
        <v>14</v>
      </c>
      <c r="L1" s="14" t="s">
        <v>29</v>
      </c>
      <c r="M1" s="14" t="s">
        <v>30</v>
      </c>
      <c r="N1" s="14" t="s">
        <v>31</v>
      </c>
      <c r="O1" s="14" t="s">
        <v>88</v>
      </c>
      <c r="P1" s="14" t="s">
        <v>89</v>
      </c>
      <c r="Q1" s="15" t="s">
        <v>34</v>
      </c>
      <c r="R1" s="14" t="s">
        <v>35</v>
      </c>
      <c r="S1" s="14" t="s">
        <v>36</v>
      </c>
      <c r="T1" s="14" t="s">
        <v>37</v>
      </c>
      <c r="U1" s="14" t="s">
        <v>38</v>
      </c>
      <c r="V1" s="14" t="s">
        <v>39</v>
      </c>
      <c r="W1" s="14" t="s">
        <v>40</v>
      </c>
      <c r="X1" s="14" t="s">
        <v>41</v>
      </c>
    </row>
    <row r="2" ht="24" customHeight="1" spans="1:24" x14ac:dyDescent="0.25">
      <c r="A2" s="16" t="s">
        <v>97</v>
      </c>
      <c r="B2" s="17" t="s">
        <v>59</v>
      </c>
      <c r="C2" s="17" t="s">
        <v>98</v>
      </c>
      <c r="D2" s="19">
        <v>1500</v>
      </c>
      <c r="E2" s="19">
        <v>120</v>
      </c>
      <c r="F2" s="19">
        <v>180</v>
      </c>
      <c r="G2" s="18">
        <v>46266</v>
      </c>
      <c r="H2" s="19">
        <v>297</v>
      </c>
      <c r="I2" s="20">
        <v>3</v>
      </c>
      <c r="J2" s="20">
        <v>1</v>
      </c>
      <c r="K2" s="21">
        <f>IF(N(H2)&gt;0,ROUND(H2-IF(N(I2)&gt;0,ROUND(H2*MIN(N(J2),N(I2))/N(I2),2),H2),2),"")</f>
        <v>198</v>
      </c>
      <c r="L2" s="18">
        <v>46268</v>
      </c>
      <c r="M2" s="18">
        <v>46356</v>
      </c>
      <c r="N2" s="18">
        <v>46631</v>
      </c>
      <c r="O2" s="20">
        <v>45</v>
      </c>
      <c r="P2" s="20">
        <v>10</v>
      </c>
      <c r="Q2" s="22">
        <f>IF(N(O2)&gt;0,MIN(1,N(P2)/N(O2)),"")</f>
        <v>0.2222222222222222</v>
      </c>
      <c r="R2" s="17" t="s">
        <v>45</v>
      </c>
      <c r="S2" s="17" t="s">
        <v>83</v>
      </c>
      <c r="T2" s="17" t="s">
        <v>47</v>
      </c>
      <c r="U2" s="17" t="s">
        <v>48</v>
      </c>
      <c r="V2" s="17"/>
      <c r="W2" s="23"/>
      <c r="X2" s="24" t="s">
        <v>99</v>
      </c>
    </row>
    <row r="3" ht="24" customHeight="1" spans="1:24" x14ac:dyDescent="0.25">
      <c r="A3" s="23"/>
      <c r="B3" s="17"/>
      <c r="C3" s="17"/>
      <c r="D3" s="19"/>
      <c r="E3" s="19"/>
      <c r="F3" s="19"/>
      <c r="G3" s="18"/>
      <c r="H3" s="19"/>
      <c r="I3" s="20"/>
      <c r="J3" s="20"/>
      <c r="K3" s="21" t="str">
        <f>IF(N(H3)&gt;0,ROUND(H3-IF(N(I3)&gt;0,ROUND(H3*MIN(N(J3),N(I3))/N(I3),2),H3),2),"")</f>
        <v/>
      </c>
      <c r="L3" s="18"/>
      <c r="M3" s="18"/>
      <c r="N3" s="18"/>
      <c r="O3" s="20"/>
      <c r="P3" s="20"/>
      <c r="Q3" s="22" t="str">
        <f>IF(N(O3)&gt;0,MIN(1,N(P3)/N(O3)),"")</f>
        <v/>
      </c>
      <c r="R3" s="17"/>
      <c r="S3" s="17"/>
      <c r="T3" s="17"/>
      <c r="U3" s="17"/>
      <c r="V3" s="17"/>
      <c r="W3" s="23"/>
      <c r="X3" s="24"/>
    </row>
    <row r="4" ht="24" customHeight="1" spans="1:24" x14ac:dyDescent="0.25">
      <c r="A4" s="23"/>
      <c r="B4" s="17"/>
      <c r="C4" s="17"/>
      <c r="D4" s="19"/>
      <c r="E4" s="19"/>
      <c r="F4" s="19"/>
      <c r="G4" s="18"/>
      <c r="H4" s="19"/>
      <c r="I4" s="20"/>
      <c r="J4" s="20"/>
      <c r="K4" s="21" t="str">
        <f>IF(N(H4)&gt;0,ROUND(H4-IF(N(I4)&gt;0,ROUND(H4*MIN(N(J4),N(I4))/N(I4),2),H4),2),"")</f>
        <v/>
      </c>
      <c r="L4" s="18"/>
      <c r="M4" s="18"/>
      <c r="N4" s="18"/>
      <c r="O4" s="20"/>
      <c r="P4" s="20"/>
      <c r="Q4" s="22" t="str">
        <f>IF(N(O4)&gt;0,MIN(1,N(P4)/N(O4)),"")</f>
        <v/>
      </c>
      <c r="R4" s="17"/>
      <c r="S4" s="17"/>
      <c r="T4" s="17"/>
      <c r="U4" s="17"/>
      <c r="V4" s="17"/>
      <c r="W4" s="23"/>
      <c r="X4" s="24"/>
    </row>
    <row r="5" ht="24" customHeight="1" spans="1:24" x14ac:dyDescent="0.25">
      <c r="A5" s="23"/>
      <c r="B5" s="17"/>
      <c r="C5" s="17"/>
      <c r="D5" s="19"/>
      <c r="E5" s="19"/>
      <c r="F5" s="19"/>
      <c r="G5" s="18"/>
      <c r="H5" s="19"/>
      <c r="I5" s="20"/>
      <c r="J5" s="20"/>
      <c r="K5" s="21" t="str">
        <f>IF(N(H5)&gt;0,ROUND(H5-IF(N(I5)&gt;0,ROUND(H5*MIN(N(J5),N(I5))/N(I5),2),H5),2),"")</f>
        <v/>
      </c>
      <c r="L5" s="18"/>
      <c r="M5" s="18"/>
      <c r="N5" s="18"/>
      <c r="O5" s="20"/>
      <c r="P5" s="20"/>
      <c r="Q5" s="22" t="str">
        <f>IF(N(O5)&gt;0,MIN(1,N(P5)/N(O5)),"")</f>
        <v/>
      </c>
      <c r="R5" s="17"/>
      <c r="S5" s="17"/>
      <c r="T5" s="17"/>
      <c r="U5" s="17"/>
      <c r="V5" s="17"/>
      <c r="W5" s="23"/>
      <c r="X5" s="24"/>
    </row>
    <row r="6" ht="24" customHeight="1" spans="1:24" x14ac:dyDescent="0.25">
      <c r="A6" s="23"/>
      <c r="B6" s="17"/>
      <c r="C6" s="17"/>
      <c r="D6" s="19"/>
      <c r="E6" s="19"/>
      <c r="F6" s="19"/>
      <c r="G6" s="18"/>
      <c r="H6" s="19"/>
      <c r="I6" s="20"/>
      <c r="J6" s="20"/>
      <c r="K6" s="21" t="str">
        <f>IF(N(H6)&gt;0,ROUND(H6-IF(N(I6)&gt;0,ROUND(H6*MIN(N(J6),N(I6))/N(I6),2),H6),2),"")</f>
        <v/>
      </c>
      <c r="L6" s="18"/>
      <c r="M6" s="18"/>
      <c r="N6" s="18"/>
      <c r="O6" s="20"/>
      <c r="P6" s="20"/>
      <c r="Q6" s="22" t="str">
        <f>IF(N(O6)&gt;0,MIN(1,N(P6)/N(O6)),"")</f>
        <v/>
      </c>
      <c r="R6" s="17"/>
      <c r="S6" s="17"/>
      <c r="T6" s="17"/>
      <c r="U6" s="17"/>
      <c r="V6" s="17"/>
      <c r="W6" s="23"/>
      <c r="X6" s="24"/>
    </row>
    <row r="7" ht="24" customHeight="1" spans="1:24" x14ac:dyDescent="0.25">
      <c r="A7" s="23"/>
      <c r="B7" s="17"/>
      <c r="C7" s="17"/>
      <c r="D7" s="19"/>
      <c r="E7" s="19"/>
      <c r="F7" s="19"/>
      <c r="G7" s="18"/>
      <c r="H7" s="19"/>
      <c r="I7" s="20"/>
      <c r="J7" s="20"/>
      <c r="K7" s="21" t="str">
        <f>IF(N(H7)&gt;0,ROUND(H7-IF(N(I7)&gt;0,ROUND(H7*MIN(N(J7),N(I7))/N(I7),2),H7),2),"")</f>
        <v/>
      </c>
      <c r="L7" s="18"/>
      <c r="M7" s="18"/>
      <c r="N7" s="18"/>
      <c r="O7" s="20"/>
      <c r="P7" s="20"/>
      <c r="Q7" s="22" t="str">
        <f>IF(N(O7)&gt;0,MIN(1,N(P7)/N(O7)),"")</f>
        <v/>
      </c>
      <c r="R7" s="17"/>
      <c r="S7" s="17"/>
      <c r="T7" s="17"/>
      <c r="U7" s="17"/>
      <c r="V7" s="17"/>
      <c r="W7" s="23"/>
      <c r="X7" s="24"/>
    </row>
    <row r="8" ht="24" customHeight="1" spans="1:24" x14ac:dyDescent="0.25">
      <c r="A8" s="23"/>
      <c r="B8" s="17"/>
      <c r="C8" s="17"/>
      <c r="D8" s="19"/>
      <c r="E8" s="19"/>
      <c r="F8" s="19"/>
      <c r="G8" s="18"/>
      <c r="H8" s="19"/>
      <c r="I8" s="20"/>
      <c r="J8" s="20"/>
      <c r="K8" s="21" t="str">
        <f>IF(N(H8)&gt;0,ROUND(H8-IF(N(I8)&gt;0,ROUND(H8*MIN(N(J8),N(I8))/N(I8),2),H8),2),"")</f>
        <v/>
      </c>
      <c r="L8" s="18"/>
      <c r="M8" s="18"/>
      <c r="N8" s="18"/>
      <c r="O8" s="20"/>
      <c r="P8" s="20"/>
      <c r="Q8" s="22" t="str">
        <f>IF(N(O8)&gt;0,MIN(1,N(P8)/N(O8)),"")</f>
        <v/>
      </c>
      <c r="R8" s="17"/>
      <c r="S8" s="17"/>
      <c r="T8" s="17"/>
      <c r="U8" s="17"/>
      <c r="V8" s="17"/>
      <c r="W8" s="23"/>
      <c r="X8" s="24"/>
    </row>
    <row r="9" ht="24" customHeight="1" spans="1:24" x14ac:dyDescent="0.25">
      <c r="A9" s="23"/>
      <c r="B9" s="17"/>
      <c r="C9" s="17"/>
      <c r="D9" s="19"/>
      <c r="E9" s="19"/>
      <c r="F9" s="19"/>
      <c r="G9" s="18"/>
      <c r="H9" s="19"/>
      <c r="I9" s="20"/>
      <c r="J9" s="20"/>
      <c r="K9" s="21" t="str">
        <f>IF(N(H9)&gt;0,ROUND(H9-IF(N(I9)&gt;0,ROUND(H9*MIN(N(J9),N(I9))/N(I9),2),H9),2),"")</f>
        <v/>
      </c>
      <c r="L9" s="18"/>
      <c r="M9" s="18"/>
      <c r="N9" s="18"/>
      <c r="O9" s="20"/>
      <c r="P9" s="20"/>
      <c r="Q9" s="22" t="str">
        <f>IF(N(O9)&gt;0,MIN(1,N(P9)/N(O9)),"")</f>
        <v/>
      </c>
      <c r="R9" s="17"/>
      <c r="S9" s="17"/>
      <c r="T9" s="17"/>
      <c r="U9" s="17"/>
      <c r="V9" s="17"/>
      <c r="W9" s="23"/>
      <c r="X9" s="24"/>
    </row>
    <row r="10" ht="24" customHeight="1" spans="1:24" x14ac:dyDescent="0.25">
      <c r="A10" s="23"/>
      <c r="B10" s="17"/>
      <c r="C10" s="17"/>
      <c r="D10" s="19"/>
      <c r="E10" s="19"/>
      <c r="F10" s="19"/>
      <c r="G10" s="18"/>
      <c r="H10" s="19"/>
      <c r="I10" s="20"/>
      <c r="J10" s="20"/>
      <c r="K10" s="21" t="str">
        <f>IF(N(H10)&gt;0,ROUND(H10-IF(N(I10)&gt;0,ROUND(H10*MIN(N(J10),N(I10))/N(I10),2),H10),2),"")</f>
        <v/>
      </c>
      <c r="L10" s="18"/>
      <c r="M10" s="18"/>
      <c r="N10" s="18"/>
      <c r="O10" s="20"/>
      <c r="P10" s="20"/>
      <c r="Q10" s="22" t="str">
        <f>IF(N(O10)&gt;0,MIN(1,N(P10)/N(O10)),"")</f>
        <v/>
      </c>
      <c r="R10" s="17"/>
      <c r="S10" s="17"/>
      <c r="T10" s="17"/>
      <c r="U10" s="17"/>
      <c r="V10" s="17"/>
      <c r="W10" s="23"/>
      <c r="X10" s="24"/>
    </row>
    <row r="11" ht="24" customHeight="1" spans="1:24" x14ac:dyDescent="0.25">
      <c r="A11" s="23"/>
      <c r="B11" s="17"/>
      <c r="C11" s="17"/>
      <c r="D11" s="19"/>
      <c r="E11" s="19"/>
      <c r="F11" s="19"/>
      <c r="G11" s="18"/>
      <c r="H11" s="19"/>
      <c r="I11" s="20"/>
      <c r="J11" s="20"/>
      <c r="K11" s="21" t="str">
        <f>IF(N(H11)&gt;0,ROUND(H11-IF(N(I11)&gt;0,ROUND(H11*MIN(N(J11),N(I11))/N(I11),2),H11),2),"")</f>
        <v/>
      </c>
      <c r="L11" s="18"/>
      <c r="M11" s="18"/>
      <c r="N11" s="18"/>
      <c r="O11" s="20"/>
      <c r="P11" s="20"/>
      <c r="Q11" s="22" t="str">
        <f>IF(N(O11)&gt;0,MIN(1,N(P11)/N(O11)),"")</f>
        <v/>
      </c>
      <c r="R11" s="17"/>
      <c r="S11" s="17"/>
      <c r="T11" s="17"/>
      <c r="U11" s="17"/>
      <c r="V11" s="17"/>
      <c r="W11" s="23"/>
      <c r="X11" s="24"/>
    </row>
    <row r="12" ht="24" customHeight="1" spans="1:24" x14ac:dyDescent="0.25">
      <c r="A12" s="23"/>
      <c r="B12" s="17"/>
      <c r="C12" s="17"/>
      <c r="D12" s="19"/>
      <c r="E12" s="19"/>
      <c r="F12" s="19"/>
      <c r="G12" s="18"/>
      <c r="H12" s="19"/>
      <c r="I12" s="20"/>
      <c r="J12" s="20"/>
      <c r="K12" s="21" t="str">
        <f>IF(N(H12)&gt;0,ROUND(H12-IF(N(I12)&gt;0,ROUND(H12*MIN(N(J12),N(I12))/N(I12),2),H12),2),"")</f>
        <v/>
      </c>
      <c r="L12" s="18"/>
      <c r="M12" s="18"/>
      <c r="N12" s="18"/>
      <c r="O12" s="20"/>
      <c r="P12" s="20"/>
      <c r="Q12" s="22" t="str">
        <f>IF(N(O12)&gt;0,MIN(1,N(P12)/N(O12)),"")</f>
        <v/>
      </c>
      <c r="R12" s="17"/>
      <c r="S12" s="17"/>
      <c r="T12" s="17"/>
      <c r="U12" s="17"/>
      <c r="V12" s="17"/>
      <c r="W12" s="23"/>
      <c r="X12" s="24"/>
    </row>
    <row r="13" ht="24" customHeight="1" spans="1:24" x14ac:dyDescent="0.25">
      <c r="A13" s="23"/>
      <c r="B13" s="17"/>
      <c r="C13" s="17"/>
      <c r="D13" s="19"/>
      <c r="E13" s="19"/>
      <c r="F13" s="19"/>
      <c r="G13" s="18"/>
      <c r="H13" s="19"/>
      <c r="I13" s="20"/>
      <c r="J13" s="20"/>
      <c r="K13" s="21" t="str">
        <f>IF(N(H13)&gt;0,ROUND(H13-IF(N(I13)&gt;0,ROUND(H13*MIN(N(J13),N(I13))/N(I13),2),H13),2),"")</f>
        <v/>
      </c>
      <c r="L13" s="18"/>
      <c r="M13" s="18"/>
      <c r="N13" s="18"/>
      <c r="O13" s="20"/>
      <c r="P13" s="20"/>
      <c r="Q13" s="22" t="str">
        <f>IF(N(O13)&gt;0,MIN(1,N(P13)/N(O13)),"")</f>
        <v/>
      </c>
      <c r="R13" s="17"/>
      <c r="S13" s="17"/>
      <c r="T13" s="17"/>
      <c r="U13" s="17"/>
      <c r="V13" s="17"/>
      <c r="W13" s="23"/>
      <c r="X13" s="24"/>
    </row>
    <row r="14" ht="24" customHeight="1" spans="1:24" x14ac:dyDescent="0.25">
      <c r="A14" s="23"/>
      <c r="B14" s="17"/>
      <c r="C14" s="17"/>
      <c r="D14" s="19"/>
      <c r="E14" s="19"/>
      <c r="F14" s="19"/>
      <c r="G14" s="18"/>
      <c r="H14" s="19"/>
      <c r="I14" s="20"/>
      <c r="J14" s="20"/>
      <c r="K14" s="21" t="str">
        <f>IF(N(H14)&gt;0,ROUND(H14-IF(N(I14)&gt;0,ROUND(H14*MIN(N(J14),N(I14))/N(I14),2),H14),2),"")</f>
        <v/>
      </c>
      <c r="L14" s="18"/>
      <c r="M14" s="18"/>
      <c r="N14" s="18"/>
      <c r="O14" s="20"/>
      <c r="P14" s="20"/>
      <c r="Q14" s="22" t="str">
        <f>IF(N(O14)&gt;0,MIN(1,N(P14)/N(O14)),"")</f>
        <v/>
      </c>
      <c r="R14" s="17"/>
      <c r="S14" s="17"/>
      <c r="T14" s="17"/>
      <c r="U14" s="17"/>
      <c r="V14" s="17"/>
      <c r="W14" s="23"/>
      <c r="X14" s="24"/>
    </row>
    <row r="15" ht="24" customHeight="1" spans="1:24" x14ac:dyDescent="0.25">
      <c r="A15" s="23"/>
      <c r="B15" s="17"/>
      <c r="C15" s="17"/>
      <c r="D15" s="19"/>
      <c r="E15" s="19"/>
      <c r="F15" s="19"/>
      <c r="G15" s="18"/>
      <c r="H15" s="19"/>
      <c r="I15" s="20"/>
      <c r="J15" s="20"/>
      <c r="K15" s="21" t="str">
        <f>IF(N(H15)&gt;0,ROUND(H15-IF(N(I15)&gt;0,ROUND(H15*MIN(N(J15),N(I15))/N(I15),2),H15),2),"")</f>
        <v/>
      </c>
      <c r="L15" s="18"/>
      <c r="M15" s="18"/>
      <c r="N15" s="18"/>
      <c r="O15" s="20"/>
      <c r="P15" s="20"/>
      <c r="Q15" s="22" t="str">
        <f>IF(N(O15)&gt;0,MIN(1,N(P15)/N(O15)),"")</f>
        <v/>
      </c>
      <c r="R15" s="17"/>
      <c r="S15" s="17"/>
      <c r="T15" s="17"/>
      <c r="U15" s="17"/>
      <c r="V15" s="17"/>
      <c r="W15" s="23"/>
      <c r="X15" s="24"/>
    </row>
    <row r="16" ht="24" customHeight="1" spans="1:24" x14ac:dyDescent="0.25">
      <c r="A16" s="23"/>
      <c r="B16" s="17"/>
      <c r="C16" s="17"/>
      <c r="D16" s="19"/>
      <c r="E16" s="19"/>
      <c r="F16" s="19"/>
      <c r="G16" s="18"/>
      <c r="H16" s="19"/>
      <c r="I16" s="20"/>
      <c r="J16" s="20"/>
      <c r="K16" s="21" t="str">
        <f>IF(N(H16)&gt;0,ROUND(H16-IF(N(I16)&gt;0,ROUND(H16*MIN(N(J16),N(I16))/N(I16),2),H16),2),"")</f>
        <v/>
      </c>
      <c r="L16" s="18"/>
      <c r="M16" s="18"/>
      <c r="N16" s="18"/>
      <c r="O16" s="20"/>
      <c r="P16" s="20"/>
      <c r="Q16" s="22" t="str">
        <f>IF(N(O16)&gt;0,MIN(1,N(P16)/N(O16)),"")</f>
        <v/>
      </c>
      <c r="R16" s="17"/>
      <c r="S16" s="17"/>
      <c r="T16" s="17"/>
      <c r="U16" s="17"/>
      <c r="V16" s="17"/>
      <c r="W16" s="23"/>
      <c r="X16" s="24"/>
    </row>
    <row r="17" ht="24" customHeight="1" spans="1:24" x14ac:dyDescent="0.25">
      <c r="A17" s="23"/>
      <c r="B17" s="17"/>
      <c r="C17" s="17"/>
      <c r="D17" s="19"/>
      <c r="E17" s="19"/>
      <c r="F17" s="19"/>
      <c r="G17" s="18"/>
      <c r="H17" s="19"/>
      <c r="I17" s="20"/>
      <c r="J17" s="20"/>
      <c r="K17" s="21" t="str">
        <f>IF(N(H17)&gt;0,ROUND(H17-IF(N(I17)&gt;0,ROUND(H17*MIN(N(J17),N(I17))/N(I17),2),H17),2),"")</f>
        <v/>
      </c>
      <c r="L17" s="18"/>
      <c r="M17" s="18"/>
      <c r="N17" s="18"/>
      <c r="O17" s="20"/>
      <c r="P17" s="20"/>
      <c r="Q17" s="22" t="str">
        <f>IF(N(O17)&gt;0,MIN(1,N(P17)/N(O17)),"")</f>
        <v/>
      </c>
      <c r="R17" s="17"/>
      <c r="S17" s="17"/>
      <c r="T17" s="17"/>
      <c r="U17" s="17"/>
      <c r="V17" s="17"/>
      <c r="W17" s="23"/>
      <c r="X17" s="24"/>
    </row>
    <row r="18" ht="24" customHeight="1" spans="1:24" x14ac:dyDescent="0.25">
      <c r="A18" s="23"/>
      <c r="B18" s="17"/>
      <c r="C18" s="17"/>
      <c r="D18" s="19"/>
      <c r="E18" s="19"/>
      <c r="F18" s="19"/>
      <c r="G18" s="18"/>
      <c r="H18" s="19"/>
      <c r="I18" s="20"/>
      <c r="J18" s="20"/>
      <c r="K18" s="21" t="str">
        <f>IF(N(H18)&gt;0,ROUND(H18-IF(N(I18)&gt;0,ROUND(H18*MIN(N(J18),N(I18))/N(I18),2),H18),2),"")</f>
        <v/>
      </c>
      <c r="L18" s="18"/>
      <c r="M18" s="18"/>
      <c r="N18" s="18"/>
      <c r="O18" s="20"/>
      <c r="P18" s="20"/>
      <c r="Q18" s="22" t="str">
        <f>IF(N(O18)&gt;0,MIN(1,N(P18)/N(O18)),"")</f>
        <v/>
      </c>
      <c r="R18" s="17"/>
      <c r="S18" s="17"/>
      <c r="T18" s="17"/>
      <c r="U18" s="17"/>
      <c r="V18" s="17"/>
      <c r="W18" s="23"/>
      <c r="X18" s="24"/>
    </row>
    <row r="19" ht="24" customHeight="1" spans="1:24" x14ac:dyDescent="0.25">
      <c r="A19" s="23"/>
      <c r="B19" s="17"/>
      <c r="C19" s="17"/>
      <c r="D19" s="19"/>
      <c r="E19" s="19"/>
      <c r="F19" s="19"/>
      <c r="G19" s="18"/>
      <c r="H19" s="19"/>
      <c r="I19" s="20"/>
      <c r="J19" s="20"/>
      <c r="K19" s="21" t="str">
        <f>IF(N(H19)&gt;0,ROUND(H19-IF(N(I19)&gt;0,ROUND(H19*MIN(N(J19),N(I19))/N(I19),2),H19),2),"")</f>
        <v/>
      </c>
      <c r="L19" s="18"/>
      <c r="M19" s="18"/>
      <c r="N19" s="18"/>
      <c r="O19" s="20"/>
      <c r="P19" s="20"/>
      <c r="Q19" s="22" t="str">
        <f>IF(N(O19)&gt;0,MIN(1,N(P19)/N(O19)),"")</f>
        <v/>
      </c>
      <c r="R19" s="17"/>
      <c r="S19" s="17"/>
      <c r="T19" s="17"/>
      <c r="U19" s="17"/>
      <c r="V19" s="17"/>
      <c r="W19" s="23"/>
      <c r="X19" s="24"/>
    </row>
    <row r="20" ht="24" customHeight="1" spans="1:24" x14ac:dyDescent="0.25">
      <c r="A20" s="23"/>
      <c r="B20" s="17"/>
      <c r="C20" s="17"/>
      <c r="D20" s="19"/>
      <c r="E20" s="19"/>
      <c r="F20" s="19"/>
      <c r="G20" s="18"/>
      <c r="H20" s="19"/>
      <c r="I20" s="20"/>
      <c r="J20" s="20"/>
      <c r="K20" s="21" t="str">
        <f>IF(N(H20)&gt;0,ROUND(H20-IF(N(I20)&gt;0,ROUND(H20*MIN(N(J20),N(I20))/N(I20),2),H20),2),"")</f>
        <v/>
      </c>
      <c r="L20" s="18"/>
      <c r="M20" s="18"/>
      <c r="N20" s="18"/>
      <c r="O20" s="20"/>
      <c r="P20" s="20"/>
      <c r="Q20" s="22" t="str">
        <f>IF(N(O20)&gt;0,MIN(1,N(P20)/N(O20)),"")</f>
        <v/>
      </c>
      <c r="R20" s="17"/>
      <c r="S20" s="17"/>
      <c r="T20" s="17"/>
      <c r="U20" s="17"/>
      <c r="V20" s="17"/>
      <c r="W20" s="23"/>
      <c r="X20" s="24"/>
    </row>
    <row r="21" ht="24" customHeight="1" spans="1:24" x14ac:dyDescent="0.25">
      <c r="A21" s="23"/>
      <c r="B21" s="17"/>
      <c r="C21" s="17"/>
      <c r="D21" s="19"/>
      <c r="E21" s="19"/>
      <c r="F21" s="19"/>
      <c r="G21" s="18"/>
      <c r="H21" s="19"/>
      <c r="I21" s="20"/>
      <c r="J21" s="20"/>
      <c r="K21" s="21" t="str">
        <f>IF(N(H21)&gt;0,ROUND(H21-IF(N(I21)&gt;0,ROUND(H21*MIN(N(J21),N(I21))/N(I21),2),H21),2),"")</f>
        <v/>
      </c>
      <c r="L21" s="18"/>
      <c r="M21" s="18"/>
      <c r="N21" s="18"/>
      <c r="O21" s="20"/>
      <c r="P21" s="20"/>
      <c r="Q21" s="22" t="str">
        <f>IF(N(O21)&gt;0,MIN(1,N(P21)/N(O21)),"")</f>
        <v/>
      </c>
      <c r="R21" s="17"/>
      <c r="S21" s="17"/>
      <c r="T21" s="17"/>
      <c r="U21" s="17"/>
      <c r="V21" s="17"/>
      <c r="W21" s="23"/>
      <c r="X21" s="24"/>
    </row>
    <row r="22" ht="24" customHeight="1" spans="1:24" x14ac:dyDescent="0.25">
      <c r="A22" s="23"/>
      <c r="B22" s="17"/>
      <c r="C22" s="17"/>
      <c r="D22" s="19"/>
      <c r="E22" s="19"/>
      <c r="F22" s="19"/>
      <c r="G22" s="18"/>
      <c r="H22" s="19"/>
      <c r="I22" s="20"/>
      <c r="J22" s="20"/>
      <c r="K22" s="21" t="str">
        <f>IF(N(H22)&gt;0,ROUND(H22-IF(N(I22)&gt;0,ROUND(H22*MIN(N(J22),N(I22))/N(I22),2),H22),2),"")</f>
        <v/>
      </c>
      <c r="L22" s="18"/>
      <c r="M22" s="18"/>
      <c r="N22" s="18"/>
      <c r="O22" s="20"/>
      <c r="P22" s="20"/>
      <c r="Q22" s="22" t="str">
        <f>IF(N(O22)&gt;0,MIN(1,N(P22)/N(O22)),"")</f>
        <v/>
      </c>
      <c r="R22" s="17"/>
      <c r="S22" s="17"/>
      <c r="T22" s="17"/>
      <c r="U22" s="17"/>
      <c r="V22" s="17"/>
      <c r="W22" s="23"/>
      <c r="X22" s="24"/>
    </row>
    <row r="23" ht="24" customHeight="1" spans="1:24" x14ac:dyDescent="0.25">
      <c r="A23" s="23"/>
      <c r="B23" s="17"/>
      <c r="C23" s="17"/>
      <c r="D23" s="19"/>
      <c r="E23" s="19"/>
      <c r="F23" s="19"/>
      <c r="G23" s="18"/>
      <c r="H23" s="19"/>
      <c r="I23" s="20"/>
      <c r="J23" s="20"/>
      <c r="K23" s="21" t="str">
        <f>IF(N(H23)&gt;0,ROUND(H23-IF(N(I23)&gt;0,ROUND(H23*MIN(N(J23),N(I23))/N(I23),2),H23),2),"")</f>
        <v/>
      </c>
      <c r="L23" s="18"/>
      <c r="M23" s="18"/>
      <c r="N23" s="18"/>
      <c r="O23" s="20"/>
      <c r="P23" s="20"/>
      <c r="Q23" s="22" t="str">
        <f>IF(N(O23)&gt;0,MIN(1,N(P23)/N(O23)),"")</f>
        <v/>
      </c>
      <c r="R23" s="17"/>
      <c r="S23" s="17"/>
      <c r="T23" s="17"/>
      <c r="U23" s="17"/>
      <c r="V23" s="17"/>
      <c r="W23" s="23"/>
      <c r="X23" s="24"/>
    </row>
    <row r="24" ht="24" customHeight="1" spans="1:24" x14ac:dyDescent="0.25">
      <c r="A24" s="23"/>
      <c r="B24" s="17"/>
      <c r="C24" s="17"/>
      <c r="D24" s="19"/>
      <c r="E24" s="19"/>
      <c r="F24" s="19"/>
      <c r="G24" s="18"/>
      <c r="H24" s="19"/>
      <c r="I24" s="20"/>
      <c r="J24" s="20"/>
      <c r="K24" s="21" t="str">
        <f>IF(N(H24)&gt;0,ROUND(H24-IF(N(I24)&gt;0,ROUND(H24*MIN(N(J24),N(I24))/N(I24),2),H24),2),"")</f>
        <v/>
      </c>
      <c r="L24" s="18"/>
      <c r="M24" s="18"/>
      <c r="N24" s="18"/>
      <c r="O24" s="20"/>
      <c r="P24" s="20"/>
      <c r="Q24" s="22" t="str">
        <f>IF(N(O24)&gt;0,MIN(1,N(P24)/N(O24)),"")</f>
        <v/>
      </c>
      <c r="R24" s="17"/>
      <c r="S24" s="17"/>
      <c r="T24" s="17"/>
      <c r="U24" s="17"/>
      <c r="V24" s="17"/>
      <c r="W24" s="23"/>
      <c r="X24" s="24"/>
    </row>
    <row r="25" ht="24" customHeight="1" spans="1:24" x14ac:dyDescent="0.25">
      <c r="A25" s="23"/>
      <c r="B25" s="17"/>
      <c r="C25" s="17"/>
      <c r="D25" s="19"/>
      <c r="E25" s="19"/>
      <c r="F25" s="19"/>
      <c r="G25" s="18"/>
      <c r="H25" s="19"/>
      <c r="I25" s="20"/>
      <c r="J25" s="20"/>
      <c r="K25" s="21" t="str">
        <f>IF(N(H25)&gt;0,ROUND(H25-IF(N(I25)&gt;0,ROUND(H25*MIN(N(J25),N(I25))/N(I25),2),H25),2),"")</f>
        <v/>
      </c>
      <c r="L25" s="18"/>
      <c r="M25" s="18"/>
      <c r="N25" s="18"/>
      <c r="O25" s="20"/>
      <c r="P25" s="20"/>
      <c r="Q25" s="22" t="str">
        <f>IF(N(O25)&gt;0,MIN(1,N(P25)/N(O25)),"")</f>
        <v/>
      </c>
      <c r="R25" s="17"/>
      <c r="S25" s="17"/>
      <c r="T25" s="17"/>
      <c r="U25" s="17"/>
      <c r="V25" s="17"/>
      <c r="W25" s="23"/>
      <c r="X25" s="24"/>
    </row>
    <row r="26" ht="24" customHeight="1" spans="1:24" x14ac:dyDescent="0.25">
      <c r="A26" s="23"/>
      <c r="B26" s="17"/>
      <c r="C26" s="17"/>
      <c r="D26" s="19"/>
      <c r="E26" s="19"/>
      <c r="F26" s="19"/>
      <c r="G26" s="18"/>
      <c r="H26" s="19"/>
      <c r="I26" s="20"/>
      <c r="J26" s="20"/>
      <c r="K26" s="21" t="str">
        <f>IF(N(H26)&gt;0,ROUND(H26-IF(N(I26)&gt;0,ROUND(H26*MIN(N(J26),N(I26))/N(I26),2),H26),2),"")</f>
        <v/>
      </c>
      <c r="L26" s="18"/>
      <c r="M26" s="18"/>
      <c r="N26" s="18"/>
      <c r="O26" s="20"/>
      <c r="P26" s="20"/>
      <c r="Q26" s="22" t="str">
        <f>IF(N(O26)&gt;0,MIN(1,N(P26)/N(O26)),"")</f>
        <v/>
      </c>
      <c r="R26" s="17"/>
      <c r="S26" s="17"/>
      <c r="T26" s="17"/>
      <c r="U26" s="17"/>
      <c r="V26" s="17"/>
      <c r="W26" s="23"/>
      <c r="X26" s="24"/>
    </row>
    <row r="27" ht="24" customHeight="1" spans="1:24" x14ac:dyDescent="0.25">
      <c r="A27" s="23"/>
      <c r="B27" s="17"/>
      <c r="C27" s="17"/>
      <c r="D27" s="19"/>
      <c r="E27" s="19"/>
      <c r="F27" s="19"/>
      <c r="G27" s="18"/>
      <c r="H27" s="19"/>
      <c r="I27" s="20"/>
      <c r="J27" s="20"/>
      <c r="K27" s="21" t="str">
        <f>IF(N(H27)&gt;0,ROUND(H27-IF(N(I27)&gt;0,ROUND(H27*MIN(N(J27),N(I27))/N(I27),2),H27),2),"")</f>
        <v/>
      </c>
      <c r="L27" s="18"/>
      <c r="M27" s="18"/>
      <c r="N27" s="18"/>
      <c r="O27" s="20"/>
      <c r="P27" s="20"/>
      <c r="Q27" s="22" t="str">
        <f>IF(N(O27)&gt;0,MIN(1,N(P27)/N(O27)),"")</f>
        <v/>
      </c>
      <c r="R27" s="17"/>
      <c r="S27" s="17"/>
      <c r="T27" s="17"/>
      <c r="U27" s="17"/>
      <c r="V27" s="17"/>
      <c r="W27" s="23"/>
      <c r="X27" s="24"/>
    </row>
    <row r="28" ht="24" customHeight="1" spans="1:24" x14ac:dyDescent="0.25">
      <c r="A28" s="23"/>
      <c r="B28" s="17"/>
      <c r="C28" s="17"/>
      <c r="D28" s="19"/>
      <c r="E28" s="19"/>
      <c r="F28" s="19"/>
      <c r="G28" s="18"/>
      <c r="H28" s="19"/>
      <c r="I28" s="20"/>
      <c r="J28" s="20"/>
      <c r="K28" s="21" t="str">
        <f>IF(N(H28)&gt;0,ROUND(H28-IF(N(I28)&gt;0,ROUND(H28*MIN(N(J28),N(I28))/N(I28),2),H28),2),"")</f>
        <v/>
      </c>
      <c r="L28" s="18"/>
      <c r="M28" s="18"/>
      <c r="N28" s="18"/>
      <c r="O28" s="20"/>
      <c r="P28" s="20"/>
      <c r="Q28" s="22" t="str">
        <f>IF(N(O28)&gt;0,MIN(1,N(P28)/N(O28)),"")</f>
        <v/>
      </c>
      <c r="R28" s="17"/>
      <c r="S28" s="17"/>
      <c r="T28" s="17"/>
      <c r="U28" s="17"/>
      <c r="V28" s="17"/>
      <c r="W28" s="23"/>
      <c r="X28" s="24"/>
    </row>
    <row r="29" ht="24" customHeight="1" spans="1:24" x14ac:dyDescent="0.25">
      <c r="A29" s="23"/>
      <c r="B29" s="17"/>
      <c r="C29" s="17"/>
      <c r="D29" s="19"/>
      <c r="E29" s="19"/>
      <c r="F29" s="19"/>
      <c r="G29" s="18"/>
      <c r="H29" s="19"/>
      <c r="I29" s="20"/>
      <c r="J29" s="20"/>
      <c r="K29" s="21" t="str">
        <f>IF(N(H29)&gt;0,ROUND(H29-IF(N(I29)&gt;0,ROUND(H29*MIN(N(J29),N(I29))/N(I29),2),H29),2),"")</f>
        <v/>
      </c>
      <c r="L29" s="18"/>
      <c r="M29" s="18"/>
      <c r="N29" s="18"/>
      <c r="O29" s="20"/>
      <c r="P29" s="20"/>
      <c r="Q29" s="22" t="str">
        <f>IF(N(O29)&gt;0,MIN(1,N(P29)/N(O29)),"")</f>
        <v/>
      </c>
      <c r="R29" s="17"/>
      <c r="S29" s="17"/>
      <c r="T29" s="17"/>
      <c r="U29" s="17"/>
      <c r="V29" s="17"/>
      <c r="W29" s="23"/>
      <c r="X29" s="24"/>
    </row>
    <row r="30" ht="24" customHeight="1" spans="1:24" x14ac:dyDescent="0.25">
      <c r="A30" s="23"/>
      <c r="B30" s="17"/>
      <c r="C30" s="17"/>
      <c r="D30" s="19"/>
      <c r="E30" s="19"/>
      <c r="F30" s="19"/>
      <c r="G30" s="18"/>
      <c r="H30" s="19"/>
      <c r="I30" s="20"/>
      <c r="J30" s="20"/>
      <c r="K30" s="21" t="str">
        <f>IF(N(H30)&gt;0,ROUND(H30-IF(N(I30)&gt;0,ROUND(H30*MIN(N(J30),N(I30))/N(I30),2),H30),2),"")</f>
        <v/>
      </c>
      <c r="L30" s="18"/>
      <c r="M30" s="18"/>
      <c r="N30" s="18"/>
      <c r="O30" s="20"/>
      <c r="P30" s="20"/>
      <c r="Q30" s="22" t="str">
        <f>IF(N(O30)&gt;0,MIN(1,N(P30)/N(O30)),"")</f>
        <v/>
      </c>
      <c r="R30" s="17"/>
      <c r="S30" s="17"/>
      <c r="T30" s="17"/>
      <c r="U30" s="17"/>
      <c r="V30" s="17"/>
      <c r="W30" s="23"/>
      <c r="X30" s="24"/>
    </row>
    <row r="31" ht="24" customHeight="1" spans="1:24" x14ac:dyDescent="0.25">
      <c r="A31" s="23"/>
      <c r="B31" s="17"/>
      <c r="C31" s="17"/>
      <c r="D31" s="19"/>
      <c r="E31" s="19"/>
      <c r="F31" s="19"/>
      <c r="G31" s="18"/>
      <c r="H31" s="19"/>
      <c r="I31" s="20"/>
      <c r="J31" s="20"/>
      <c r="K31" s="21" t="str">
        <f>IF(N(H31)&gt;0,ROUND(H31-IF(N(I31)&gt;0,ROUND(H31*MIN(N(J31),N(I31))/N(I31),2),H31),2),"")</f>
        <v/>
      </c>
      <c r="L31" s="18"/>
      <c r="M31" s="18"/>
      <c r="N31" s="18"/>
      <c r="O31" s="20"/>
      <c r="P31" s="20"/>
      <c r="Q31" s="22" t="str">
        <f>IF(N(O31)&gt;0,MIN(1,N(P31)/N(O31)),"")</f>
        <v/>
      </c>
      <c r="R31" s="17"/>
      <c r="S31" s="17"/>
      <c r="T31" s="17"/>
      <c r="U31" s="17"/>
      <c r="V31" s="17"/>
      <c r="W31" s="23"/>
      <c r="X31" s="24"/>
    </row>
    <row r="32" ht="24" customHeight="1" spans="1:24" x14ac:dyDescent="0.25">
      <c r="A32" s="23"/>
      <c r="B32" s="17"/>
      <c r="C32" s="17"/>
      <c r="D32" s="19"/>
      <c r="E32" s="19"/>
      <c r="F32" s="19"/>
      <c r="G32" s="18"/>
      <c r="H32" s="19"/>
      <c r="I32" s="20"/>
      <c r="J32" s="20"/>
      <c r="K32" s="21" t="str">
        <f>IF(N(H32)&gt;0,ROUND(H32-IF(N(I32)&gt;0,ROUND(H32*MIN(N(J32),N(I32))/N(I32),2),H32),2),"")</f>
        <v/>
      </c>
      <c r="L32" s="18"/>
      <c r="M32" s="18"/>
      <c r="N32" s="18"/>
      <c r="O32" s="20"/>
      <c r="P32" s="20"/>
      <c r="Q32" s="22" t="str">
        <f>IF(N(O32)&gt;0,MIN(1,N(P32)/N(O32)),"")</f>
        <v/>
      </c>
      <c r="R32" s="17"/>
      <c r="S32" s="17"/>
      <c r="T32" s="17"/>
      <c r="U32" s="17"/>
      <c r="V32" s="17"/>
      <c r="W32" s="23"/>
      <c r="X32" s="24"/>
    </row>
    <row r="33" ht="24" customHeight="1" spans="1:24" x14ac:dyDescent="0.25">
      <c r="A33" s="23"/>
      <c r="B33" s="17"/>
      <c r="C33" s="17"/>
      <c r="D33" s="19"/>
      <c r="E33" s="19"/>
      <c r="F33" s="19"/>
      <c r="G33" s="18"/>
      <c r="H33" s="19"/>
      <c r="I33" s="20"/>
      <c r="J33" s="20"/>
      <c r="K33" s="21" t="str">
        <f>IF(N(H33)&gt;0,ROUND(H33-IF(N(I33)&gt;0,ROUND(H33*MIN(N(J33),N(I33))/N(I33),2),H33),2),"")</f>
        <v/>
      </c>
      <c r="L33" s="18"/>
      <c r="M33" s="18"/>
      <c r="N33" s="18"/>
      <c r="O33" s="20"/>
      <c r="P33" s="20"/>
      <c r="Q33" s="22" t="str">
        <f>IF(N(O33)&gt;0,MIN(1,N(P33)/N(O33)),"")</f>
        <v/>
      </c>
      <c r="R33" s="17"/>
      <c r="S33" s="17"/>
      <c r="T33" s="17"/>
      <c r="U33" s="17"/>
      <c r="V33" s="17"/>
      <c r="W33" s="23"/>
      <c r="X33" s="24"/>
    </row>
    <row r="34" ht="24" customHeight="1" spans="1:24" x14ac:dyDescent="0.25">
      <c r="A34" s="23"/>
      <c r="B34" s="17"/>
      <c r="C34" s="17"/>
      <c r="D34" s="19"/>
      <c r="E34" s="19"/>
      <c r="F34" s="19"/>
      <c r="G34" s="18"/>
      <c r="H34" s="19"/>
      <c r="I34" s="20"/>
      <c r="J34" s="20"/>
      <c r="K34" s="21" t="str">
        <f>IF(N(H34)&gt;0,ROUND(H34-IF(N(I34)&gt;0,ROUND(H34*MIN(N(J34),N(I34))/N(I34),2),H34),2),"")</f>
        <v/>
      </c>
      <c r="L34" s="18"/>
      <c r="M34" s="18"/>
      <c r="N34" s="18"/>
      <c r="O34" s="20"/>
      <c r="P34" s="20"/>
      <c r="Q34" s="22" t="str">
        <f>IF(N(O34)&gt;0,MIN(1,N(P34)/N(O34)),"")</f>
        <v/>
      </c>
      <c r="R34" s="17"/>
      <c r="S34" s="17"/>
      <c r="T34" s="17"/>
      <c r="U34" s="17"/>
      <c r="V34" s="17"/>
      <c r="W34" s="23"/>
      <c r="X34" s="24"/>
    </row>
    <row r="35" ht="24" customHeight="1" spans="1:24" x14ac:dyDescent="0.25">
      <c r="A35" s="23"/>
      <c r="B35" s="17"/>
      <c r="C35" s="17"/>
      <c r="D35" s="19"/>
      <c r="E35" s="19"/>
      <c r="F35" s="19"/>
      <c r="G35" s="18"/>
      <c r="H35" s="19"/>
      <c r="I35" s="20"/>
      <c r="J35" s="20"/>
      <c r="K35" s="21" t="str">
        <f>IF(N(H35)&gt;0,ROUND(H35-IF(N(I35)&gt;0,ROUND(H35*MIN(N(J35),N(I35))/N(I35),2),H35),2),"")</f>
        <v/>
      </c>
      <c r="L35" s="18"/>
      <c r="M35" s="18"/>
      <c r="N35" s="18"/>
      <c r="O35" s="20"/>
      <c r="P35" s="20"/>
      <c r="Q35" s="22" t="str">
        <f>IF(N(O35)&gt;0,MIN(1,N(P35)/N(O35)),"")</f>
        <v/>
      </c>
      <c r="R35" s="17"/>
      <c r="S35" s="17"/>
      <c r="T35" s="17"/>
      <c r="U35" s="17"/>
      <c r="V35" s="17"/>
      <c r="W35" s="23"/>
      <c r="X35" s="24"/>
    </row>
    <row r="36" ht="24" customHeight="1" spans="1:24" x14ac:dyDescent="0.25">
      <c r="A36" s="23"/>
      <c r="B36" s="17"/>
      <c r="C36" s="17"/>
      <c r="D36" s="19"/>
      <c r="E36" s="19"/>
      <c r="F36" s="19"/>
      <c r="G36" s="18"/>
      <c r="H36" s="19"/>
      <c r="I36" s="20"/>
      <c r="J36" s="20"/>
      <c r="K36" s="21" t="str">
        <f>IF(N(H36)&gt;0,ROUND(H36-IF(N(I36)&gt;0,ROUND(H36*MIN(N(J36),N(I36))/N(I36),2),H36),2),"")</f>
        <v/>
      </c>
      <c r="L36" s="18"/>
      <c r="M36" s="18"/>
      <c r="N36" s="18"/>
      <c r="O36" s="20"/>
      <c r="P36" s="20"/>
      <c r="Q36" s="22" t="str">
        <f>IF(N(O36)&gt;0,MIN(1,N(P36)/N(O36)),"")</f>
        <v/>
      </c>
      <c r="R36" s="17"/>
      <c r="S36" s="17"/>
      <c r="T36" s="17"/>
      <c r="U36" s="17"/>
      <c r="V36" s="17"/>
      <c r="W36" s="23"/>
      <c r="X36" s="24"/>
    </row>
    <row r="37" ht="24" customHeight="1" spans="1:24" x14ac:dyDescent="0.25">
      <c r="A37" s="23"/>
      <c r="B37" s="17"/>
      <c r="C37" s="17"/>
      <c r="D37" s="19"/>
      <c r="E37" s="19"/>
      <c r="F37" s="19"/>
      <c r="G37" s="18"/>
      <c r="H37" s="19"/>
      <c r="I37" s="20"/>
      <c r="J37" s="20"/>
      <c r="K37" s="21" t="str">
        <f>IF(N(H37)&gt;0,ROUND(H37-IF(N(I37)&gt;0,ROUND(H37*MIN(N(J37),N(I37))/N(I37),2),H37),2),"")</f>
        <v/>
      </c>
      <c r="L37" s="18"/>
      <c r="M37" s="18"/>
      <c r="N37" s="18"/>
      <c r="O37" s="20"/>
      <c r="P37" s="20"/>
      <c r="Q37" s="22" t="str">
        <f>IF(N(O37)&gt;0,MIN(1,N(P37)/N(O37)),"")</f>
        <v/>
      </c>
      <c r="R37" s="17"/>
      <c r="S37" s="17"/>
      <c r="T37" s="17"/>
      <c r="U37" s="17"/>
      <c r="V37" s="17"/>
      <c r="W37" s="23"/>
      <c r="X37" s="24"/>
    </row>
    <row r="38" ht="24" customHeight="1" spans="1:24" x14ac:dyDescent="0.25">
      <c r="A38" s="23"/>
      <c r="B38" s="17"/>
      <c r="C38" s="17"/>
      <c r="D38" s="19"/>
      <c r="E38" s="19"/>
      <c r="F38" s="19"/>
      <c r="G38" s="18"/>
      <c r="H38" s="19"/>
      <c r="I38" s="20"/>
      <c r="J38" s="20"/>
      <c r="K38" s="21" t="str">
        <f>IF(N(H38)&gt;0,ROUND(H38-IF(N(I38)&gt;0,ROUND(H38*MIN(N(J38),N(I38))/N(I38),2),H38),2),"")</f>
        <v/>
      </c>
      <c r="L38" s="18"/>
      <c r="M38" s="18"/>
      <c r="N38" s="18"/>
      <c r="O38" s="20"/>
      <c r="P38" s="20"/>
      <c r="Q38" s="22" t="str">
        <f>IF(N(O38)&gt;0,MIN(1,N(P38)/N(O38)),"")</f>
        <v/>
      </c>
      <c r="R38" s="17"/>
      <c r="S38" s="17"/>
      <c r="T38" s="17"/>
      <c r="U38" s="17"/>
      <c r="V38" s="17"/>
      <c r="W38" s="23"/>
      <c r="X38" s="24"/>
    </row>
    <row r="39" ht="24" customHeight="1" spans="1:24" x14ac:dyDescent="0.25">
      <c r="A39" s="23"/>
      <c r="B39" s="17"/>
      <c r="C39" s="17"/>
      <c r="D39" s="19"/>
      <c r="E39" s="19"/>
      <c r="F39" s="19"/>
      <c r="G39" s="18"/>
      <c r="H39" s="19"/>
      <c r="I39" s="20"/>
      <c r="J39" s="20"/>
      <c r="K39" s="21" t="str">
        <f>IF(N(H39)&gt;0,ROUND(H39-IF(N(I39)&gt;0,ROUND(H39*MIN(N(J39),N(I39))/N(I39),2),H39),2),"")</f>
        <v/>
      </c>
      <c r="L39" s="18"/>
      <c r="M39" s="18"/>
      <c r="N39" s="18"/>
      <c r="O39" s="20"/>
      <c r="P39" s="20"/>
      <c r="Q39" s="22" t="str">
        <f>IF(N(O39)&gt;0,MIN(1,N(P39)/N(O39)),"")</f>
        <v/>
      </c>
      <c r="R39" s="17"/>
      <c r="S39" s="17"/>
      <c r="T39" s="17"/>
      <c r="U39" s="17"/>
      <c r="V39" s="17"/>
      <c r="W39" s="23"/>
      <c r="X39" s="24"/>
    </row>
    <row r="40" ht="24" customHeight="1" spans="1:24" x14ac:dyDescent="0.25">
      <c r="A40" s="23"/>
      <c r="B40" s="17"/>
      <c r="C40" s="17"/>
      <c r="D40" s="19"/>
      <c r="E40" s="19"/>
      <c r="F40" s="19"/>
      <c r="G40" s="18"/>
      <c r="H40" s="19"/>
      <c r="I40" s="20"/>
      <c r="J40" s="20"/>
      <c r="K40" s="21" t="str">
        <f>IF(N(H40)&gt;0,ROUND(H40-IF(N(I40)&gt;0,ROUND(H40*MIN(N(J40),N(I40))/N(I40),2),H40),2),"")</f>
        <v/>
      </c>
      <c r="L40" s="18"/>
      <c r="M40" s="18"/>
      <c r="N40" s="18"/>
      <c r="O40" s="20"/>
      <c r="P40" s="20"/>
      <c r="Q40" s="22" t="str">
        <f>IF(N(O40)&gt;0,MIN(1,N(P40)/N(O40)),"")</f>
        <v/>
      </c>
      <c r="R40" s="17"/>
      <c r="S40" s="17"/>
      <c r="T40" s="17"/>
      <c r="U40" s="17"/>
      <c r="V40" s="17"/>
      <c r="W40" s="23"/>
      <c r="X40" s="24"/>
    </row>
    <row r="41" ht="24" customHeight="1" spans="1:24" x14ac:dyDescent="0.25">
      <c r="A41" s="23"/>
      <c r="B41" s="17"/>
      <c r="C41" s="17"/>
      <c r="D41" s="19"/>
      <c r="E41" s="19"/>
      <c r="F41" s="19"/>
      <c r="G41" s="18"/>
      <c r="H41" s="19"/>
      <c r="I41" s="20"/>
      <c r="J41" s="20"/>
      <c r="K41" s="21" t="str">
        <f>IF(N(H41)&gt;0,ROUND(H41-IF(N(I41)&gt;0,ROUND(H41*MIN(N(J41),N(I41))/N(I41),2),H41),2),"")</f>
        <v/>
      </c>
      <c r="L41" s="18"/>
      <c r="M41" s="18"/>
      <c r="N41" s="18"/>
      <c r="O41" s="20"/>
      <c r="P41" s="20"/>
      <c r="Q41" s="22" t="str">
        <f>IF(N(O41)&gt;0,MIN(1,N(P41)/N(O41)),"")</f>
        <v/>
      </c>
      <c r="R41" s="17"/>
      <c r="S41" s="17"/>
      <c r="T41" s="17"/>
      <c r="U41" s="17"/>
      <c r="V41" s="17"/>
      <c r="W41" s="23"/>
      <c r="X41" s="24"/>
    </row>
    <row r="42" ht="24" customHeight="1" spans="1:24" x14ac:dyDescent="0.25">
      <c r="A42" s="23"/>
      <c r="B42" s="17"/>
      <c r="C42" s="17"/>
      <c r="D42" s="19"/>
      <c r="E42" s="19"/>
      <c r="F42" s="19"/>
      <c r="G42" s="18"/>
      <c r="H42" s="19"/>
      <c r="I42" s="20"/>
      <c r="J42" s="20"/>
      <c r="K42" s="21" t="str">
        <f>IF(N(H42)&gt;0,ROUND(H42-IF(N(I42)&gt;0,ROUND(H42*MIN(N(J42),N(I42))/N(I42),2),H42),2),"")</f>
        <v/>
      </c>
      <c r="L42" s="18"/>
      <c r="M42" s="18"/>
      <c r="N42" s="18"/>
      <c r="O42" s="20"/>
      <c r="P42" s="20"/>
      <c r="Q42" s="22" t="str">
        <f>IF(N(O42)&gt;0,MIN(1,N(P42)/N(O42)),"")</f>
        <v/>
      </c>
      <c r="R42" s="17"/>
      <c r="S42" s="17"/>
      <c r="T42" s="17"/>
      <c r="U42" s="17"/>
      <c r="V42" s="17"/>
      <c r="W42" s="23"/>
      <c r="X42" s="24"/>
    </row>
  </sheetData>
  <autoFilter ref="A1:X1"/>
  <conditionalFormatting sqref="R2:R42">
    <cfRule type="cellIs" dxfId="30" priority="1" operator="equal">
      <formula>"Concluído"</formula>
    </cfRule>
    <cfRule type="cellIs" dxfId="31" priority="2" operator="equal">
      <formula>"Em andamento"</formula>
    </cfRule>
    <cfRule type="cellIs" dxfId="32" priority="3" operator="equal">
      <formula>"Pausado"</formula>
    </cfRule>
    <cfRule type="cellIs" dxfId="33" priority="4" operator="equal">
      <formula>"Não iniciado"</formula>
    </cfRule>
  </conditionalFormatting>
  <conditionalFormatting sqref="S2:S42">
    <cfRule type="cellIs" dxfId="34" priority="10" operator="equal">
      <formula>"Alta"</formula>
    </cfRule>
  </conditionalFormatting>
  <conditionalFormatting sqref="K2:K42">
    <cfRule type="cellIs" dxfId="35" priority="11" operator="greaterThan">
      <formula>0</formula>
    </cfRule>
  </conditionalFormatting>
  <conditionalFormatting sqref="N2:N42">
    <cfRule type="expression" dxfId="36" priority="12">
      <formula>AND(ISNUMBER(N2),N2&lt;TODAY())</formula>
    </cfRule>
    <cfRule type="expression" dxfId="37" priority="13">
      <formula>AND(ISNUMBER(N2),N2&gt;=TODAY(),N2&lt;=TODAY()+30)</formula>
    </cfRule>
  </conditionalFormatting>
  <conditionalFormatting sqref="Q2:Q42">
    <cfRule type="dataBar" priority="14">
      <dataBar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{6D2AE6CF-3F93-46F8-B559-3640DFEF6C97}</x14:id>
        </ext>
      </extLst>
    </cfRule>
  </conditionalFormatting>
  <dataValidations count="18">
    <dataValidation type="decimal" operator="greaterThanOrEqual" allowBlank="1" showErrorMessage="1" errorStyle="stop" errorTitle="Valor inválido" error="Informe um valor numérico maior ou igual a zero." sqref="D10:F42">
      <formula1>0</formula1>
    </dataValidation>
    <dataValidation type="decimal" operator="greaterThanOrEqual" allowBlank="1" showErrorMessage="1" errorStyle="stop" errorTitle="Valor inválido" error="Informe um valor numérico maior ou igual a zero." sqref="D2:F42">
      <formula1>0</formula1>
    </dataValidation>
    <dataValidation type="date" operator="greaterThan" allowBlank="1" showErrorMessage="1" errorStyle="stop" errorTitle="Data inválida" error="Use uma data no formato dd/mm/aaaa." sqref="G10:G42">
      <formula1>25569.00042275463</formula1>
    </dataValidation>
    <dataValidation type="date" operator="greaterThan" allowBlank="1" showErrorMessage="1" errorStyle="stop" errorTitle="Data inválida" error="Use uma data no formato dd/mm/aaaa." sqref="G2:G42">
      <formula1>25569.00042275463</formula1>
    </dataValidation>
    <dataValidation type="decimal" operator="greaterThanOrEqual" allowBlank="1" showErrorMessage="1" errorStyle="stop" errorTitle="Valor inválido" error="Informe um valor numérico maior ou igual a zero." sqref="H10:H42">
      <formula1>0</formula1>
    </dataValidation>
    <dataValidation type="decimal" operator="greaterThanOrEqual" allowBlank="1" showErrorMessage="1" errorStyle="stop" errorTitle="Valor inválido" error="Informe um valor numérico maior ou igual a zero." sqref="H2:H42">
      <formula1>0</formula1>
    </dataValidation>
    <dataValidation type="whole" operator="greaterThanOrEqual" allowBlank="1" showErrorMessage="1" errorStyle="stop" errorTitle="Número inválido" error="Informe um número inteiro maior ou igual a zero." sqref="I10:J42">
      <formula1>0</formula1>
    </dataValidation>
    <dataValidation type="whole" operator="greaterThanOrEqual" allowBlank="1" showErrorMessage="1" errorStyle="stop" errorTitle="Número inválido" error="Informe um número inteiro maior ou igual a zero." sqref="I2:J42">
      <formula1>0</formula1>
    </dataValidation>
    <dataValidation type="date" operator="greaterThan" allowBlank="1" showErrorMessage="1" errorStyle="stop" errorTitle="Data inválida" error="Use uma data no formato dd/mm/aaaa." sqref="L10:N42">
      <formula1>25569.00042275463</formula1>
    </dataValidation>
    <dataValidation type="date" operator="greaterThan" allowBlank="1" showErrorMessage="1" errorStyle="stop" errorTitle="Data inválida" error="Use uma data no formato dd/mm/aaaa." sqref="L2:N42">
      <formula1>25569.00042275463</formula1>
    </dataValidation>
    <dataValidation type="whole" operator="greaterThanOrEqual" allowBlank="1" showErrorMessage="1" errorStyle="stop" errorTitle="Número inválido" error="Informe um número inteiro maior ou igual a zero." sqref="O10:P42">
      <formula1>0</formula1>
    </dataValidation>
    <dataValidation type="whole" operator="greaterThanOrEqual" allowBlank="1" showErrorMessage="1" errorStyle="stop" errorTitle="Número inválido" error="Informe um número inteiro maior ou igual a zero." sqref="O2:P42">
      <formula1>0</formula1>
    </dataValidation>
    <dataValidation type="list" allowBlank="1" showErrorMessage="1" errorStyle="warning" errorTitle="Valor fora da lista" error="Escolha um valor da lista." sqref="R10:R42">
      <formula1>Listas!$A$2:$A$5</formula1>
    </dataValidation>
    <dataValidation type="list" allowBlank="1" showErrorMessage="1" errorStyle="warning" errorTitle="Valor fora da lista" error="Escolha um valor da lista." sqref="R2:R42">
      <formula1>Listas!$A$2:$A$5</formula1>
    </dataValidation>
    <dataValidation type="list" allowBlank="1" showErrorMessage="1" errorStyle="warning" errorTitle="Valor fora da lista" error="Escolha um valor da lista." sqref="S10:S42">
      <formula1>Listas!$B$2:$B$4</formula1>
    </dataValidation>
    <dataValidation type="list" allowBlank="1" showErrorMessage="1" errorStyle="warning" errorTitle="Valor fora da lista" error="Escolha um valor da lista." sqref="S2:S42">
      <formula1>Listas!$B$2:$B$4</formula1>
    </dataValidation>
    <dataValidation type="list" allowBlank="1" showErrorMessage="1" errorStyle="warning" errorTitle="Valor fora da lista" error="Escolha um valor da lista." sqref="T10:T42">
      <formula1>Listas!$C$2:$C$5</formula1>
    </dataValidation>
    <dataValidation type="list" allowBlank="1" showErrorMessage="1" errorStyle="warning" errorTitle="Valor fora da lista" error="Escolha um valor da lista." sqref="T2:T42">
      <formula1>Listas!$C$2:$C$5</formula1>
    </dataValidation>
  </dataValidations>
  <pageSetup paperSize="9" orientation="landscape" fitToWidth="1"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AE6CF-3F93-46F8-B559-3640DFEF6C97}">
            <x14:dataBar minLength="0" maxLength="100" gradient="0">
              <x14:cfvo type="num">
                <xm:f>0</xm:f>
              </x14:cfvo>
              <x14:cfvo type="num">
                <xm:f>1</xm:f>
              </x14:cfvo>
            </x14:dataBar>
          </x14:cfRule>
          <xm:sqref>Q2:Q42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M44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26" customWidth="1"/>
    <col min="4" max="4" width="22" customWidth="1"/>
    <col min="5" max="5" width="12" customWidth="1"/>
    <col min="6" max="7" width="24" customWidth="1"/>
    <col min="8" max="8" width="18" customWidth="1"/>
    <col min="9" max="9" width="16" customWidth="1"/>
    <col min="10" max="10" width="14" customWidth="1"/>
    <col min="11" max="11" width="30" customWidth="1"/>
    <col min="12" max="12" width="36" customWidth="1"/>
    <col min="13" max="13" width="12" customWidth="1"/>
  </cols>
  <sheetData>
    <row r="1" ht="34" customHeight="1" spans="1:13" x14ac:dyDescent="0.25">
      <c r="A1" s="14" t="s">
        <v>10</v>
      </c>
      <c r="B1" s="14" t="s">
        <v>100</v>
      </c>
      <c r="C1" s="14" t="s">
        <v>101</v>
      </c>
      <c r="D1" s="14" t="s">
        <v>65</v>
      </c>
      <c r="E1" s="14" t="s">
        <v>102</v>
      </c>
      <c r="F1" s="14" t="s">
        <v>68</v>
      </c>
      <c r="G1" s="14" t="s">
        <v>69</v>
      </c>
      <c r="H1" s="14" t="s">
        <v>103</v>
      </c>
      <c r="I1" s="14" t="s">
        <v>104</v>
      </c>
      <c r="J1" s="14" t="s">
        <v>36</v>
      </c>
      <c r="K1" s="14" t="s">
        <v>105</v>
      </c>
      <c r="L1" s="14" t="s">
        <v>106</v>
      </c>
      <c r="M1" s="14" t="s">
        <v>41</v>
      </c>
    </row>
    <row r="2" ht="22" customHeight="1" spans="1:13" x14ac:dyDescent="0.25">
      <c r="A2" s="17" t="s">
        <v>19</v>
      </c>
      <c r="B2" s="16" t="s">
        <v>107</v>
      </c>
      <c r="C2" s="17" t="s">
        <v>59</v>
      </c>
      <c r="D2" s="17"/>
      <c r="E2" s="17"/>
      <c r="F2" s="17"/>
      <c r="G2" s="17"/>
      <c r="H2" s="19">
        <v>397</v>
      </c>
      <c r="I2" s="18">
        <v>46358</v>
      </c>
      <c r="J2" s="17" t="s">
        <v>46</v>
      </c>
      <c r="K2" s="17"/>
      <c r="L2" s="23" t="s">
        <v>108</v>
      </c>
      <c r="M2" s="24" t="s">
        <v>109</v>
      </c>
    </row>
    <row r="3" ht="22" customHeight="1" spans="1:13" x14ac:dyDescent="0.25">
      <c r="A3" s="17" t="s">
        <v>18</v>
      </c>
      <c r="B3" s="16" t="s">
        <v>110</v>
      </c>
      <c r="C3" s="17" t="s">
        <v>78</v>
      </c>
      <c r="D3" s="17" t="s">
        <v>111</v>
      </c>
      <c r="E3" s="17" t="s">
        <v>77</v>
      </c>
      <c r="F3" s="17" t="s">
        <v>79</v>
      </c>
      <c r="G3" s="17" t="s">
        <v>80</v>
      </c>
      <c r="H3" s="19">
        <v>54.9</v>
      </c>
      <c r="I3" s="18">
        <v>46328</v>
      </c>
      <c r="J3" s="17" t="s">
        <v>83</v>
      </c>
      <c r="K3" s="17"/>
      <c r="L3" s="23" t="s">
        <v>112</v>
      </c>
      <c r="M3" s="24" t="s">
        <v>113</v>
      </c>
    </row>
    <row r="4" ht="22" customHeight="1" spans="1:13" x14ac:dyDescent="0.25">
      <c r="A4" s="17" t="s">
        <v>16</v>
      </c>
      <c r="B4" s="16" t="s">
        <v>114</v>
      </c>
      <c r="C4" s="17" t="s">
        <v>43</v>
      </c>
      <c r="D4" s="17"/>
      <c r="E4" s="17"/>
      <c r="F4" s="17"/>
      <c r="G4" s="17"/>
      <c r="H4" s="19">
        <v>9800</v>
      </c>
      <c r="I4" s="18">
        <v>46538</v>
      </c>
      <c r="J4" s="17" t="s">
        <v>115</v>
      </c>
      <c r="K4" s="17"/>
      <c r="L4" s="23" t="s">
        <v>116</v>
      </c>
      <c r="M4" s="24" t="s">
        <v>117</v>
      </c>
    </row>
    <row r="5" ht="22" customHeight="1" spans="1:13" x14ac:dyDescent="0.25">
      <c r="A5" s="17"/>
      <c r="B5" s="23"/>
      <c r="C5" s="17"/>
      <c r="D5" s="17"/>
      <c r="E5" s="17"/>
      <c r="F5" s="17"/>
      <c r="G5" s="17"/>
      <c r="H5" s="19"/>
      <c r="I5" s="18"/>
      <c r="J5" s="17"/>
      <c r="K5" s="17"/>
      <c r="L5" s="23"/>
      <c r="M5" s="24"/>
    </row>
    <row r="6" ht="22" customHeight="1" spans="1:13" x14ac:dyDescent="0.25">
      <c r="A6" s="17"/>
      <c r="B6" s="23"/>
      <c r="C6" s="17"/>
      <c r="D6" s="17"/>
      <c r="E6" s="17"/>
      <c r="F6" s="17"/>
      <c r="G6" s="17"/>
      <c r="H6" s="19"/>
      <c r="I6" s="18"/>
      <c r="J6" s="17"/>
      <c r="K6" s="17"/>
      <c r="L6" s="23"/>
      <c r="M6" s="24"/>
    </row>
    <row r="7" ht="22" customHeight="1" spans="1:13" x14ac:dyDescent="0.25">
      <c r="A7" s="17"/>
      <c r="B7" s="23"/>
      <c r="C7" s="17"/>
      <c r="D7" s="17"/>
      <c r="E7" s="17"/>
      <c r="F7" s="17"/>
      <c r="G7" s="17"/>
      <c r="H7" s="19"/>
      <c r="I7" s="18"/>
      <c r="J7" s="17"/>
      <c r="K7" s="17"/>
      <c r="L7" s="23"/>
      <c r="M7" s="24"/>
    </row>
    <row r="8" ht="22" customHeight="1" spans="1:13" x14ac:dyDescent="0.25">
      <c r="A8" s="17"/>
      <c r="B8" s="23"/>
      <c r="C8" s="17"/>
      <c r="D8" s="17"/>
      <c r="E8" s="17"/>
      <c r="F8" s="17"/>
      <c r="G8" s="17"/>
      <c r="H8" s="19"/>
      <c r="I8" s="18"/>
      <c r="J8" s="17"/>
      <c r="K8" s="17"/>
      <c r="L8" s="23"/>
      <c r="M8" s="24"/>
    </row>
    <row r="9" ht="22" customHeight="1" spans="1:13" x14ac:dyDescent="0.25">
      <c r="A9" s="17"/>
      <c r="B9" s="23"/>
      <c r="C9" s="17"/>
      <c r="D9" s="17"/>
      <c r="E9" s="17"/>
      <c r="F9" s="17"/>
      <c r="G9" s="17"/>
      <c r="H9" s="19"/>
      <c r="I9" s="18"/>
      <c r="J9" s="17"/>
      <c r="K9" s="17"/>
      <c r="L9" s="23"/>
      <c r="M9" s="24"/>
    </row>
    <row r="10" ht="22" customHeight="1" spans="1:13" x14ac:dyDescent="0.25">
      <c r="A10" s="17"/>
      <c r="B10" s="23"/>
      <c r="C10" s="17"/>
      <c r="D10" s="17"/>
      <c r="E10" s="17"/>
      <c r="F10" s="17"/>
      <c r="G10" s="17"/>
      <c r="H10" s="19"/>
      <c r="I10" s="18"/>
      <c r="J10" s="17"/>
      <c r="K10" s="17"/>
      <c r="L10" s="23"/>
      <c r="M10" s="24"/>
    </row>
    <row r="11" ht="22" customHeight="1" spans="1:13" x14ac:dyDescent="0.25">
      <c r="A11" s="17"/>
      <c r="B11" s="23"/>
      <c r="C11" s="17"/>
      <c r="D11" s="17"/>
      <c r="E11" s="17"/>
      <c r="F11" s="17"/>
      <c r="G11" s="17"/>
      <c r="H11" s="19"/>
      <c r="I11" s="18"/>
      <c r="J11" s="17"/>
      <c r="K11" s="17"/>
      <c r="L11" s="23"/>
      <c r="M11" s="24"/>
    </row>
    <row r="12" ht="22" customHeight="1" spans="1:13" x14ac:dyDescent="0.25">
      <c r="A12" s="17"/>
      <c r="B12" s="23"/>
      <c r="C12" s="17"/>
      <c r="D12" s="17"/>
      <c r="E12" s="17"/>
      <c r="F12" s="17"/>
      <c r="G12" s="17"/>
      <c r="H12" s="19"/>
      <c r="I12" s="18"/>
      <c r="J12" s="17"/>
      <c r="K12" s="17"/>
      <c r="L12" s="23"/>
      <c r="M12" s="24"/>
    </row>
    <row r="13" ht="22" customHeight="1" spans="1:13" x14ac:dyDescent="0.25">
      <c r="A13" s="17"/>
      <c r="B13" s="23"/>
      <c r="C13" s="17"/>
      <c r="D13" s="17"/>
      <c r="E13" s="17"/>
      <c r="F13" s="17"/>
      <c r="G13" s="17"/>
      <c r="H13" s="19"/>
      <c r="I13" s="18"/>
      <c r="J13" s="17"/>
      <c r="K13" s="17"/>
      <c r="L13" s="23"/>
      <c r="M13" s="24"/>
    </row>
    <row r="14" ht="22" customHeight="1" spans="1:13" x14ac:dyDescent="0.25">
      <c r="A14" s="17"/>
      <c r="B14" s="23"/>
      <c r="C14" s="17"/>
      <c r="D14" s="17"/>
      <c r="E14" s="17"/>
      <c r="F14" s="17"/>
      <c r="G14" s="17"/>
      <c r="H14" s="19"/>
      <c r="I14" s="18"/>
      <c r="J14" s="17"/>
      <c r="K14" s="17"/>
      <c r="L14" s="23"/>
      <c r="M14" s="24"/>
    </row>
    <row r="15" ht="22" customHeight="1" spans="1:13" x14ac:dyDescent="0.25">
      <c r="A15" s="17"/>
      <c r="B15" s="23"/>
      <c r="C15" s="17"/>
      <c r="D15" s="17"/>
      <c r="E15" s="17"/>
      <c r="F15" s="17"/>
      <c r="G15" s="17"/>
      <c r="H15" s="19"/>
      <c r="I15" s="18"/>
      <c r="J15" s="17"/>
      <c r="K15" s="17"/>
      <c r="L15" s="23"/>
      <c r="M15" s="24"/>
    </row>
    <row r="16" ht="22" customHeight="1" spans="1:13" x14ac:dyDescent="0.25">
      <c r="A16" s="17"/>
      <c r="B16" s="23"/>
      <c r="C16" s="17"/>
      <c r="D16" s="17"/>
      <c r="E16" s="17"/>
      <c r="F16" s="17"/>
      <c r="G16" s="17"/>
      <c r="H16" s="19"/>
      <c r="I16" s="18"/>
      <c r="J16" s="17"/>
      <c r="K16" s="17"/>
      <c r="L16" s="23"/>
      <c r="M16" s="24"/>
    </row>
    <row r="17" ht="22" customHeight="1" spans="1:13" x14ac:dyDescent="0.25">
      <c r="A17" s="17"/>
      <c r="B17" s="23"/>
      <c r="C17" s="17"/>
      <c r="D17" s="17"/>
      <c r="E17" s="17"/>
      <c r="F17" s="17"/>
      <c r="G17" s="17"/>
      <c r="H17" s="19"/>
      <c r="I17" s="18"/>
      <c r="J17" s="17"/>
      <c r="K17" s="17"/>
      <c r="L17" s="23"/>
      <c r="M17" s="24"/>
    </row>
    <row r="18" ht="22" customHeight="1" spans="1:13" x14ac:dyDescent="0.25">
      <c r="A18" s="17"/>
      <c r="B18" s="23"/>
      <c r="C18" s="17"/>
      <c r="D18" s="17"/>
      <c r="E18" s="17"/>
      <c r="F18" s="17"/>
      <c r="G18" s="17"/>
      <c r="H18" s="19"/>
      <c r="I18" s="18"/>
      <c r="J18" s="17"/>
      <c r="K18" s="17"/>
      <c r="L18" s="23"/>
      <c r="M18" s="24"/>
    </row>
    <row r="19" ht="22" customHeight="1" spans="1:13" x14ac:dyDescent="0.25">
      <c r="A19" s="17"/>
      <c r="B19" s="23"/>
      <c r="C19" s="17"/>
      <c r="D19" s="17"/>
      <c r="E19" s="17"/>
      <c r="F19" s="17"/>
      <c r="G19" s="17"/>
      <c r="H19" s="19"/>
      <c r="I19" s="18"/>
      <c r="J19" s="17"/>
      <c r="K19" s="17"/>
      <c r="L19" s="23"/>
      <c r="M19" s="24"/>
    </row>
    <row r="20" ht="22" customHeight="1" spans="1:13" x14ac:dyDescent="0.25">
      <c r="A20" s="17"/>
      <c r="B20" s="23"/>
      <c r="C20" s="17"/>
      <c r="D20" s="17"/>
      <c r="E20" s="17"/>
      <c r="F20" s="17"/>
      <c r="G20" s="17"/>
      <c r="H20" s="19"/>
      <c r="I20" s="18"/>
      <c r="J20" s="17"/>
      <c r="K20" s="17"/>
      <c r="L20" s="23"/>
      <c r="M20" s="24"/>
    </row>
    <row r="21" ht="22" customHeight="1" spans="1:13" x14ac:dyDescent="0.25">
      <c r="A21" s="17"/>
      <c r="B21" s="23"/>
      <c r="C21" s="17"/>
      <c r="D21" s="17"/>
      <c r="E21" s="17"/>
      <c r="F21" s="17"/>
      <c r="G21" s="17"/>
      <c r="H21" s="19"/>
      <c r="I21" s="18"/>
      <c r="J21" s="17"/>
      <c r="K21" s="17"/>
      <c r="L21" s="23"/>
      <c r="M21" s="24"/>
    </row>
    <row r="22" ht="22" customHeight="1" spans="1:13" x14ac:dyDescent="0.25">
      <c r="A22" s="17"/>
      <c r="B22" s="23"/>
      <c r="C22" s="17"/>
      <c r="D22" s="17"/>
      <c r="E22" s="17"/>
      <c r="F22" s="17"/>
      <c r="G22" s="17"/>
      <c r="H22" s="19"/>
      <c r="I22" s="18"/>
      <c r="J22" s="17"/>
      <c r="K22" s="17"/>
      <c r="L22" s="23"/>
      <c r="M22" s="24"/>
    </row>
    <row r="23" ht="22" customHeight="1" spans="1:13" x14ac:dyDescent="0.25">
      <c r="A23" s="17"/>
      <c r="B23" s="23"/>
      <c r="C23" s="17"/>
      <c r="D23" s="17"/>
      <c r="E23" s="17"/>
      <c r="F23" s="17"/>
      <c r="G23" s="17"/>
      <c r="H23" s="19"/>
      <c r="I23" s="18"/>
      <c r="J23" s="17"/>
      <c r="K23" s="17"/>
      <c r="L23" s="23"/>
      <c r="M23" s="24"/>
    </row>
    <row r="24" ht="22" customHeight="1" spans="1:13" x14ac:dyDescent="0.25">
      <c r="A24" s="17"/>
      <c r="B24" s="23"/>
      <c r="C24" s="17"/>
      <c r="D24" s="17"/>
      <c r="E24" s="17"/>
      <c r="F24" s="17"/>
      <c r="G24" s="17"/>
      <c r="H24" s="19"/>
      <c r="I24" s="18"/>
      <c r="J24" s="17"/>
      <c r="K24" s="17"/>
      <c r="L24" s="23"/>
      <c r="M24" s="24"/>
    </row>
    <row r="25" ht="22" customHeight="1" spans="1:13" x14ac:dyDescent="0.25">
      <c r="A25" s="17"/>
      <c r="B25" s="23"/>
      <c r="C25" s="17"/>
      <c r="D25" s="17"/>
      <c r="E25" s="17"/>
      <c r="F25" s="17"/>
      <c r="G25" s="17"/>
      <c r="H25" s="19"/>
      <c r="I25" s="18"/>
      <c r="J25" s="17"/>
      <c r="K25" s="17"/>
      <c r="L25" s="23"/>
      <c r="M25" s="24"/>
    </row>
    <row r="26" ht="22" customHeight="1" spans="1:13" x14ac:dyDescent="0.25">
      <c r="A26" s="17"/>
      <c r="B26" s="23"/>
      <c r="C26" s="17"/>
      <c r="D26" s="17"/>
      <c r="E26" s="17"/>
      <c r="F26" s="17"/>
      <c r="G26" s="17"/>
      <c r="H26" s="19"/>
      <c r="I26" s="18"/>
      <c r="J26" s="17"/>
      <c r="K26" s="17"/>
      <c r="L26" s="23"/>
      <c r="M26" s="24"/>
    </row>
    <row r="27" ht="22" customHeight="1" spans="1:13" x14ac:dyDescent="0.25">
      <c r="A27" s="17"/>
      <c r="B27" s="23"/>
      <c r="C27" s="17"/>
      <c r="D27" s="17"/>
      <c r="E27" s="17"/>
      <c r="F27" s="17"/>
      <c r="G27" s="17"/>
      <c r="H27" s="19"/>
      <c r="I27" s="18"/>
      <c r="J27" s="17"/>
      <c r="K27" s="17"/>
      <c r="L27" s="23"/>
      <c r="M27" s="24"/>
    </row>
    <row r="28" ht="22" customHeight="1" spans="1:13" x14ac:dyDescent="0.25">
      <c r="A28" s="17"/>
      <c r="B28" s="23"/>
      <c r="C28" s="17"/>
      <c r="D28" s="17"/>
      <c r="E28" s="17"/>
      <c r="F28" s="17"/>
      <c r="G28" s="17"/>
      <c r="H28" s="19"/>
      <c r="I28" s="18"/>
      <c r="J28" s="17"/>
      <c r="K28" s="17"/>
      <c r="L28" s="23"/>
      <c r="M28" s="24"/>
    </row>
    <row r="29" ht="22" customHeight="1" spans="1:13" x14ac:dyDescent="0.25">
      <c r="A29" s="17"/>
      <c r="B29" s="23"/>
      <c r="C29" s="17"/>
      <c r="D29" s="17"/>
      <c r="E29" s="17"/>
      <c r="F29" s="17"/>
      <c r="G29" s="17"/>
      <c r="H29" s="19"/>
      <c r="I29" s="18"/>
      <c r="J29" s="17"/>
      <c r="K29" s="17"/>
      <c r="L29" s="23"/>
      <c r="M29" s="24"/>
    </row>
    <row r="30" ht="22" customHeight="1" spans="1:13" x14ac:dyDescent="0.25">
      <c r="A30" s="17"/>
      <c r="B30" s="23"/>
      <c r="C30" s="17"/>
      <c r="D30" s="17"/>
      <c r="E30" s="17"/>
      <c r="F30" s="17"/>
      <c r="G30" s="17"/>
      <c r="H30" s="19"/>
      <c r="I30" s="18"/>
      <c r="J30" s="17"/>
      <c r="K30" s="17"/>
      <c r="L30" s="23"/>
      <c r="M30" s="24"/>
    </row>
    <row r="31" ht="22" customHeight="1" spans="1:13" x14ac:dyDescent="0.25">
      <c r="A31" s="17"/>
      <c r="B31" s="23"/>
      <c r="C31" s="17"/>
      <c r="D31" s="17"/>
      <c r="E31" s="17"/>
      <c r="F31" s="17"/>
      <c r="G31" s="17"/>
      <c r="H31" s="19"/>
      <c r="I31" s="18"/>
      <c r="J31" s="17"/>
      <c r="K31" s="17"/>
      <c r="L31" s="23"/>
      <c r="M31" s="24"/>
    </row>
    <row r="32" ht="22" customHeight="1" spans="1:13" x14ac:dyDescent="0.25">
      <c r="A32" s="17"/>
      <c r="B32" s="23"/>
      <c r="C32" s="17"/>
      <c r="D32" s="17"/>
      <c r="E32" s="17"/>
      <c r="F32" s="17"/>
      <c r="G32" s="17"/>
      <c r="H32" s="19"/>
      <c r="I32" s="18"/>
      <c r="J32" s="17"/>
      <c r="K32" s="17"/>
      <c r="L32" s="23"/>
      <c r="M32" s="24"/>
    </row>
    <row r="33" ht="22" customHeight="1" spans="1:13" x14ac:dyDescent="0.25">
      <c r="A33" s="17"/>
      <c r="B33" s="23"/>
      <c r="C33" s="17"/>
      <c r="D33" s="17"/>
      <c r="E33" s="17"/>
      <c r="F33" s="17"/>
      <c r="G33" s="17"/>
      <c r="H33" s="19"/>
      <c r="I33" s="18"/>
      <c r="J33" s="17"/>
      <c r="K33" s="17"/>
      <c r="L33" s="23"/>
      <c r="M33" s="24"/>
    </row>
    <row r="34" ht="22" customHeight="1" spans="1:13" x14ac:dyDescent="0.25">
      <c r="A34" s="17"/>
      <c r="B34" s="23"/>
      <c r="C34" s="17"/>
      <c r="D34" s="17"/>
      <c r="E34" s="17"/>
      <c r="F34" s="17"/>
      <c r="G34" s="17"/>
      <c r="H34" s="19"/>
      <c r="I34" s="18"/>
      <c r="J34" s="17"/>
      <c r="K34" s="17"/>
      <c r="L34" s="23"/>
      <c r="M34" s="24"/>
    </row>
    <row r="35" ht="22" customHeight="1" spans="1:13" x14ac:dyDescent="0.25">
      <c r="A35" s="17"/>
      <c r="B35" s="23"/>
      <c r="C35" s="17"/>
      <c r="D35" s="17"/>
      <c r="E35" s="17"/>
      <c r="F35" s="17"/>
      <c r="G35" s="17"/>
      <c r="H35" s="19"/>
      <c r="I35" s="18"/>
      <c r="J35" s="17"/>
      <c r="K35" s="17"/>
      <c r="L35" s="23"/>
      <c r="M35" s="24"/>
    </row>
    <row r="36" ht="22" customHeight="1" spans="1:13" x14ac:dyDescent="0.25">
      <c r="A36" s="17"/>
      <c r="B36" s="23"/>
      <c r="C36" s="17"/>
      <c r="D36" s="17"/>
      <c r="E36" s="17"/>
      <c r="F36" s="17"/>
      <c r="G36" s="17"/>
      <c r="H36" s="19"/>
      <c r="I36" s="18"/>
      <c r="J36" s="17"/>
      <c r="K36" s="17"/>
      <c r="L36" s="23"/>
      <c r="M36" s="24"/>
    </row>
    <row r="37" ht="22" customHeight="1" spans="1:13" x14ac:dyDescent="0.25">
      <c r="A37" s="17"/>
      <c r="B37" s="23"/>
      <c r="C37" s="17"/>
      <c r="D37" s="17"/>
      <c r="E37" s="17"/>
      <c r="F37" s="17"/>
      <c r="G37" s="17"/>
      <c r="H37" s="19"/>
      <c r="I37" s="18"/>
      <c r="J37" s="17"/>
      <c r="K37" s="17"/>
      <c r="L37" s="23"/>
      <c r="M37" s="24"/>
    </row>
    <row r="38" ht="22" customHeight="1" spans="1:13" x14ac:dyDescent="0.25">
      <c r="A38" s="17"/>
      <c r="B38" s="23"/>
      <c r="C38" s="17"/>
      <c r="D38" s="17"/>
      <c r="E38" s="17"/>
      <c r="F38" s="17"/>
      <c r="G38" s="17"/>
      <c r="H38" s="19"/>
      <c r="I38" s="18"/>
      <c r="J38" s="17"/>
      <c r="K38" s="17"/>
      <c r="L38" s="23"/>
      <c r="M38" s="24"/>
    </row>
    <row r="39" ht="22" customHeight="1" spans="1:13" x14ac:dyDescent="0.25">
      <c r="A39" s="17"/>
      <c r="B39" s="23"/>
      <c r="C39" s="17"/>
      <c r="D39" s="17"/>
      <c r="E39" s="17"/>
      <c r="F39" s="17"/>
      <c r="G39" s="17"/>
      <c r="H39" s="19"/>
      <c r="I39" s="18"/>
      <c r="J39" s="17"/>
      <c r="K39" s="17"/>
      <c r="L39" s="23"/>
      <c r="M39" s="24"/>
    </row>
    <row r="40" ht="22" customHeight="1" spans="1:13" x14ac:dyDescent="0.25">
      <c r="A40" s="17"/>
      <c r="B40" s="23"/>
      <c r="C40" s="17"/>
      <c r="D40" s="17"/>
      <c r="E40" s="17"/>
      <c r="F40" s="17"/>
      <c r="G40" s="17"/>
      <c r="H40" s="19"/>
      <c r="I40" s="18"/>
      <c r="J40" s="17"/>
      <c r="K40" s="17"/>
      <c r="L40" s="23"/>
      <c r="M40" s="24"/>
    </row>
    <row r="41" ht="22" customHeight="1" spans="1:13" x14ac:dyDescent="0.25">
      <c r="A41" s="17"/>
      <c r="B41" s="23"/>
      <c r="C41" s="17"/>
      <c r="D41" s="17"/>
      <c r="E41" s="17"/>
      <c r="F41" s="17"/>
      <c r="G41" s="17"/>
      <c r="H41" s="19"/>
      <c r="I41" s="18"/>
      <c r="J41" s="17"/>
      <c r="K41" s="17"/>
      <c r="L41" s="23"/>
      <c r="M41" s="24"/>
    </row>
    <row r="42" ht="22" customHeight="1" spans="1:13" x14ac:dyDescent="0.25">
      <c r="A42" s="17"/>
      <c r="B42" s="23"/>
      <c r="C42" s="17"/>
      <c r="D42" s="17"/>
      <c r="E42" s="17"/>
      <c r="F42" s="17"/>
      <c r="G42" s="17"/>
      <c r="H42" s="19"/>
      <c r="I42" s="18"/>
      <c r="J42" s="17"/>
      <c r="K42" s="17"/>
      <c r="L42" s="23"/>
      <c r="M42" s="24"/>
    </row>
    <row r="43" ht="22" customHeight="1" spans="1:13" x14ac:dyDescent="0.25">
      <c r="A43" s="17"/>
      <c r="B43" s="23"/>
      <c r="C43" s="17"/>
      <c r="D43" s="17"/>
      <c r="E43" s="17"/>
      <c r="F43" s="17"/>
      <c r="G43" s="17"/>
      <c r="H43" s="19"/>
      <c r="I43" s="18"/>
      <c r="J43" s="17"/>
      <c r="K43" s="17"/>
      <c r="L43" s="23"/>
      <c r="M43" s="24"/>
    </row>
    <row r="44" ht="22" customHeight="1" spans="1:13" x14ac:dyDescent="0.25">
      <c r="A44" s="17"/>
      <c r="B44" s="23"/>
      <c r="C44" s="17"/>
      <c r="D44" s="17"/>
      <c r="E44" s="17"/>
      <c r="F44" s="17"/>
      <c r="G44" s="17"/>
      <c r="H44" s="19"/>
      <c r="I44" s="18"/>
      <c r="J44" s="17"/>
      <c r="K44" s="17"/>
      <c r="L44" s="23"/>
      <c r="M44" s="24"/>
    </row>
  </sheetData>
  <autoFilter ref="A1:M1"/>
  <conditionalFormatting sqref="J2:J44">
    <cfRule type="cellIs" dxfId="38" priority="10" operator="equal">
      <formula>"Alta"</formula>
    </cfRule>
  </conditionalFormatting>
  <dataValidations count="12">
    <dataValidation type="list" allowBlank="1" showErrorMessage="1" errorStyle="warning" errorTitle="Valor fora da lista" error="Escolha um valor da lista." sqref="A10:A44">
      <formula1>Listas!$I$2:$I$6</formula1>
    </dataValidation>
    <dataValidation type="list" allowBlank="1" showErrorMessage="1" errorStyle="warning" errorTitle="Valor fora da lista" error="Escolha um valor da lista." sqref="A2:A44">
      <formula1>Listas!$I$2:$I$6</formula1>
    </dataValidation>
    <dataValidation type="list" allowBlank="1" showErrorMessage="1" errorStyle="warning" errorTitle="Valor fora da lista" error="Escolha um valor da lista." sqref="F10:F44">
      <formula1>Listas!$E$2:$E$5</formula1>
    </dataValidation>
    <dataValidation type="list" allowBlank="1" showErrorMessage="1" errorStyle="warning" errorTitle="Valor fora da lista" error="Escolha um valor da lista." sqref="F2:F44">
      <formula1>Listas!$E$2:$E$5</formula1>
    </dataValidation>
    <dataValidation type="list" allowBlank="1" showErrorMessage="1" errorStyle="warning" errorTitle="Valor fora da lista" error="Escolha um valor da lista." sqref="G10:G44">
      <formula1>Listas!$F$2:$F$35</formula1>
    </dataValidation>
    <dataValidation type="list" allowBlank="1" showErrorMessage="1" errorStyle="warning" errorTitle="Valor fora da lista" error="Escolha um valor da lista." sqref="G2:G44">
      <formula1>Listas!$F$2:$F$35</formula1>
    </dataValidation>
    <dataValidation type="decimal" operator="greaterThanOrEqual" allowBlank="1" showErrorMessage="1" errorStyle="stop" errorTitle="Valor inválido" error="Informe um valor numérico maior ou igual a zero." sqref="H10:H44">
      <formula1>0</formula1>
    </dataValidation>
    <dataValidation type="decimal" operator="greaterThanOrEqual" allowBlank="1" showErrorMessage="1" errorStyle="stop" errorTitle="Valor inválido" error="Informe um valor numérico maior ou igual a zero." sqref="H2:H44">
      <formula1>0</formula1>
    </dataValidation>
    <dataValidation type="date" operator="greaterThan" allowBlank="1" showErrorMessage="1" errorStyle="stop" errorTitle="Data inválida" error="Use uma data no formato dd/mm/aaaa." sqref="I10:I44">
      <formula1>25569.00042275463</formula1>
    </dataValidation>
    <dataValidation type="date" operator="greaterThan" allowBlank="1" showErrorMessage="1" errorStyle="stop" errorTitle="Data inválida" error="Use uma data no formato dd/mm/aaaa." sqref="I2:I44">
      <formula1>25569.00042275463</formula1>
    </dataValidation>
    <dataValidation type="list" allowBlank="1" showErrorMessage="1" errorStyle="warning" errorTitle="Valor fora da lista" error="Escolha um valor da lista." sqref="J10:J44">
      <formula1>Listas!$B$2:$B$4</formula1>
    </dataValidation>
    <dataValidation type="list" allowBlank="1" showErrorMessage="1" errorStyle="warning" errorTitle="Valor fora da lista" error="Escolha um valor da lista." sqref="J2:J44">
      <formula1>Listas!$B$2:$B$4</formula1>
    </dataValidation>
  </dataValidation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G64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40" customWidth="1"/>
    <col min="4" max="4" width="10" customWidth="1"/>
    <col min="5" max="5" width="40" customWidth="1"/>
    <col min="6" max="7" width="12" customWidth="1"/>
  </cols>
  <sheetData>
    <row r="1" ht="34" customHeight="1" spans="1:7" x14ac:dyDescent="0.25">
      <c r="A1" s="14" t="s">
        <v>118</v>
      </c>
      <c r="B1" s="14" t="s">
        <v>10</v>
      </c>
      <c r="C1" s="14" t="s">
        <v>119</v>
      </c>
      <c r="D1" s="14" t="s">
        <v>120</v>
      </c>
      <c r="E1" s="14" t="s">
        <v>121</v>
      </c>
      <c r="F1" s="14" t="s">
        <v>122</v>
      </c>
      <c r="G1" s="14" t="s">
        <v>41</v>
      </c>
    </row>
    <row r="2" ht="22" customHeight="1" spans="1:7" x14ac:dyDescent="0.25">
      <c r="A2" s="18">
        <v>46296</v>
      </c>
      <c r="B2" s="17" t="s">
        <v>16</v>
      </c>
      <c r="C2" s="23" t="s">
        <v>42</v>
      </c>
      <c r="D2" s="25">
        <v>2</v>
      </c>
      <c r="E2" s="23" t="s">
        <v>123</v>
      </c>
      <c r="F2" s="20">
        <v>4</v>
      </c>
      <c r="G2" s="24" t="s">
        <v>124</v>
      </c>
    </row>
    <row r="3" ht="22" customHeight="1" spans="1:7" x14ac:dyDescent="0.25">
      <c r="A3" s="18">
        <v>46297</v>
      </c>
      <c r="B3" s="17" t="s">
        <v>19</v>
      </c>
      <c r="C3" s="23" t="s">
        <v>90</v>
      </c>
      <c r="D3" s="25">
        <v>1.5</v>
      </c>
      <c r="E3" s="23" t="s">
        <v>125</v>
      </c>
      <c r="F3" s="20">
        <v>5</v>
      </c>
      <c r="G3" s="24" t="s">
        <v>126</v>
      </c>
    </row>
    <row r="4" ht="22" customHeight="1" spans="1:7" x14ac:dyDescent="0.25">
      <c r="A4" s="18">
        <v>46298</v>
      </c>
      <c r="B4" s="17" t="s">
        <v>18</v>
      </c>
      <c r="C4" s="23" t="s">
        <v>75</v>
      </c>
      <c r="D4" s="25">
        <v>1</v>
      </c>
      <c r="E4" s="23" t="s">
        <v>127</v>
      </c>
      <c r="F4" s="20">
        <v>4</v>
      </c>
      <c r="G4" s="24" t="s">
        <v>128</v>
      </c>
    </row>
    <row r="5" ht="22" customHeight="1" spans="1:7" x14ac:dyDescent="0.25">
      <c r="A5" s="18"/>
      <c r="B5" s="17"/>
      <c r="C5" s="23"/>
      <c r="D5" s="25"/>
      <c r="E5" s="23"/>
      <c r="F5" s="20"/>
      <c r="G5" s="24"/>
    </row>
    <row r="6" ht="22" customHeight="1" spans="1:7" x14ac:dyDescent="0.25">
      <c r="A6" s="18"/>
      <c r="B6" s="17"/>
      <c r="C6" s="23"/>
      <c r="D6" s="25"/>
      <c r="E6" s="23"/>
      <c r="F6" s="20"/>
      <c r="G6" s="24"/>
    </row>
    <row r="7" ht="22" customHeight="1" spans="1:7" x14ac:dyDescent="0.25">
      <c r="A7" s="18"/>
      <c r="B7" s="17"/>
      <c r="C7" s="23"/>
      <c r="D7" s="25"/>
      <c r="E7" s="23"/>
      <c r="F7" s="20"/>
      <c r="G7" s="24"/>
    </row>
    <row r="8" ht="22" customHeight="1" spans="1:7" x14ac:dyDescent="0.25">
      <c r="A8" s="18"/>
      <c r="B8" s="17"/>
      <c r="C8" s="23"/>
      <c r="D8" s="25"/>
      <c r="E8" s="23"/>
      <c r="F8" s="20"/>
      <c r="G8" s="24"/>
    </row>
    <row r="9" ht="22" customHeight="1" spans="1:7" x14ac:dyDescent="0.25">
      <c r="A9" s="18"/>
      <c r="B9" s="17"/>
      <c r="C9" s="23"/>
      <c r="D9" s="25"/>
      <c r="E9" s="23"/>
      <c r="F9" s="20"/>
      <c r="G9" s="24"/>
    </row>
    <row r="10" ht="22" customHeight="1" spans="1:7" x14ac:dyDescent="0.25">
      <c r="A10" s="18"/>
      <c r="B10" s="17"/>
      <c r="C10" s="23"/>
      <c r="D10" s="25"/>
      <c r="E10" s="23"/>
      <c r="F10" s="20"/>
      <c r="G10" s="24"/>
    </row>
    <row r="11" ht="22" customHeight="1" spans="1:7" x14ac:dyDescent="0.25">
      <c r="A11" s="18"/>
      <c r="B11" s="17"/>
      <c r="C11" s="23"/>
      <c r="D11" s="25"/>
      <c r="E11" s="23"/>
      <c r="F11" s="20"/>
      <c r="G11" s="24"/>
    </row>
    <row r="12" ht="22" customHeight="1" spans="1:7" x14ac:dyDescent="0.25">
      <c r="A12" s="18"/>
      <c r="B12" s="17"/>
      <c r="C12" s="23"/>
      <c r="D12" s="25"/>
      <c r="E12" s="23"/>
      <c r="F12" s="20"/>
      <c r="G12" s="24"/>
    </row>
    <row r="13" ht="22" customHeight="1" spans="1:7" x14ac:dyDescent="0.25">
      <c r="A13" s="18"/>
      <c r="B13" s="17"/>
      <c r="C13" s="23"/>
      <c r="D13" s="25"/>
      <c r="E13" s="23"/>
      <c r="F13" s="20"/>
      <c r="G13" s="24"/>
    </row>
    <row r="14" ht="22" customHeight="1" spans="1:7" x14ac:dyDescent="0.25">
      <c r="A14" s="18"/>
      <c r="B14" s="17"/>
      <c r="C14" s="23"/>
      <c r="D14" s="25"/>
      <c r="E14" s="23"/>
      <c r="F14" s="20"/>
      <c r="G14" s="24"/>
    </row>
    <row r="15" ht="22" customHeight="1" spans="1:7" x14ac:dyDescent="0.25">
      <c r="A15" s="18"/>
      <c r="B15" s="17"/>
      <c r="C15" s="23"/>
      <c r="D15" s="25"/>
      <c r="E15" s="23"/>
      <c r="F15" s="20"/>
      <c r="G15" s="24"/>
    </row>
    <row r="16" ht="22" customHeight="1" spans="1:7" x14ac:dyDescent="0.25">
      <c r="A16" s="18"/>
      <c r="B16" s="17"/>
      <c r="C16" s="23"/>
      <c r="D16" s="25"/>
      <c r="E16" s="23"/>
      <c r="F16" s="20"/>
      <c r="G16" s="24"/>
    </row>
    <row r="17" ht="22" customHeight="1" spans="1:7" x14ac:dyDescent="0.25">
      <c r="A17" s="18"/>
      <c r="B17" s="17"/>
      <c r="C17" s="23"/>
      <c r="D17" s="25"/>
      <c r="E17" s="23"/>
      <c r="F17" s="20"/>
      <c r="G17" s="24"/>
    </row>
    <row r="18" ht="22" customHeight="1" spans="1:7" x14ac:dyDescent="0.25">
      <c r="A18" s="18"/>
      <c r="B18" s="17"/>
      <c r="C18" s="23"/>
      <c r="D18" s="25"/>
      <c r="E18" s="23"/>
      <c r="F18" s="20"/>
      <c r="G18" s="24"/>
    </row>
    <row r="19" ht="22" customHeight="1" spans="1:7" x14ac:dyDescent="0.25">
      <c r="A19" s="18"/>
      <c r="B19" s="17"/>
      <c r="C19" s="23"/>
      <c r="D19" s="25"/>
      <c r="E19" s="23"/>
      <c r="F19" s="20"/>
      <c r="G19" s="24"/>
    </row>
    <row r="20" ht="22" customHeight="1" spans="1:7" x14ac:dyDescent="0.25">
      <c r="A20" s="18"/>
      <c r="B20" s="17"/>
      <c r="C20" s="23"/>
      <c r="D20" s="25"/>
      <c r="E20" s="23"/>
      <c r="F20" s="20"/>
      <c r="G20" s="24"/>
    </row>
    <row r="21" ht="22" customHeight="1" spans="1:7" x14ac:dyDescent="0.25">
      <c r="A21" s="18"/>
      <c r="B21" s="17"/>
      <c r="C21" s="23"/>
      <c r="D21" s="25"/>
      <c r="E21" s="23"/>
      <c r="F21" s="20"/>
      <c r="G21" s="24"/>
    </row>
    <row r="22" ht="22" customHeight="1" spans="1:7" x14ac:dyDescent="0.25">
      <c r="A22" s="18"/>
      <c r="B22" s="17"/>
      <c r="C22" s="23"/>
      <c r="D22" s="25"/>
      <c r="E22" s="23"/>
      <c r="F22" s="20"/>
      <c r="G22" s="24"/>
    </row>
    <row r="23" ht="22" customHeight="1" spans="1:7" x14ac:dyDescent="0.25">
      <c r="A23" s="18"/>
      <c r="B23" s="17"/>
      <c r="C23" s="23"/>
      <c r="D23" s="25"/>
      <c r="E23" s="23"/>
      <c r="F23" s="20"/>
      <c r="G23" s="24"/>
    </row>
    <row r="24" ht="22" customHeight="1" spans="1:7" x14ac:dyDescent="0.25">
      <c r="A24" s="18"/>
      <c r="B24" s="17"/>
      <c r="C24" s="23"/>
      <c r="D24" s="25"/>
      <c r="E24" s="23"/>
      <c r="F24" s="20"/>
      <c r="G24" s="24"/>
    </row>
    <row r="25" ht="22" customHeight="1" spans="1:7" x14ac:dyDescent="0.25">
      <c r="A25" s="18"/>
      <c r="B25" s="17"/>
      <c r="C25" s="23"/>
      <c r="D25" s="25"/>
      <c r="E25" s="23"/>
      <c r="F25" s="20"/>
      <c r="G25" s="24"/>
    </row>
    <row r="26" ht="22" customHeight="1" spans="1:7" x14ac:dyDescent="0.25">
      <c r="A26" s="18"/>
      <c r="B26" s="17"/>
      <c r="C26" s="23"/>
      <c r="D26" s="25"/>
      <c r="E26" s="23"/>
      <c r="F26" s="20"/>
      <c r="G26" s="24"/>
    </row>
    <row r="27" ht="22" customHeight="1" spans="1:7" x14ac:dyDescent="0.25">
      <c r="A27" s="18"/>
      <c r="B27" s="17"/>
      <c r="C27" s="23"/>
      <c r="D27" s="25"/>
      <c r="E27" s="23"/>
      <c r="F27" s="20"/>
      <c r="G27" s="24"/>
    </row>
    <row r="28" ht="22" customHeight="1" spans="1:7" x14ac:dyDescent="0.25">
      <c r="A28" s="18"/>
      <c r="B28" s="17"/>
      <c r="C28" s="23"/>
      <c r="D28" s="25"/>
      <c r="E28" s="23"/>
      <c r="F28" s="20"/>
      <c r="G28" s="24"/>
    </row>
    <row r="29" ht="22" customHeight="1" spans="1:7" x14ac:dyDescent="0.25">
      <c r="A29" s="18"/>
      <c r="B29" s="17"/>
      <c r="C29" s="23"/>
      <c r="D29" s="25"/>
      <c r="E29" s="23"/>
      <c r="F29" s="20"/>
      <c r="G29" s="24"/>
    </row>
    <row r="30" ht="22" customHeight="1" spans="1:7" x14ac:dyDescent="0.25">
      <c r="A30" s="18"/>
      <c r="B30" s="17"/>
      <c r="C30" s="23"/>
      <c r="D30" s="25"/>
      <c r="E30" s="23"/>
      <c r="F30" s="20"/>
      <c r="G30" s="24"/>
    </row>
    <row r="31" ht="22" customHeight="1" spans="1:7" x14ac:dyDescent="0.25">
      <c r="A31" s="18"/>
      <c r="B31" s="17"/>
      <c r="C31" s="23"/>
      <c r="D31" s="25"/>
      <c r="E31" s="23"/>
      <c r="F31" s="20"/>
      <c r="G31" s="24"/>
    </row>
    <row r="32" ht="22" customHeight="1" spans="1:7" x14ac:dyDescent="0.25">
      <c r="A32" s="18"/>
      <c r="B32" s="17"/>
      <c r="C32" s="23"/>
      <c r="D32" s="25"/>
      <c r="E32" s="23"/>
      <c r="F32" s="20"/>
      <c r="G32" s="24"/>
    </row>
    <row r="33" ht="22" customHeight="1" spans="1:7" x14ac:dyDescent="0.25">
      <c r="A33" s="18"/>
      <c r="B33" s="17"/>
      <c r="C33" s="23"/>
      <c r="D33" s="25"/>
      <c r="E33" s="23"/>
      <c r="F33" s="20"/>
      <c r="G33" s="24"/>
    </row>
    <row r="34" ht="22" customHeight="1" spans="1:7" x14ac:dyDescent="0.25">
      <c r="A34" s="18"/>
      <c r="B34" s="17"/>
      <c r="C34" s="23"/>
      <c r="D34" s="25"/>
      <c r="E34" s="23"/>
      <c r="F34" s="20"/>
      <c r="G34" s="24"/>
    </row>
    <row r="35" ht="22" customHeight="1" spans="1:7" x14ac:dyDescent="0.25">
      <c r="A35" s="18"/>
      <c r="B35" s="17"/>
      <c r="C35" s="23"/>
      <c r="D35" s="25"/>
      <c r="E35" s="23"/>
      <c r="F35" s="20"/>
      <c r="G35" s="24"/>
    </row>
    <row r="36" ht="22" customHeight="1" spans="1:7" x14ac:dyDescent="0.25">
      <c r="A36" s="18"/>
      <c r="B36" s="17"/>
      <c r="C36" s="23"/>
      <c r="D36" s="25"/>
      <c r="E36" s="23"/>
      <c r="F36" s="20"/>
      <c r="G36" s="24"/>
    </row>
    <row r="37" ht="22" customHeight="1" spans="1:7" x14ac:dyDescent="0.25">
      <c r="A37" s="18"/>
      <c r="B37" s="17"/>
      <c r="C37" s="23"/>
      <c r="D37" s="25"/>
      <c r="E37" s="23"/>
      <c r="F37" s="20"/>
      <c r="G37" s="24"/>
    </row>
    <row r="38" ht="22" customHeight="1" spans="1:7" x14ac:dyDescent="0.25">
      <c r="A38" s="18"/>
      <c r="B38" s="17"/>
      <c r="C38" s="23"/>
      <c r="D38" s="25"/>
      <c r="E38" s="23"/>
      <c r="F38" s="20"/>
      <c r="G38" s="24"/>
    </row>
    <row r="39" ht="22" customHeight="1" spans="1:7" x14ac:dyDescent="0.25">
      <c r="A39" s="18"/>
      <c r="B39" s="17"/>
      <c r="C39" s="23"/>
      <c r="D39" s="25"/>
      <c r="E39" s="23"/>
      <c r="F39" s="20"/>
      <c r="G39" s="24"/>
    </row>
    <row r="40" ht="22" customHeight="1" spans="1:7" x14ac:dyDescent="0.25">
      <c r="A40" s="18"/>
      <c r="B40" s="17"/>
      <c r="C40" s="23"/>
      <c r="D40" s="25"/>
      <c r="E40" s="23"/>
      <c r="F40" s="20"/>
      <c r="G40" s="24"/>
    </row>
    <row r="41" ht="22" customHeight="1" spans="1:7" x14ac:dyDescent="0.25">
      <c r="A41" s="18"/>
      <c r="B41" s="17"/>
      <c r="C41" s="23"/>
      <c r="D41" s="25"/>
      <c r="E41" s="23"/>
      <c r="F41" s="20"/>
      <c r="G41" s="24"/>
    </row>
    <row r="42" ht="22" customHeight="1" spans="1:7" x14ac:dyDescent="0.25">
      <c r="A42" s="18"/>
      <c r="B42" s="17"/>
      <c r="C42" s="23"/>
      <c r="D42" s="25"/>
      <c r="E42" s="23"/>
      <c r="F42" s="20"/>
      <c r="G42" s="24"/>
    </row>
    <row r="43" ht="22" customHeight="1" spans="1:7" x14ac:dyDescent="0.25">
      <c r="A43" s="18"/>
      <c r="B43" s="17"/>
      <c r="C43" s="23"/>
      <c r="D43" s="25"/>
      <c r="E43" s="23"/>
      <c r="F43" s="20"/>
      <c r="G43" s="24"/>
    </row>
    <row r="44" ht="22" customHeight="1" spans="1:7" x14ac:dyDescent="0.25">
      <c r="A44" s="18"/>
      <c r="B44" s="17"/>
      <c r="C44" s="23"/>
      <c r="D44" s="25"/>
      <c r="E44" s="23"/>
      <c r="F44" s="20"/>
      <c r="G44" s="24"/>
    </row>
    <row r="45" ht="22" customHeight="1" spans="1:7" x14ac:dyDescent="0.25">
      <c r="A45" s="18"/>
      <c r="B45" s="17"/>
      <c r="C45" s="23"/>
      <c r="D45" s="25"/>
      <c r="E45" s="23"/>
      <c r="F45" s="20"/>
      <c r="G45" s="24"/>
    </row>
    <row r="46" ht="22" customHeight="1" spans="1:7" x14ac:dyDescent="0.25">
      <c r="A46" s="18"/>
      <c r="B46" s="17"/>
      <c r="C46" s="23"/>
      <c r="D46" s="25"/>
      <c r="E46" s="23"/>
      <c r="F46" s="20"/>
      <c r="G46" s="24"/>
    </row>
    <row r="47" ht="22" customHeight="1" spans="1:7" x14ac:dyDescent="0.25">
      <c r="A47" s="18"/>
      <c r="B47" s="17"/>
      <c r="C47" s="23"/>
      <c r="D47" s="25"/>
      <c r="E47" s="23"/>
      <c r="F47" s="20"/>
      <c r="G47" s="24"/>
    </row>
    <row r="48" ht="22" customHeight="1" spans="1:7" x14ac:dyDescent="0.25">
      <c r="A48" s="18"/>
      <c r="B48" s="17"/>
      <c r="C48" s="23"/>
      <c r="D48" s="25"/>
      <c r="E48" s="23"/>
      <c r="F48" s="20"/>
      <c r="G48" s="24"/>
    </row>
    <row r="49" ht="22" customHeight="1" spans="1:7" x14ac:dyDescent="0.25">
      <c r="A49" s="18"/>
      <c r="B49" s="17"/>
      <c r="C49" s="23"/>
      <c r="D49" s="25"/>
      <c r="E49" s="23"/>
      <c r="F49" s="20"/>
      <c r="G49" s="24"/>
    </row>
    <row r="50" ht="22" customHeight="1" spans="1:7" x14ac:dyDescent="0.25">
      <c r="A50" s="18"/>
      <c r="B50" s="17"/>
      <c r="C50" s="23"/>
      <c r="D50" s="25"/>
      <c r="E50" s="23"/>
      <c r="F50" s="20"/>
      <c r="G50" s="24"/>
    </row>
    <row r="51" ht="22" customHeight="1" spans="1:7" x14ac:dyDescent="0.25">
      <c r="A51" s="18"/>
      <c r="B51" s="17"/>
      <c r="C51" s="23"/>
      <c r="D51" s="25"/>
      <c r="E51" s="23"/>
      <c r="F51" s="20"/>
      <c r="G51" s="24"/>
    </row>
    <row r="52" ht="22" customHeight="1" spans="1:7" x14ac:dyDescent="0.25">
      <c r="A52" s="18"/>
      <c r="B52" s="17"/>
      <c r="C52" s="23"/>
      <c r="D52" s="25"/>
      <c r="E52" s="23"/>
      <c r="F52" s="20"/>
      <c r="G52" s="24"/>
    </row>
    <row r="53" ht="22" customHeight="1" spans="1:7" x14ac:dyDescent="0.25">
      <c r="A53" s="18"/>
      <c r="B53" s="17"/>
      <c r="C53" s="23"/>
      <c r="D53" s="25"/>
      <c r="E53" s="23"/>
      <c r="F53" s="20"/>
      <c r="G53" s="24"/>
    </row>
    <row r="54" ht="22" customHeight="1" spans="1:7" x14ac:dyDescent="0.25">
      <c r="A54" s="18"/>
      <c r="B54" s="17"/>
      <c r="C54" s="23"/>
      <c r="D54" s="25"/>
      <c r="E54" s="23"/>
      <c r="F54" s="20"/>
      <c r="G54" s="24"/>
    </row>
    <row r="55" ht="22" customHeight="1" spans="1:7" x14ac:dyDescent="0.25">
      <c r="A55" s="18"/>
      <c r="B55" s="17"/>
      <c r="C55" s="23"/>
      <c r="D55" s="25"/>
      <c r="E55" s="23"/>
      <c r="F55" s="20"/>
      <c r="G55" s="24"/>
    </row>
    <row r="56" ht="22" customHeight="1" spans="1:7" x14ac:dyDescent="0.25">
      <c r="A56" s="18"/>
      <c r="B56" s="17"/>
      <c r="C56" s="23"/>
      <c r="D56" s="25"/>
      <c r="E56" s="23"/>
      <c r="F56" s="20"/>
      <c r="G56" s="24"/>
    </row>
    <row r="57" ht="22" customHeight="1" spans="1:7" x14ac:dyDescent="0.25">
      <c r="A57" s="18"/>
      <c r="B57" s="17"/>
      <c r="C57" s="23"/>
      <c r="D57" s="25"/>
      <c r="E57" s="23"/>
      <c r="F57" s="20"/>
      <c r="G57" s="24"/>
    </row>
    <row r="58" ht="22" customHeight="1" spans="1:7" x14ac:dyDescent="0.25">
      <c r="A58" s="18"/>
      <c r="B58" s="17"/>
      <c r="C58" s="23"/>
      <c r="D58" s="25"/>
      <c r="E58" s="23"/>
      <c r="F58" s="20"/>
      <c r="G58" s="24"/>
    </row>
    <row r="59" ht="22" customHeight="1" spans="1:7" x14ac:dyDescent="0.25">
      <c r="A59" s="18"/>
      <c r="B59" s="17"/>
      <c r="C59" s="23"/>
      <c r="D59" s="25"/>
      <c r="E59" s="23"/>
      <c r="F59" s="20"/>
      <c r="G59" s="24"/>
    </row>
    <row r="60" ht="22" customHeight="1" spans="1:7" x14ac:dyDescent="0.25">
      <c r="A60" s="18"/>
      <c r="B60" s="17"/>
      <c r="C60" s="23"/>
      <c r="D60" s="25"/>
      <c r="E60" s="23"/>
      <c r="F60" s="20"/>
      <c r="G60" s="24"/>
    </row>
    <row r="61" ht="22" customHeight="1" spans="1:7" x14ac:dyDescent="0.25">
      <c r="A61" s="18"/>
      <c r="B61" s="17"/>
      <c r="C61" s="23"/>
      <c r="D61" s="25"/>
      <c r="E61" s="23"/>
      <c r="F61" s="20"/>
      <c r="G61" s="24"/>
    </row>
    <row r="62" ht="22" customHeight="1" spans="1:7" x14ac:dyDescent="0.25">
      <c r="A62" s="18"/>
      <c r="B62" s="17"/>
      <c r="C62" s="23"/>
      <c r="D62" s="25"/>
      <c r="E62" s="23"/>
      <c r="F62" s="20"/>
      <c r="G62" s="24"/>
    </row>
    <row r="63" ht="22" customHeight="1" spans="1:7" x14ac:dyDescent="0.25">
      <c r="A63" s="18"/>
      <c r="B63" s="17"/>
      <c r="C63" s="23"/>
      <c r="D63" s="25"/>
      <c r="E63" s="23"/>
      <c r="F63" s="20"/>
      <c r="G63" s="24"/>
    </row>
    <row r="64" ht="22" customHeight="1" spans="1:7" x14ac:dyDescent="0.25">
      <c r="A64" s="18"/>
      <c r="B64" s="17"/>
      <c r="C64" s="23"/>
      <c r="D64" s="25"/>
      <c r="E64" s="23"/>
      <c r="F64" s="20"/>
      <c r="G64" s="24"/>
    </row>
  </sheetData>
  <autoFilter ref="A1:G1"/>
  <dataValidations count="6">
    <dataValidation type="date" operator="greaterThan" allowBlank="1" showErrorMessage="1" errorStyle="stop" errorTitle="Data inválida" error="Use uma data no formato dd/mm/aaaa." sqref="A10:A64">
      <formula1>25569.00042275463</formula1>
    </dataValidation>
    <dataValidation type="date" operator="greaterThan" allowBlank="1" showErrorMessage="1" errorStyle="stop" errorTitle="Data inválida" error="Use uma data no formato dd/mm/aaaa." sqref="A2:A64">
      <formula1>25569.00042275463</formula1>
    </dataValidation>
    <dataValidation type="list" allowBlank="1" showErrorMessage="1" errorStyle="warning" errorTitle="Valor fora da lista" error="Escolha um valor da lista." sqref="B10:B64">
      <formula1>Listas!$I$2:$I$6</formula1>
    </dataValidation>
    <dataValidation type="list" allowBlank="1" showErrorMessage="1" errorStyle="warning" errorTitle="Valor fora da lista" error="Escolha um valor da lista." sqref="B2:B64">
      <formula1>Listas!$I$2:$I$6</formula1>
    </dataValidation>
    <dataValidation type="whole" operator="greaterThanOrEqual" allowBlank="1" showErrorMessage="1" errorStyle="stop" errorTitle="Número inválido" error="Informe um número inteiro maior ou igual a zero." sqref="F10:F64">
      <formula1>0</formula1>
    </dataValidation>
    <dataValidation type="whole" operator="greaterThanOrEqual" allowBlank="1" showErrorMessage="1" errorStyle="stop" errorTitle="Número inválido" error="Informe um número inteiro maior ou igual a zero." sqref="F2:F64">
      <formula1>0</formula1>
    </dataValidation>
  </dataValidations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J38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40" customWidth="1"/>
    <col min="5" max="5" width="34" customWidth="1"/>
    <col min="6" max="6" width="16" customWidth="1"/>
    <col min="7" max="7" width="12" customWidth="1"/>
    <col min="8" max="9" width="14" customWidth="1"/>
    <col min="10" max="10" width="12" customWidth="1"/>
  </cols>
  <sheetData>
    <row r="1" ht="34" customHeight="1" spans="1:10" x14ac:dyDescent="0.25">
      <c r="A1" s="14" t="s">
        <v>129</v>
      </c>
      <c r="B1" s="14" t="s">
        <v>130</v>
      </c>
      <c r="C1" s="14" t="s">
        <v>131</v>
      </c>
      <c r="D1" s="14" t="s">
        <v>119</v>
      </c>
      <c r="E1" s="14" t="s">
        <v>132</v>
      </c>
      <c r="F1" s="14" t="s">
        <v>133</v>
      </c>
      <c r="G1" s="14" t="s">
        <v>134</v>
      </c>
      <c r="H1" s="14" t="s">
        <v>135</v>
      </c>
      <c r="I1" s="14" t="s">
        <v>136</v>
      </c>
      <c r="J1" s="14" t="s">
        <v>41</v>
      </c>
    </row>
    <row r="2" ht="22" customHeight="1" spans="1:10" x14ac:dyDescent="0.25">
      <c r="A2" s="17" t="s">
        <v>137</v>
      </c>
      <c r="B2" s="26" t="s">
        <v>138</v>
      </c>
      <c r="C2" s="20">
        <v>60</v>
      </c>
      <c r="D2" s="23" t="s">
        <v>42</v>
      </c>
      <c r="E2" s="23" t="s">
        <v>139</v>
      </c>
      <c r="F2" s="20"/>
      <c r="G2" s="17" t="s">
        <v>140</v>
      </c>
      <c r="H2" s="18">
        <v>46298</v>
      </c>
      <c r="I2" s="18"/>
      <c r="J2" s="24" t="s">
        <v>141</v>
      </c>
    </row>
    <row r="3" ht="22" customHeight="1" spans="1:10" x14ac:dyDescent="0.25">
      <c r="A3" s="17" t="s">
        <v>142</v>
      </c>
      <c r="B3" s="26" t="s">
        <v>138</v>
      </c>
      <c r="C3" s="20">
        <v>60</v>
      </c>
      <c r="D3" s="23" t="s">
        <v>90</v>
      </c>
      <c r="E3" s="23" t="s">
        <v>143</v>
      </c>
      <c r="F3" s="20"/>
      <c r="G3" s="17" t="s">
        <v>140</v>
      </c>
      <c r="H3" s="18">
        <v>46298</v>
      </c>
      <c r="I3" s="18"/>
      <c r="J3" s="24" t="s">
        <v>144</v>
      </c>
    </row>
    <row r="4" ht="22" customHeight="1" spans="1:10" x14ac:dyDescent="0.25">
      <c r="A4" s="17" t="s">
        <v>145</v>
      </c>
      <c r="B4" s="26" t="s">
        <v>138</v>
      </c>
      <c r="C4" s="20">
        <v>60</v>
      </c>
      <c r="D4" s="23" t="s">
        <v>58</v>
      </c>
      <c r="E4" s="23" t="s">
        <v>143</v>
      </c>
      <c r="F4" s="20"/>
      <c r="G4" s="17" t="s">
        <v>140</v>
      </c>
      <c r="H4" s="18">
        <v>46298</v>
      </c>
      <c r="I4" s="18"/>
      <c r="J4" s="24" t="s">
        <v>146</v>
      </c>
    </row>
    <row r="5" ht="22" customHeight="1" spans="1:10" x14ac:dyDescent="0.25">
      <c r="A5" s="17" t="s">
        <v>147</v>
      </c>
      <c r="B5" s="26" t="s">
        <v>138</v>
      </c>
      <c r="C5" s="20">
        <v>60</v>
      </c>
      <c r="D5" s="23" t="s">
        <v>42</v>
      </c>
      <c r="E5" s="23" t="s">
        <v>148</v>
      </c>
      <c r="F5" s="20"/>
      <c r="G5" s="17" t="s">
        <v>140</v>
      </c>
      <c r="H5" s="18">
        <v>46298</v>
      </c>
      <c r="I5" s="18"/>
      <c r="J5" s="24" t="s">
        <v>149</v>
      </c>
    </row>
    <row r="6" ht="22" customHeight="1" spans="1:10" x14ac:dyDescent="0.25">
      <c r="A6" s="17" t="s">
        <v>150</v>
      </c>
      <c r="B6" s="26" t="s">
        <v>138</v>
      </c>
      <c r="C6" s="20">
        <v>45</v>
      </c>
      <c r="D6" s="23" t="s">
        <v>97</v>
      </c>
      <c r="E6" s="23" t="s">
        <v>151</v>
      </c>
      <c r="F6" s="20"/>
      <c r="G6" s="17" t="s">
        <v>140</v>
      </c>
      <c r="H6" s="18">
        <v>46298</v>
      </c>
      <c r="I6" s="18"/>
      <c r="J6" s="24" t="s">
        <v>152</v>
      </c>
    </row>
    <row r="7" ht="22" customHeight="1" spans="1:10" x14ac:dyDescent="0.25">
      <c r="A7" s="17" t="s">
        <v>153</v>
      </c>
      <c r="B7" s="26" t="s">
        <v>154</v>
      </c>
      <c r="C7" s="20">
        <v>90</v>
      </c>
      <c r="D7" s="23" t="s">
        <v>58</v>
      </c>
      <c r="E7" s="23" t="s">
        <v>155</v>
      </c>
      <c r="F7" s="20"/>
      <c r="G7" s="17" t="s">
        <v>140</v>
      </c>
      <c r="H7" s="18">
        <v>46298</v>
      </c>
      <c r="I7" s="18"/>
      <c r="J7" s="24" t="s">
        <v>156</v>
      </c>
    </row>
    <row r="8" ht="22" customHeight="1" spans="1:10" x14ac:dyDescent="0.25">
      <c r="A8" s="17" t="s">
        <v>157</v>
      </c>
      <c r="B8" s="26" t="s">
        <v>158</v>
      </c>
      <c r="C8" s="20">
        <v>45</v>
      </c>
      <c r="D8" s="23" t="s">
        <v>75</v>
      </c>
      <c r="E8" s="23" t="s">
        <v>159</v>
      </c>
      <c r="F8" s="20"/>
      <c r="G8" s="17" t="s">
        <v>140</v>
      </c>
      <c r="H8" s="18">
        <v>46298</v>
      </c>
      <c r="I8" s="18"/>
      <c r="J8" s="24" t="s">
        <v>160</v>
      </c>
    </row>
    <row r="9" ht="22" customHeight="1" spans="1:10" x14ac:dyDescent="0.25">
      <c r="A9" s="17"/>
      <c r="B9" s="26"/>
      <c r="C9" s="20"/>
      <c r="D9" s="23"/>
      <c r="E9" s="23"/>
      <c r="F9" s="20"/>
      <c r="G9" s="17"/>
      <c r="H9" s="18"/>
      <c r="I9" s="18"/>
      <c r="J9" s="24"/>
    </row>
    <row r="10" ht="22" customHeight="1" spans="1:10" x14ac:dyDescent="0.25">
      <c r="A10" s="17"/>
      <c r="B10" s="26"/>
      <c r="C10" s="20"/>
      <c r="D10" s="23"/>
      <c r="E10" s="23"/>
      <c r="F10" s="20"/>
      <c r="G10" s="17"/>
      <c r="H10" s="18"/>
      <c r="I10" s="18"/>
      <c r="J10" s="24"/>
    </row>
    <row r="11" ht="22" customHeight="1" spans="1:10" x14ac:dyDescent="0.25">
      <c r="A11" s="17"/>
      <c r="B11" s="26"/>
      <c r="C11" s="20"/>
      <c r="D11" s="23"/>
      <c r="E11" s="23"/>
      <c r="F11" s="20"/>
      <c r="G11" s="17"/>
      <c r="H11" s="18"/>
      <c r="I11" s="18"/>
      <c r="J11" s="24"/>
    </row>
    <row r="12" ht="22" customHeight="1" spans="1:10" x14ac:dyDescent="0.25">
      <c r="A12" s="17"/>
      <c r="B12" s="26"/>
      <c r="C12" s="20"/>
      <c r="D12" s="23"/>
      <c r="E12" s="23"/>
      <c r="F12" s="20"/>
      <c r="G12" s="17"/>
      <c r="H12" s="18"/>
      <c r="I12" s="18"/>
      <c r="J12" s="24"/>
    </row>
    <row r="13" ht="22" customHeight="1" spans="1:10" x14ac:dyDescent="0.25">
      <c r="A13" s="17"/>
      <c r="B13" s="26"/>
      <c r="C13" s="20"/>
      <c r="D13" s="23"/>
      <c r="E13" s="23"/>
      <c r="F13" s="20"/>
      <c r="G13" s="17"/>
      <c r="H13" s="18"/>
      <c r="I13" s="18"/>
      <c r="J13" s="24"/>
    </row>
    <row r="14" ht="22" customHeight="1" spans="1:10" x14ac:dyDescent="0.25">
      <c r="A14" s="17"/>
      <c r="B14" s="26"/>
      <c r="C14" s="20"/>
      <c r="D14" s="23"/>
      <c r="E14" s="23"/>
      <c r="F14" s="20"/>
      <c r="G14" s="17"/>
      <c r="H14" s="18"/>
      <c r="I14" s="18"/>
      <c r="J14" s="24"/>
    </row>
    <row r="15" ht="22" customHeight="1" spans="1:10" x14ac:dyDescent="0.25">
      <c r="A15" s="17"/>
      <c r="B15" s="26"/>
      <c r="C15" s="20"/>
      <c r="D15" s="23"/>
      <c r="E15" s="23"/>
      <c r="F15" s="20"/>
      <c r="G15" s="17"/>
      <c r="H15" s="18"/>
      <c r="I15" s="18"/>
      <c r="J15" s="24"/>
    </row>
    <row r="16" ht="22" customHeight="1" spans="1:10" x14ac:dyDescent="0.25">
      <c r="A16" s="17"/>
      <c r="B16" s="26"/>
      <c r="C16" s="20"/>
      <c r="D16" s="23"/>
      <c r="E16" s="23"/>
      <c r="F16" s="20"/>
      <c r="G16" s="17"/>
      <c r="H16" s="18"/>
      <c r="I16" s="18"/>
      <c r="J16" s="24"/>
    </row>
    <row r="17" ht="22" customHeight="1" spans="1:10" x14ac:dyDescent="0.25">
      <c r="A17" s="17"/>
      <c r="B17" s="26"/>
      <c r="C17" s="20"/>
      <c r="D17" s="23"/>
      <c r="E17" s="23"/>
      <c r="F17" s="20"/>
      <c r="G17" s="17"/>
      <c r="H17" s="18"/>
      <c r="I17" s="18"/>
      <c r="J17" s="24"/>
    </row>
    <row r="18" ht="22" customHeight="1" spans="1:10" x14ac:dyDescent="0.25">
      <c r="A18" s="17"/>
      <c r="B18" s="26"/>
      <c r="C18" s="20"/>
      <c r="D18" s="23"/>
      <c r="E18" s="23"/>
      <c r="F18" s="20"/>
      <c r="G18" s="17"/>
      <c r="H18" s="18"/>
      <c r="I18" s="18"/>
      <c r="J18" s="24"/>
    </row>
    <row r="19" ht="22" customHeight="1" spans="1:10" x14ac:dyDescent="0.25">
      <c r="A19" s="17"/>
      <c r="B19" s="26"/>
      <c r="C19" s="20"/>
      <c r="D19" s="23"/>
      <c r="E19" s="23"/>
      <c r="F19" s="20"/>
      <c r="G19" s="17"/>
      <c r="H19" s="18"/>
      <c r="I19" s="18"/>
      <c r="J19" s="24"/>
    </row>
    <row r="20" ht="22" customHeight="1" spans="1:10" x14ac:dyDescent="0.25">
      <c r="A20" s="17"/>
      <c r="B20" s="26"/>
      <c r="C20" s="20"/>
      <c r="D20" s="23"/>
      <c r="E20" s="23"/>
      <c r="F20" s="20"/>
      <c r="G20" s="17"/>
      <c r="H20" s="18"/>
      <c r="I20" s="18"/>
      <c r="J20" s="24"/>
    </row>
    <row r="21" ht="22" customHeight="1" spans="1:10" x14ac:dyDescent="0.25">
      <c r="A21" s="17"/>
      <c r="B21" s="26"/>
      <c r="C21" s="20"/>
      <c r="D21" s="23"/>
      <c r="E21" s="23"/>
      <c r="F21" s="20"/>
      <c r="G21" s="17"/>
      <c r="H21" s="18"/>
      <c r="I21" s="18"/>
      <c r="J21" s="24"/>
    </row>
    <row r="22" ht="22" customHeight="1" spans="1:10" x14ac:dyDescent="0.25">
      <c r="A22" s="17"/>
      <c r="B22" s="26"/>
      <c r="C22" s="20"/>
      <c r="D22" s="23"/>
      <c r="E22" s="23"/>
      <c r="F22" s="20"/>
      <c r="G22" s="17"/>
      <c r="H22" s="18"/>
      <c r="I22" s="18"/>
      <c r="J22" s="24"/>
    </row>
    <row r="23" ht="22" customHeight="1" spans="1:10" x14ac:dyDescent="0.25">
      <c r="A23" s="17"/>
      <c r="B23" s="26"/>
      <c r="C23" s="20"/>
      <c r="D23" s="23"/>
      <c r="E23" s="23"/>
      <c r="F23" s="20"/>
      <c r="G23" s="17"/>
      <c r="H23" s="18"/>
      <c r="I23" s="18"/>
      <c r="J23" s="24"/>
    </row>
    <row r="24" ht="22" customHeight="1" spans="1:10" x14ac:dyDescent="0.25">
      <c r="A24" s="17"/>
      <c r="B24" s="26"/>
      <c r="C24" s="20"/>
      <c r="D24" s="23"/>
      <c r="E24" s="23"/>
      <c r="F24" s="20"/>
      <c r="G24" s="17"/>
      <c r="H24" s="18"/>
      <c r="I24" s="18"/>
      <c r="J24" s="24"/>
    </row>
    <row r="25" ht="22" customHeight="1" spans="1:10" x14ac:dyDescent="0.25">
      <c r="A25" s="17"/>
      <c r="B25" s="26"/>
      <c r="C25" s="20"/>
      <c r="D25" s="23"/>
      <c r="E25" s="23"/>
      <c r="F25" s="20"/>
      <c r="G25" s="17"/>
      <c r="H25" s="18"/>
      <c r="I25" s="18"/>
      <c r="J25" s="24"/>
    </row>
    <row r="26" ht="22" customHeight="1" spans="1:10" x14ac:dyDescent="0.25">
      <c r="A26" s="17"/>
      <c r="B26" s="26"/>
      <c r="C26" s="20"/>
      <c r="D26" s="23"/>
      <c r="E26" s="23"/>
      <c r="F26" s="20"/>
      <c r="G26" s="17"/>
      <c r="H26" s="18"/>
      <c r="I26" s="18"/>
      <c r="J26" s="24"/>
    </row>
    <row r="27" ht="22" customHeight="1" spans="1:10" x14ac:dyDescent="0.25">
      <c r="A27" s="17"/>
      <c r="B27" s="26"/>
      <c r="C27" s="20"/>
      <c r="D27" s="23"/>
      <c r="E27" s="23"/>
      <c r="F27" s="20"/>
      <c r="G27" s="17"/>
      <c r="H27" s="18"/>
      <c r="I27" s="18"/>
      <c r="J27" s="24"/>
    </row>
    <row r="28" ht="22" customHeight="1" spans="1:10" x14ac:dyDescent="0.25">
      <c r="A28" s="17"/>
      <c r="B28" s="26"/>
      <c r="C28" s="20"/>
      <c r="D28" s="23"/>
      <c r="E28" s="23"/>
      <c r="F28" s="20"/>
      <c r="G28" s="17"/>
      <c r="H28" s="18"/>
      <c r="I28" s="18"/>
      <c r="J28" s="24"/>
    </row>
    <row r="29" ht="22" customHeight="1" spans="1:10" x14ac:dyDescent="0.25">
      <c r="A29" s="17"/>
      <c r="B29" s="26"/>
      <c r="C29" s="20"/>
      <c r="D29" s="23"/>
      <c r="E29" s="23"/>
      <c r="F29" s="20"/>
      <c r="G29" s="17"/>
      <c r="H29" s="18"/>
      <c r="I29" s="18"/>
      <c r="J29" s="24"/>
    </row>
    <row r="30" ht="22" customHeight="1" spans="1:10" x14ac:dyDescent="0.25">
      <c r="A30" s="17"/>
      <c r="B30" s="26"/>
      <c r="C30" s="20"/>
      <c r="D30" s="23"/>
      <c r="E30" s="23"/>
      <c r="F30" s="20"/>
      <c r="G30" s="17"/>
      <c r="H30" s="18"/>
      <c r="I30" s="18"/>
      <c r="J30" s="24"/>
    </row>
    <row r="31" ht="22" customHeight="1" spans="1:10" x14ac:dyDescent="0.25">
      <c r="A31" s="17"/>
      <c r="B31" s="26"/>
      <c r="C31" s="20"/>
      <c r="D31" s="23"/>
      <c r="E31" s="23"/>
      <c r="F31" s="20"/>
      <c r="G31" s="17"/>
      <c r="H31" s="18"/>
      <c r="I31" s="18"/>
      <c r="J31" s="24"/>
    </row>
    <row r="32" ht="22" customHeight="1" spans="1:10" x14ac:dyDescent="0.25">
      <c r="A32" s="17"/>
      <c r="B32" s="26"/>
      <c r="C32" s="20"/>
      <c r="D32" s="23"/>
      <c r="E32" s="23"/>
      <c r="F32" s="20"/>
      <c r="G32" s="17"/>
      <c r="H32" s="18"/>
      <c r="I32" s="18"/>
      <c r="J32" s="24"/>
    </row>
    <row r="33" ht="22" customHeight="1" spans="1:10" x14ac:dyDescent="0.25">
      <c r="A33" s="17"/>
      <c r="B33" s="26"/>
      <c r="C33" s="20"/>
      <c r="D33" s="23"/>
      <c r="E33" s="23"/>
      <c r="F33" s="20"/>
      <c r="G33" s="17"/>
      <c r="H33" s="18"/>
      <c r="I33" s="18"/>
      <c r="J33" s="24"/>
    </row>
    <row r="34" ht="22" customHeight="1" spans="1:10" x14ac:dyDescent="0.25">
      <c r="A34" s="17"/>
      <c r="B34" s="26"/>
      <c r="C34" s="20"/>
      <c r="D34" s="23"/>
      <c r="E34" s="23"/>
      <c r="F34" s="20"/>
      <c r="G34" s="17"/>
      <c r="H34" s="18"/>
      <c r="I34" s="18"/>
      <c r="J34" s="24"/>
    </row>
    <row r="35" ht="22" customHeight="1" spans="1:10" x14ac:dyDescent="0.25">
      <c r="A35" s="17"/>
      <c r="B35" s="26"/>
      <c r="C35" s="20"/>
      <c r="D35" s="23"/>
      <c r="E35" s="23"/>
      <c r="F35" s="20"/>
      <c r="G35" s="17"/>
      <c r="H35" s="18"/>
      <c r="I35" s="18"/>
      <c r="J35" s="24"/>
    </row>
    <row r="36" ht="22" customHeight="1" spans="1:10" x14ac:dyDescent="0.25">
      <c r="A36" s="17"/>
      <c r="B36" s="26"/>
      <c r="C36" s="20"/>
      <c r="D36" s="23"/>
      <c r="E36" s="23"/>
      <c r="F36" s="20"/>
      <c r="G36" s="17"/>
      <c r="H36" s="18"/>
      <c r="I36" s="18"/>
      <c r="J36" s="24"/>
    </row>
    <row r="37" ht="22" customHeight="1" spans="1:10" x14ac:dyDescent="0.25">
      <c r="A37" s="17"/>
      <c r="B37" s="26"/>
      <c r="C37" s="20"/>
      <c r="D37" s="23"/>
      <c r="E37" s="23"/>
      <c r="F37" s="20"/>
      <c r="G37" s="17"/>
      <c r="H37" s="18"/>
      <c r="I37" s="18"/>
      <c r="J37" s="24"/>
    </row>
    <row r="38" ht="22" customHeight="1" spans="1:10" x14ac:dyDescent="0.25">
      <c r="A38" s="17"/>
      <c r="B38" s="26"/>
      <c r="C38" s="20"/>
      <c r="D38" s="23"/>
      <c r="E38" s="23"/>
      <c r="F38" s="20"/>
      <c r="G38" s="17"/>
      <c r="H38" s="18"/>
      <c r="I38" s="18"/>
      <c r="J38" s="24"/>
    </row>
  </sheetData>
  <autoFilter ref="A1:J1"/>
  <dataValidations count="10">
    <dataValidation type="list" allowBlank="1" showErrorMessage="1" errorStyle="warning" errorTitle="Valor fora da lista" error="Escolha um valor da lista." sqref="A10:A38">
      <formula1>Listas!$H$2:$H$8</formula1>
    </dataValidation>
    <dataValidation type="list" allowBlank="1" showErrorMessage="1" errorStyle="warning" errorTitle="Valor fora da lista" error="Escolha um valor da lista." sqref="A2:A38">
      <formula1>Listas!$H$2:$H$8</formula1>
    </dataValidation>
    <dataValidation type="whole" operator="greaterThanOrEqual" allowBlank="1" showErrorMessage="1" errorStyle="stop" errorTitle="Número inválido" error="Informe um número inteiro maior ou igual a zero." sqref="C10:C38">
      <formula1>0</formula1>
    </dataValidation>
    <dataValidation type="whole" operator="greaterThanOrEqual" allowBlank="1" showErrorMessage="1" errorStyle="stop" errorTitle="Número inválido" error="Informe um número inteiro maior ou igual a zero." sqref="C2:C38">
      <formula1>0</formula1>
    </dataValidation>
    <dataValidation type="whole" operator="greaterThanOrEqual" allowBlank="1" showErrorMessage="1" errorStyle="stop" errorTitle="Número inválido" error="Informe um número inteiro maior ou igual a zero." sqref="F10:F38">
      <formula1>0</formula1>
    </dataValidation>
    <dataValidation type="whole" operator="greaterThanOrEqual" allowBlank="1" showErrorMessage="1" errorStyle="stop" errorTitle="Número inválido" error="Informe um número inteiro maior ou igual a zero." sqref="F2:F38">
      <formula1>0</formula1>
    </dataValidation>
    <dataValidation type="list" allowBlank="1" showErrorMessage="1" errorStyle="warning" errorTitle="Valor fora da lista" error="Escolha um valor da lista." sqref="G10:G38">
      <formula1>Listas!$G$2:$G$6</formula1>
    </dataValidation>
    <dataValidation type="list" allowBlank="1" showErrorMessage="1" errorStyle="warning" errorTitle="Valor fora da lista" error="Escolha um valor da lista." sqref="G2:G38">
      <formula1>Listas!$G$2:$G$6</formula1>
    </dataValidation>
    <dataValidation type="date" operator="greaterThan" allowBlank="1" showErrorMessage="1" errorStyle="stop" errorTitle="Data inválida" error="Use uma data no formato dd/mm/aaaa." sqref="H10:I38">
      <formula1>25569.00042275463</formula1>
    </dataValidation>
    <dataValidation type="date" operator="greaterThan" allowBlank="1" showErrorMessage="1" errorStyle="stop" errorTitle="Data inválida" error="Use uma data no formato dd/mm/aaaa." sqref="H2:I38">
      <formula1>25569.00042275463</formula1>
    </dataValidation>
  </dataValidations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B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</cols>
  <sheetData>
    <row r="1" ht="34" customHeight="1" spans="1:2" x14ac:dyDescent="0.25">
      <c r="A1" s="14" t="s">
        <v>10</v>
      </c>
      <c r="B1" s="14" t="s">
        <v>161</v>
      </c>
    </row>
    <row r="2" ht="22" customHeight="1" spans="1:2" x14ac:dyDescent="0.25">
      <c r="A2" s="17" t="s">
        <v>16</v>
      </c>
      <c r="B2" s="25">
        <v>20</v>
      </c>
    </row>
    <row r="3" ht="22" customHeight="1" spans="1:2" x14ac:dyDescent="0.25">
      <c r="A3" s="17" t="s">
        <v>17</v>
      </c>
      <c r="B3" s="25">
        <v>20</v>
      </c>
    </row>
    <row r="4" ht="22" customHeight="1" spans="1:2" x14ac:dyDescent="0.25">
      <c r="A4" s="17" t="s">
        <v>18</v>
      </c>
      <c r="B4" s="25">
        <v>8</v>
      </c>
    </row>
    <row r="5" ht="22" customHeight="1" spans="1:2" x14ac:dyDescent="0.25">
      <c r="A5" s="17" t="s">
        <v>19</v>
      </c>
      <c r="B5" s="25">
        <v>15</v>
      </c>
    </row>
    <row r="6" ht="22" customHeight="1" spans="1:2" x14ac:dyDescent="0.25">
      <c r="A6" s="17" t="s">
        <v>20</v>
      </c>
      <c r="B6" s="25">
        <v>10</v>
      </c>
    </row>
  </sheetData>
  <autoFilter ref="A1:B1"/>
  <dataValidations count="1">
    <dataValidation type="list" allowBlank="1" showErrorMessage="1" errorStyle="warning" errorTitle="Valor fora da lista" error="Escolha um valor da lista." sqref="A2:A6">
      <formula1>Listas!$I$2:$I$6</formula1>
    </dataValidation>
  </dataValidations>
  <pageSetup paperSize="9"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C9A0"/>
    <pageSetUpPr fitToPage="1"/>
  </sheetPr>
  <dimension ref="A1:B3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32" customWidth="1"/>
  </cols>
  <sheetData>
    <row r="1" ht="34" customHeight="1" spans="1:2" x14ac:dyDescent="0.25">
      <c r="A1" s="14" t="s">
        <v>162</v>
      </c>
      <c r="B1" s="14" t="s">
        <v>163</v>
      </c>
    </row>
    <row r="2" ht="22" customHeight="1" spans="1:2" x14ac:dyDescent="0.25">
      <c r="A2" s="17" t="s">
        <v>164</v>
      </c>
      <c r="B2" s="17">
        <v>30</v>
      </c>
    </row>
    <row r="3" ht="22" customHeight="1" spans="1:2" x14ac:dyDescent="0.25">
      <c r="A3" s="17" t="s">
        <v>165</v>
      </c>
      <c r="B3" s="17" t="s">
        <v>166</v>
      </c>
    </row>
  </sheetData>
  <autoFilter ref="A1:B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Leia-me</vt:lpstr>
      <vt:lpstr>Resumo</vt:lpstr>
      <vt:lpstr>Pós-graduação</vt:lpstr>
      <vt:lpstr>Concurso</vt:lpstr>
      <vt:lpstr>Livros</vt:lpstr>
      <vt:lpstr>Cursos IA</vt:lpstr>
      <vt:lpstr>Renda Extra</vt:lpstr>
      <vt:lpstr>Radar de Aquisições</vt:lpstr>
      <vt:lpstr>Diário de Estudo</vt:lpstr>
      <vt:lpstr>Plano de Estudos</vt:lpstr>
      <vt:lpstr>Metas</vt:lpstr>
      <vt:lpstr>Configurações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Roadmap de Cursos &amp; Aprendizado</dc:creator>
  <dc:title/>
  <dc:subject/>
  <dc:description/>
  <cp:keywords/>
  <cp:category/>
  <cp:lastModifiedBy>Unknown</cp:lastModifiedBy>
  <dcterms:created xsi:type="dcterms:W3CDTF">2026-10-03T23:55:56Z</dcterms:created>
  <dcterms:modified xsi:type="dcterms:W3CDTF">2026-10-03T23:55:56Z</dcterms:modified>
</cp:coreProperties>
</file>